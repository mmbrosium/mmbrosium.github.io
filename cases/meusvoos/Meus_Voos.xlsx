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" sheetId="1" state="visible" r:id="rId1"/>
    <sheet xmlns:r="http://schemas.openxmlformats.org/officeDocument/2006/relationships" name="VN" sheetId="2" state="visible" r:id="rId2"/>
    <sheet xmlns:r="http://schemas.openxmlformats.org/officeDocument/2006/relationships" name="VI" sheetId="3" state="visible" r:id="rId3"/>
    <sheet xmlns:r="http://schemas.openxmlformats.org/officeDocument/2006/relationships" name="Terminal" sheetId="4" state="visible" r:id="rId4"/>
    <sheet xmlns:r="http://schemas.openxmlformats.org/officeDocument/2006/relationships" name="Problemas" sheetId="5" state="visible" r:id="rId5"/>
    <sheet xmlns:r="http://schemas.openxmlformats.org/officeDocument/2006/relationships" name="Blocos" sheetId="6" state="visible" r:id="rId6"/>
    <sheet xmlns:r="http://schemas.openxmlformats.org/officeDocument/2006/relationships" name="Aeroportos" sheetId="7" state="visible" r:id="rId7"/>
    <sheet xmlns:r="http://schemas.openxmlformats.org/officeDocument/2006/relationships" name="Equi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 hh:mm"/>
  </numFmts>
  <fonts count="12">
    <font>
      <name val="Calibri"/>
      <family val="2"/>
      <color theme="1"/>
      <sz val="11"/>
      <scheme val="minor"/>
    </font>
    <font>
      <name val="Georgia"/>
      <b val="1"/>
      <color rgb="00FFFFFF"/>
      <sz val="16"/>
    </font>
    <font>
      <name val="Calibri"/>
      <b val="1"/>
      <color rgb="00FFFFFF"/>
      <sz val="10"/>
    </font>
    <font>
      <name val="Calibri"/>
      <color rgb="000B1F24"/>
      <sz val="10"/>
    </font>
    <font>
      <name val="Calibri"/>
      <b val="1"/>
      <color rgb="00C9DFE4"/>
      <sz val="10"/>
    </font>
    <font>
      <name val="Calibri"/>
      <i val="1"/>
      <color rgb="006E8A92"/>
      <sz val="9"/>
    </font>
    <font>
      <name val="Calibri"/>
      <color rgb="00FFFFFF"/>
      <sz val="10"/>
    </font>
    <font>
      <name val="Calibri"/>
      <i val="1"/>
      <color rgb="00C9DFE4"/>
      <sz val="10"/>
    </font>
    <font>
      <name val="Calibri"/>
      <i val="1"/>
      <color rgb="00FFFFFF"/>
      <sz val="10"/>
    </font>
    <font>
      <name val="Consolas"/>
      <color rgb="000B1F24"/>
      <sz val="10"/>
    </font>
    <font>
      <name val="Consolas"/>
      <b val="1"/>
      <color rgb="00FFD83D"/>
      <sz val="11"/>
    </font>
    <font>
      <name val="Consolas"/>
      <color rgb="007FE3F0"/>
      <sz val="10"/>
    </font>
  </fonts>
  <fills count="21">
    <fill>
      <patternFill/>
    </fill>
    <fill>
      <patternFill patternType="gray125"/>
    </fill>
    <fill>
      <patternFill patternType="solid">
        <fgColor rgb="000F2E35"/>
      </patternFill>
    </fill>
    <fill>
      <patternFill patternType="solid">
        <fgColor rgb="001C4650"/>
      </patternFill>
    </fill>
    <fill>
      <patternFill patternType="solid">
        <fgColor rgb="00E6F0F2"/>
      </patternFill>
    </fill>
    <fill>
      <patternFill patternType="solid">
        <fgColor rgb="002A5A66"/>
      </patternFill>
    </fill>
    <fill>
      <patternFill patternType="solid">
        <fgColor rgb="003C7A89"/>
      </patternFill>
    </fill>
    <fill>
      <patternFill patternType="solid">
        <fgColor rgb="00C9DFE4"/>
      </patternFill>
    </fill>
    <fill>
      <patternFill patternType="solid">
        <fgColor rgb="005A0F0F"/>
      </patternFill>
    </fill>
    <fill>
      <patternFill patternType="solid">
        <fgColor rgb="008B1E1E"/>
      </patternFill>
    </fill>
    <fill>
      <patternFill patternType="solid">
        <fgColor rgb="00B03A2E"/>
      </patternFill>
    </fill>
    <fill>
      <patternFill patternType="solid">
        <fgColor rgb="00F6D5D1"/>
      </patternFill>
    </fill>
    <fill>
      <patternFill patternType="solid">
        <fgColor rgb="007A2E2E"/>
      </patternFill>
    </fill>
    <fill>
      <patternFill patternType="solid">
        <fgColor rgb="00FBECEA"/>
      </patternFill>
    </fill>
    <fill>
      <patternFill patternType="solid">
        <fgColor rgb="000B2545"/>
      </patternFill>
    </fill>
    <fill>
      <patternFill patternType="solid">
        <fgColor rgb="0013315C"/>
      </patternFill>
    </fill>
    <fill>
      <patternFill patternType="solid">
        <fgColor rgb="001F4E8C"/>
      </patternFill>
    </fill>
    <fill>
      <patternFill patternType="solid">
        <fgColor rgb="00CFE1F7"/>
      </patternFill>
    </fill>
    <fill>
      <patternFill patternType="solid">
        <fgColor rgb="002E6DB4"/>
      </patternFill>
    </fill>
    <fill>
      <patternFill patternType="solid">
        <fgColor rgb="00E8F1FB"/>
      </patternFill>
    </fill>
    <fill>
      <patternFill patternType="solid"/>
    </fill>
  </fills>
  <borders count="2">
    <border>
      <left/>
      <right/>
      <top/>
      <bottom/>
      <diagonal/>
    </border>
    <border>
      <left style="thin">
        <color rgb="007FA3AD"/>
      </left>
      <right style="thin">
        <color rgb="007FA3AD"/>
      </right>
      <top style="thin">
        <color rgb="007FA3AD"/>
      </top>
      <bottom style="thin">
        <color rgb="007FA3AD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4" fillId="3" borderId="1" applyAlignment="1" pivotButton="0" quotePrefix="0" xfId="0">
      <alignment horizontal="right" vertical="center"/>
    </xf>
    <xf numFmtId="0" fontId="3" fillId="4" borderId="1" pivotButton="0" quotePrefix="0" xfId="0"/>
    <xf numFmtId="0" fontId="6" fillId="5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165" fontId="3" fillId="4" borderId="1" pivotButton="0" quotePrefix="0" xfId="0"/>
    <xf numFmtId="0" fontId="0" fillId="5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7" borderId="1" applyAlignment="1" pivotButton="0" quotePrefix="0" xfId="0">
      <alignment vertical="center"/>
    </xf>
    <xf numFmtId="0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3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3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8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4" fillId="10" borderId="1" applyAlignment="1" pivotButton="0" quotePrefix="0" xfId="0">
      <alignment horizontal="right" vertical="center"/>
    </xf>
    <xf numFmtId="0" fontId="9" fillId="11" borderId="1" applyAlignment="1" pivotButton="0" quotePrefix="0" xfId="0">
      <alignment vertical="center"/>
    </xf>
    <xf numFmtId="0" fontId="4" fillId="12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3" fillId="13" borderId="1" pivotButton="0" quotePrefix="0" xfId="0"/>
    <xf numFmtId="0" fontId="3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center"/>
    </xf>
    <xf numFmtId="0" fontId="2" fillId="8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vertical="top" wrapText="1"/>
    </xf>
    <xf numFmtId="0" fontId="1" fillId="14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8" fillId="15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4" fillId="16" borderId="1" applyAlignment="1" pivotButton="0" quotePrefix="0" xfId="0">
      <alignment horizontal="right" vertical="center"/>
    </xf>
    <xf numFmtId="0" fontId="9" fillId="17" borderId="1" applyAlignment="1" pivotButton="0" quotePrefix="0" xfId="0">
      <alignment vertical="center"/>
    </xf>
    <xf numFmtId="0" fontId="4" fillId="18" borderId="1" applyAlignment="1" pivotButton="0" quotePrefix="0" xfId="0">
      <alignment horizontal="right" vertical="center"/>
    </xf>
    <xf numFmtId="0" fontId="2" fillId="15" borderId="1" applyAlignment="1" pivotButton="0" quotePrefix="0" xfId="0">
      <alignment horizontal="center" vertical="center" wrapText="1"/>
    </xf>
    <xf numFmtId="0" fontId="3" fillId="19" borderId="1" pivotButton="0" quotePrefix="0" xfId="0"/>
    <xf numFmtId="0" fontId="3" fillId="19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vertical="center"/>
    </xf>
    <xf numFmtId="0" fontId="2" fillId="14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vertical="top" wrapText="1"/>
    </xf>
    <xf numFmtId="0" fontId="0" fillId="20" borderId="0" pivotButton="0" quotePrefix="0" xfId="0"/>
    <xf numFmtId="0" fontId="10" fillId="20" borderId="0" pivotButton="0" quotePrefix="0" xfId="0"/>
    <xf numFmtId="0" fontId="11" fillId="2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3" borderId="1" pivotButton="0" quotePrefix="0" xfId="0"/>
    <xf numFmtId="164" fontId="3" fillId="4" borderId="1" pivotButton="0" quotePrefix="0" xfId="0"/>
    <xf numFmtId="0" fontId="5" fillId="4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C0392B"/>
        </patternFill>
      </fill>
    </dxf>
    <dxf>
      <font>
        <b val="1"/>
        <color rgb="00FFFFFF"/>
      </font>
      <fill>
        <patternFill patternType="solid">
          <fgColor rgb="002E8B5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8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26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30" customHeight="1">
      <c r="B1" s="1" t="inlineStr">
        <is>
          <t>MEUS VOOS · ATENDIMENTO GUIADO POR E-MAIL  ·  PROGRAMA HORIZONTE</t>
        </is>
      </c>
      <c r="C1" s="2" t="n"/>
      <c r="D1" s="2" t="n"/>
      <c r="E1" s="2" t="n"/>
      <c r="F1" s="2" t="n"/>
      <c r="G1" s="2" t="n"/>
      <c r="H1" s="2" t="n"/>
      <c r="I1" s="2" t="n"/>
    </row>
    <row r="2">
      <c r="B2" s="3" t="inlineStr">
        <is>
          <t>Operador</t>
        </is>
      </c>
      <c r="C2" s="4" t="inlineStr">
        <is>
          <t>Brenda Nunes (Manhã)</t>
        </is>
      </c>
      <c r="D2" s="5">
        <f>Blocos!C5&amp;","</f>
        <v/>
      </c>
      <c r="E2" s="5">
        <f>TEXT(Blocos!C4,"hh:mm")</f>
        <v/>
      </c>
      <c r="F2" s="6" t="inlineStr">
        <is>
          <t>C&amp;C = Copiar e Colar</t>
        </is>
      </c>
      <c r="G2" s="5">
        <f>TEXT(Blocos!C4,"dd/mm/yyyy")</f>
        <v/>
      </c>
      <c r="H2" s="5">
        <f>Blocos!C6</f>
        <v/>
      </c>
      <c r="I2" s="6" t="inlineStr">
        <is>
          <t>Dúvidas: aba Terminal</t>
        </is>
      </c>
    </row>
    <row r="3">
      <c r="B3" s="3" t="inlineStr">
        <is>
          <t>Agora</t>
        </is>
      </c>
      <c r="C3" s="7">
        <f>Blocos!C4</f>
        <v/>
      </c>
      <c r="D3" s="8" t="n"/>
      <c r="E3" s="8" t="n"/>
      <c r="F3" s="8" t="n"/>
      <c r="G3" s="8" t="n"/>
      <c r="H3" s="8" t="n"/>
      <c r="I3" s="8" t="n"/>
    </row>
    <row r="4">
      <c r="B4" s="3" t="inlineStr">
        <is>
          <t>Assinatura</t>
        </is>
      </c>
      <c r="C4" s="4">
        <f>IFERROR(INDEX(Equipe!$E$3:$E$14,MATCH($C$2,Equipe!$F$3:$F$14,0)),"Equipe Horizonte")</f>
        <v/>
      </c>
      <c r="D4" s="8" t="n"/>
      <c r="E4" s="8" t="n"/>
      <c r="F4" s="8" t="n"/>
      <c r="G4" s="8" t="n"/>
      <c r="H4" s="8" t="n"/>
      <c r="I4" s="8" t="n"/>
    </row>
    <row r="5">
      <c r="B5" s="3" t="inlineStr">
        <is>
          <t>Supervisor</t>
        </is>
      </c>
      <c r="C5" s="4">
        <f>IFERROR(INDEX(Equipe!$B$3:$B$14,MATCH($C$2,Equipe!$F$3:$F$14,0)),"")</f>
        <v/>
      </c>
      <c r="D5" s="8" t="n"/>
      <c r="E5" s="8" t="n"/>
      <c r="F5" s="8" t="n"/>
      <c r="G5" s="8" t="n"/>
      <c r="H5" s="8" t="n"/>
      <c r="I5" s="8" t="n"/>
    </row>
    <row r="6">
      <c r="D6" s="9" t="inlineStr">
        <is>
          <t>Atendimento 1</t>
        </is>
      </c>
      <c r="E6" s="9" t="inlineStr">
        <is>
          <t>Atendimento 2</t>
        </is>
      </c>
      <c r="F6" s="9" t="inlineStr">
        <is>
          <t>Atendimento 3</t>
        </is>
      </c>
      <c r="G6" s="9" t="inlineStr">
        <is>
          <t>Atendimento 4</t>
        </is>
      </c>
      <c r="H6" s="9" t="inlineStr">
        <is>
          <t>Atendimento 5</t>
        </is>
      </c>
      <c r="I6" s="9" t="inlineStr">
        <is>
          <t>Atendimento 6</t>
        </is>
      </c>
    </row>
    <row r="7" ht="22" customHeight="1">
      <c r="B7" s="3" t="inlineStr">
        <is>
          <t>Problema (seletor)</t>
        </is>
      </c>
      <c r="C7" s="10" t="inlineStr"/>
      <c r="D7" s="11" t="inlineStr">
        <is>
          <t>Assento - Remarcação de assento comprado</t>
        </is>
      </c>
      <c r="E7" s="11" t="inlineStr">
        <is>
          <t>Cancelamento excepcional - Volta (ida já utilizada)</t>
        </is>
      </c>
      <c r="F7" s="11" t="inlineStr">
        <is>
          <t>Emissão - Pontos debitados sem bilhete</t>
        </is>
      </c>
      <c r="G7" s="11" t="inlineStr"/>
      <c r="H7" s="11" t="inlineStr"/>
      <c r="I7" s="11" t="inlineStr"/>
    </row>
    <row r="8" ht="22" customHeight="1">
      <c r="B8" s="12" t="inlineStr">
        <is>
          <t>C&amp;C Tabulação</t>
        </is>
      </c>
      <c r="C8" s="13" t="inlineStr"/>
      <c r="D8" s="14">
        <f>IF(D7="","",INDEX(Problemas!$D$3:$D$28,MATCH(D$7,Problemas!$C$3:$C$28,0)))</f>
        <v/>
      </c>
      <c r="E8" s="14">
        <f>IF(E7="","",INDEX(Problemas!$D$3:$D$28,MATCH(E$7,Problemas!$C$3:$C$28,0)))</f>
        <v/>
      </c>
      <c r="F8" s="14">
        <f>IF(F7="","",INDEX(Problemas!$D$3:$D$28,MATCH(F$7,Problemas!$C$3:$C$28,0)))</f>
        <v/>
      </c>
      <c r="G8" s="14">
        <f>IF(G7="","",INDEX(Problemas!$D$3:$D$28,MATCH(G$7,Problemas!$C$3:$C$28,0)))</f>
        <v/>
      </c>
      <c r="H8" s="14">
        <f>IF(H7="","",INDEX(Problemas!$D$3:$D$28,MATCH(H$7,Problemas!$C$3:$C$28,0)))</f>
        <v/>
      </c>
      <c r="I8" s="14">
        <f>IF(I7="","",INDEX(Problemas!$D$3:$D$28,MATCH(I$7,Problemas!$C$3:$C$28,0)))</f>
        <v/>
      </c>
    </row>
    <row r="9" ht="22" customHeight="1">
      <c r="B9" s="12" t="inlineStr">
        <is>
          <t>C&amp;C Mensagem ao cliente</t>
        </is>
      </c>
      <c r="C9" s="13" t="inlineStr"/>
      <c r="D9" s="14">
        <f>IF(D7="","",Blocos!$C$5&amp;", "&amp;IF(D12="","[NOME]",D12)&amp;"! "&amp;Blocos!$C$20&amp;CHAR(10)&amp;CHAR(10)&amp;SUBSTITUTE(SUBSTITUTE(SUBSTITUTE(SUBSTITUTE(INDEX(Problemas!$E$3:$E$28,MATCH(D$7,Problemas!$C$3:$C$28,0)),"{nome}",IF(D12="","[NOME]",D12)),"{loc}",IF(D13="","[LOCALIZADOR]",UPPER(D13))),"{ticket}",IF(D14="","[TICKET]",D14)),"{categoria}",IF(D15="","[CATEGORIA]",D15))&amp;IF(IF(AND(INDEX(Problemas!$H$3:$H$28,MATCH(D$7,Problemas!$C$3:$C$28,0))="Sim",D16&lt;&gt;""),IFERROR(INDEX(Blocos!$C$32:$C$33,MATCH(D16,Blocos!$B$32:$B$33,0)),""),"")="","",CHAR(10)&amp;CHAR(10)&amp;IF(AND(INDEX(Problemas!$H$3:$H$28,MATCH(D$7,Problemas!$C$3:$C$28,0))="Sim",D16&lt;&gt;""),IFERROR(INDEX(Blocos!$C$32:$C$33,MATCH(D16,Blocos!$B$32:$B$33,0)),""),""))&amp;IF(IF(D17="","",IFERROR(INDEX(Blocos!$C$24:$C$28,MATCH(D17,Blocos!$B$24:$B$28,0)),""))="","",CHAR(10)&amp;CHAR(10)&amp;IF(D17="","",IFERROR(INDEX(Blocos!$C$24:$C$28,MATCH(D17,Blocos!$B$24:$B$28,0)),"")))&amp;CHAR(10)&amp;CHAR(10)&amp;Blocos!$C$54&amp;CHAR(10)&amp;CHAR(10)&amp;Blocos!$C$7&amp;" "&amp;Blocos!$C$21&amp;CHAR(10)&amp;CHAR(10)&amp;"Atenciosamente,"&amp;CHAR(10)&amp;$C$4)</f>
        <v/>
      </c>
      <c r="E9" s="14">
        <f>IF(E7="","",Blocos!$C$5&amp;", "&amp;IF(E12="","[NOME]",E12)&amp;"! "&amp;Blocos!$C$20&amp;CHAR(10)&amp;CHAR(10)&amp;SUBSTITUTE(SUBSTITUTE(SUBSTITUTE(SUBSTITUTE(INDEX(Problemas!$E$3:$E$28,MATCH(E$7,Problemas!$C$3:$C$28,0)),"{nome}",IF(E12="","[NOME]",E12)),"{loc}",IF(E13="","[LOCALIZADOR]",UPPER(E13))),"{ticket}",IF(E14="","[TICKET]",E14)),"{categoria}",IF(E15="","[CATEGORIA]",E15))&amp;IF(IF(AND(INDEX(Problemas!$H$3:$H$28,MATCH(E$7,Problemas!$C$3:$C$28,0))="Sim",E16&lt;&gt;""),IFERROR(INDEX(Blocos!$C$32:$C$33,MATCH(E16,Blocos!$B$32:$B$33,0)),""),"")="","",CHAR(10)&amp;CHAR(10)&amp;IF(AND(INDEX(Problemas!$H$3:$H$28,MATCH(E$7,Problemas!$C$3:$C$28,0))="Sim",E16&lt;&gt;""),IFERROR(INDEX(Blocos!$C$32:$C$33,MATCH(E16,Blocos!$B$32:$B$33,0)),""),""))&amp;IF(IF(E17="","",IFERROR(INDEX(Blocos!$C$24:$C$28,MATCH(E17,Blocos!$B$24:$B$28,0)),""))="","",CHAR(10)&amp;CHAR(10)&amp;IF(E17="","",IFERROR(INDEX(Blocos!$C$24:$C$28,MATCH(E17,Blocos!$B$24:$B$28,0)),"")))&amp;CHAR(10)&amp;CHAR(10)&amp;Blocos!$C$54&amp;CHAR(10)&amp;CHAR(10)&amp;Blocos!$C$7&amp;" "&amp;Blocos!$C$21&amp;CHAR(10)&amp;CHAR(10)&amp;"Atenciosamente,"&amp;CHAR(10)&amp;$C$4)</f>
        <v/>
      </c>
      <c r="F9" s="14">
        <f>IF(F7="","",Blocos!$C$5&amp;", "&amp;IF(F12="","[NOME]",F12)&amp;"! "&amp;Blocos!$C$20&amp;CHAR(10)&amp;CHAR(10)&amp;SUBSTITUTE(SUBSTITUTE(SUBSTITUTE(SUBSTITUTE(INDEX(Problemas!$E$3:$E$28,MATCH(F$7,Problemas!$C$3:$C$28,0)),"{nome}",IF(F12="","[NOME]",F12)),"{loc}",IF(F13="","[LOCALIZADOR]",UPPER(F13))),"{ticket}",IF(F14="","[TICKET]",F14)),"{categoria}",IF(F15="","[CATEGORIA]",F15))&amp;IF(IF(AND(INDEX(Problemas!$H$3:$H$28,MATCH(F$7,Problemas!$C$3:$C$28,0))="Sim",F16&lt;&gt;""),IFERROR(INDEX(Blocos!$C$32:$C$33,MATCH(F16,Blocos!$B$32:$B$33,0)),""),"")="","",CHAR(10)&amp;CHAR(10)&amp;IF(AND(INDEX(Problemas!$H$3:$H$28,MATCH(F$7,Problemas!$C$3:$C$28,0))="Sim",F16&lt;&gt;""),IFERROR(INDEX(Blocos!$C$32:$C$33,MATCH(F16,Blocos!$B$32:$B$33,0)),""),""))&amp;IF(IF(F17="","",IFERROR(INDEX(Blocos!$C$24:$C$28,MATCH(F17,Blocos!$B$24:$B$28,0)),""))="","",CHAR(10)&amp;CHAR(10)&amp;IF(F17="","",IFERROR(INDEX(Blocos!$C$24:$C$28,MATCH(F17,Blocos!$B$24:$B$28,0)),"")))&amp;CHAR(10)&amp;CHAR(10)&amp;Blocos!$C$54&amp;CHAR(10)&amp;CHAR(10)&amp;Blocos!$C$7&amp;" "&amp;Blocos!$C$21&amp;CHAR(10)&amp;CHAR(10)&amp;"Atenciosamente,"&amp;CHAR(10)&amp;$C$4)</f>
        <v/>
      </c>
      <c r="G9" s="14">
        <f>IF(G7="","",Blocos!$C$5&amp;", "&amp;IF(G12="","[NOME]",G12)&amp;"! "&amp;Blocos!$C$20&amp;CHAR(10)&amp;CHAR(10)&amp;SUBSTITUTE(SUBSTITUTE(SUBSTITUTE(SUBSTITUTE(INDEX(Problemas!$E$3:$E$28,MATCH(G$7,Problemas!$C$3:$C$28,0)),"{nome}",IF(G12="","[NOME]",G12)),"{loc}",IF(G13="","[LOCALIZADOR]",UPPER(G13))),"{ticket}",IF(G14="","[TICKET]",G14)),"{categoria}",IF(G15="","[CATEGORIA]",G15))&amp;IF(IF(AND(INDEX(Problemas!$H$3:$H$28,MATCH(G$7,Problemas!$C$3:$C$28,0))="Sim",G16&lt;&gt;""),IFERROR(INDEX(Blocos!$C$32:$C$33,MATCH(G16,Blocos!$B$32:$B$33,0)),""),"")="","",CHAR(10)&amp;CHAR(10)&amp;IF(AND(INDEX(Problemas!$H$3:$H$28,MATCH(G$7,Problemas!$C$3:$C$28,0))="Sim",G16&lt;&gt;""),IFERROR(INDEX(Blocos!$C$32:$C$33,MATCH(G16,Blocos!$B$32:$B$33,0)),""),""))&amp;IF(IF(G17="","",IFERROR(INDEX(Blocos!$C$24:$C$28,MATCH(G17,Blocos!$B$24:$B$28,0)),""))="","",CHAR(10)&amp;CHAR(10)&amp;IF(G17="","",IFERROR(INDEX(Blocos!$C$24:$C$28,MATCH(G17,Blocos!$B$24:$B$28,0)),"")))&amp;CHAR(10)&amp;CHAR(10)&amp;Blocos!$C$54&amp;CHAR(10)&amp;CHAR(10)&amp;Blocos!$C$7&amp;" "&amp;Blocos!$C$21&amp;CHAR(10)&amp;CHAR(10)&amp;"Atenciosamente,"&amp;CHAR(10)&amp;$C$4)</f>
        <v/>
      </c>
      <c r="H9" s="14">
        <f>IF(H7="","",Blocos!$C$5&amp;", "&amp;IF(H12="","[NOME]",H12)&amp;"! "&amp;Blocos!$C$20&amp;CHAR(10)&amp;CHAR(10)&amp;SUBSTITUTE(SUBSTITUTE(SUBSTITUTE(SUBSTITUTE(INDEX(Problemas!$E$3:$E$28,MATCH(H$7,Problemas!$C$3:$C$28,0)),"{nome}",IF(H12="","[NOME]",H12)),"{loc}",IF(H13="","[LOCALIZADOR]",UPPER(H13))),"{ticket}",IF(H14="","[TICKET]",H14)),"{categoria}",IF(H15="","[CATEGORIA]",H15))&amp;IF(IF(AND(INDEX(Problemas!$H$3:$H$28,MATCH(H$7,Problemas!$C$3:$C$28,0))="Sim",H16&lt;&gt;""),IFERROR(INDEX(Blocos!$C$32:$C$33,MATCH(H16,Blocos!$B$32:$B$33,0)),""),"")="","",CHAR(10)&amp;CHAR(10)&amp;IF(AND(INDEX(Problemas!$H$3:$H$28,MATCH(H$7,Problemas!$C$3:$C$28,0))="Sim",H16&lt;&gt;""),IFERROR(INDEX(Blocos!$C$32:$C$33,MATCH(H16,Blocos!$B$32:$B$33,0)),""),""))&amp;IF(IF(H17="","",IFERROR(INDEX(Blocos!$C$24:$C$28,MATCH(H17,Blocos!$B$24:$B$28,0)),""))="","",CHAR(10)&amp;CHAR(10)&amp;IF(H17="","",IFERROR(INDEX(Blocos!$C$24:$C$28,MATCH(H17,Blocos!$B$24:$B$28,0)),"")))&amp;CHAR(10)&amp;CHAR(10)&amp;Blocos!$C$54&amp;CHAR(10)&amp;CHAR(10)&amp;Blocos!$C$7&amp;" "&amp;Blocos!$C$21&amp;CHAR(10)&amp;CHAR(10)&amp;"Atenciosamente,"&amp;CHAR(10)&amp;$C$4)</f>
        <v/>
      </c>
      <c r="I9" s="14">
        <f>IF(I7="","",Blocos!$C$5&amp;", "&amp;IF(I12="","[NOME]",I12)&amp;"! "&amp;Blocos!$C$20&amp;CHAR(10)&amp;CHAR(10)&amp;SUBSTITUTE(SUBSTITUTE(SUBSTITUTE(SUBSTITUTE(INDEX(Problemas!$E$3:$E$28,MATCH(I$7,Problemas!$C$3:$C$28,0)),"{nome}",IF(I12="","[NOME]",I12)),"{loc}",IF(I13="","[LOCALIZADOR]",UPPER(I13))),"{ticket}",IF(I14="","[TICKET]",I14)),"{categoria}",IF(I15="","[CATEGORIA]",I15))&amp;IF(IF(AND(INDEX(Problemas!$H$3:$H$28,MATCH(I$7,Problemas!$C$3:$C$28,0))="Sim",I16&lt;&gt;""),IFERROR(INDEX(Blocos!$C$32:$C$33,MATCH(I16,Blocos!$B$32:$B$33,0)),""),"")="","",CHAR(10)&amp;CHAR(10)&amp;IF(AND(INDEX(Problemas!$H$3:$H$28,MATCH(I$7,Problemas!$C$3:$C$28,0))="Sim",I16&lt;&gt;""),IFERROR(INDEX(Blocos!$C$32:$C$33,MATCH(I16,Blocos!$B$32:$B$33,0)),""),""))&amp;IF(IF(I17="","",IFERROR(INDEX(Blocos!$C$24:$C$28,MATCH(I17,Blocos!$B$24:$B$28,0)),""))="","",CHAR(10)&amp;CHAR(10)&amp;IF(I17="","",IFERROR(INDEX(Blocos!$C$24:$C$28,MATCH(I17,Blocos!$B$24:$B$28,0)),"")))&amp;CHAR(10)&amp;CHAR(10)&amp;Blocos!$C$54&amp;CHAR(10)&amp;CHAR(10)&amp;Blocos!$C$7&amp;" "&amp;Blocos!$C$21&amp;CHAR(10)&amp;CHAR(10)&amp;"Atenciosamente,"&amp;CHAR(10)&amp;$C$4)</f>
        <v/>
      </c>
    </row>
    <row r="10" ht="22" customHeight="1">
      <c r="B10" s="12" t="inlineStr">
        <is>
          <t>C&amp;C Registro do atendimento</t>
        </is>
      </c>
      <c r="C10" s="13" t="inlineStr"/>
      <c r="D10" s="14">
        <f>IF(D7="","",D7&amp;CHAR(10)&amp;CHAR(10)&amp;SUBSTITUTE(SUBSTITUTE(SUBSTITUTE(SUBSTITUTE(INDEX(Problemas!$F$3:$F$28,MATCH(D$7,Problemas!$C$3:$C$28,0)),"{nome}",IF(D12="","[NOME]",D12)),"{loc}",IF(D13="","[LOCALIZADOR]",UPPER(D13))),"{ticket}",IF(D14="","[TICKET]",D14)),"{categoria}",IF(D15="","[CATEGORIA]",D15))&amp;IF(D16="","",CHAR(10)&amp;"Ida realizada: "&amp;D16)&amp;IF(D17="","",CHAR(10)&amp;"Clube: "&amp;D17)&amp;CHAR(10)&amp;"Localizador: "&amp;IF(D13="","[LOCALIZADOR]",UPPER(D13))&amp;CHAR(10)&amp;"Tabulação: "&amp;D8&amp;CHAR(10)&amp;"Atendente: "&amp;$C$2&amp;" · "&amp;TEXT($C$3,"dd/mm hh:mm"))</f>
        <v/>
      </c>
      <c r="E10" s="14">
        <f>IF(E7="","",E7&amp;CHAR(10)&amp;CHAR(10)&amp;SUBSTITUTE(SUBSTITUTE(SUBSTITUTE(SUBSTITUTE(INDEX(Problemas!$F$3:$F$28,MATCH(E$7,Problemas!$C$3:$C$28,0)),"{nome}",IF(E12="","[NOME]",E12)),"{loc}",IF(E13="","[LOCALIZADOR]",UPPER(E13))),"{ticket}",IF(E14="","[TICKET]",E14)),"{categoria}",IF(E15="","[CATEGORIA]",E15))&amp;IF(E16="","",CHAR(10)&amp;"Ida realizada: "&amp;E16)&amp;IF(E17="","",CHAR(10)&amp;"Clube: "&amp;E17)&amp;CHAR(10)&amp;"Localizador: "&amp;IF(E13="","[LOCALIZADOR]",UPPER(E13))&amp;CHAR(10)&amp;"Tabulação: "&amp;E8&amp;CHAR(10)&amp;"Atendente: "&amp;$C$2&amp;" · "&amp;TEXT($C$3,"dd/mm hh:mm"))</f>
        <v/>
      </c>
      <c r="F10" s="14">
        <f>IF(F7="","",F7&amp;CHAR(10)&amp;CHAR(10)&amp;SUBSTITUTE(SUBSTITUTE(SUBSTITUTE(SUBSTITUTE(INDEX(Problemas!$F$3:$F$28,MATCH(F$7,Problemas!$C$3:$C$28,0)),"{nome}",IF(F12="","[NOME]",F12)),"{loc}",IF(F13="","[LOCALIZADOR]",UPPER(F13))),"{ticket}",IF(F14="","[TICKET]",F14)),"{categoria}",IF(F15="","[CATEGORIA]",F15))&amp;IF(F16="","",CHAR(10)&amp;"Ida realizada: "&amp;F16)&amp;IF(F17="","",CHAR(10)&amp;"Clube: "&amp;F17)&amp;CHAR(10)&amp;"Localizador: "&amp;IF(F13="","[LOCALIZADOR]",UPPER(F13))&amp;CHAR(10)&amp;"Tabulação: "&amp;F8&amp;CHAR(10)&amp;"Atendente: "&amp;$C$2&amp;" · "&amp;TEXT($C$3,"dd/mm hh:mm"))</f>
        <v/>
      </c>
      <c r="G10" s="14">
        <f>IF(G7="","",G7&amp;CHAR(10)&amp;CHAR(10)&amp;SUBSTITUTE(SUBSTITUTE(SUBSTITUTE(SUBSTITUTE(INDEX(Problemas!$F$3:$F$28,MATCH(G$7,Problemas!$C$3:$C$28,0)),"{nome}",IF(G12="","[NOME]",G12)),"{loc}",IF(G13="","[LOCALIZADOR]",UPPER(G13))),"{ticket}",IF(G14="","[TICKET]",G14)),"{categoria}",IF(G15="","[CATEGORIA]",G15))&amp;IF(G16="","",CHAR(10)&amp;"Ida realizada: "&amp;G16)&amp;IF(G17="","",CHAR(10)&amp;"Clube: "&amp;G17)&amp;CHAR(10)&amp;"Localizador: "&amp;IF(G13="","[LOCALIZADOR]",UPPER(G13))&amp;CHAR(10)&amp;"Tabulação: "&amp;G8&amp;CHAR(10)&amp;"Atendente: "&amp;$C$2&amp;" · "&amp;TEXT($C$3,"dd/mm hh:mm"))</f>
        <v/>
      </c>
      <c r="H10" s="14">
        <f>IF(H7="","",H7&amp;CHAR(10)&amp;CHAR(10)&amp;SUBSTITUTE(SUBSTITUTE(SUBSTITUTE(SUBSTITUTE(INDEX(Problemas!$F$3:$F$28,MATCH(H$7,Problemas!$C$3:$C$28,0)),"{nome}",IF(H12="","[NOME]",H12)),"{loc}",IF(H13="","[LOCALIZADOR]",UPPER(H13))),"{ticket}",IF(H14="","[TICKET]",H14)),"{categoria}",IF(H15="","[CATEGORIA]",H15))&amp;IF(H16="","",CHAR(10)&amp;"Ida realizada: "&amp;H16)&amp;IF(H17="","",CHAR(10)&amp;"Clube: "&amp;H17)&amp;CHAR(10)&amp;"Localizador: "&amp;IF(H13="","[LOCALIZADOR]",UPPER(H13))&amp;CHAR(10)&amp;"Tabulação: "&amp;H8&amp;CHAR(10)&amp;"Atendente: "&amp;$C$2&amp;" · "&amp;TEXT($C$3,"dd/mm hh:mm"))</f>
        <v/>
      </c>
      <c r="I10" s="14">
        <f>IF(I7="","",I7&amp;CHAR(10)&amp;CHAR(10)&amp;SUBSTITUTE(SUBSTITUTE(SUBSTITUTE(SUBSTITUTE(INDEX(Problemas!$F$3:$F$28,MATCH(I$7,Problemas!$C$3:$C$28,0)),"{nome}",IF(I12="","[NOME]",I12)),"{loc}",IF(I13="","[LOCALIZADOR]",UPPER(I13))),"{ticket}",IF(I14="","[TICKET]",I14)),"{categoria}",IF(I15="","[CATEGORIA]",I15))&amp;IF(I16="","",CHAR(10)&amp;"Ida realizada: "&amp;I16)&amp;IF(I17="","",CHAR(10)&amp;"Clube: "&amp;I17)&amp;CHAR(10)&amp;"Localizador: "&amp;IF(I13="","[LOCALIZADOR]",UPPER(I13))&amp;CHAR(10)&amp;"Tabulação: "&amp;I8&amp;CHAR(10)&amp;"Atendente: "&amp;$C$2&amp;" · "&amp;TEXT($C$3,"dd/mm hh:mm"))</f>
        <v/>
      </c>
    </row>
    <row r="11" ht="22" customHeight="1">
      <c r="B11" s="12" t="inlineStr">
        <is>
          <t>O que acrescentar</t>
        </is>
      </c>
      <c r="C11" s="13" t="inlineStr"/>
      <c r="D11" s="15">
        <f>IF(D7="","",INDEX(Problemas!$G$3:$G$28,MATCH(D$7,Problemas!$C$3:$C$28,0))&amp;IF(INDEX(Problemas!$H$3:$H$28,MATCH(D$7,Problemas!$C$3:$C$28,0))="Sim"," + Ida realizada",""))</f>
        <v/>
      </c>
      <c r="E11" s="15">
        <f>IF(E7="","",INDEX(Problemas!$G$3:$G$28,MATCH(E$7,Problemas!$C$3:$C$28,0))&amp;IF(INDEX(Problemas!$H$3:$H$28,MATCH(E$7,Problemas!$C$3:$C$28,0))="Sim"," + Ida realizada",""))</f>
        <v/>
      </c>
      <c r="F11" s="15">
        <f>IF(F7="","",INDEX(Problemas!$G$3:$G$28,MATCH(F$7,Problemas!$C$3:$C$28,0))&amp;IF(INDEX(Problemas!$H$3:$H$28,MATCH(F$7,Problemas!$C$3:$C$28,0))="Sim"," + Ida realizada",""))</f>
        <v/>
      </c>
      <c r="G11" s="15">
        <f>IF(G7="","",INDEX(Problemas!$G$3:$G$28,MATCH(G$7,Problemas!$C$3:$C$28,0))&amp;IF(INDEX(Problemas!$H$3:$H$28,MATCH(G$7,Problemas!$C$3:$C$28,0))="Sim"," + Ida realizada",""))</f>
        <v/>
      </c>
      <c r="H11" s="15">
        <f>IF(H7="","",INDEX(Problemas!$G$3:$G$28,MATCH(H$7,Problemas!$C$3:$C$28,0))&amp;IF(INDEX(Problemas!$H$3:$H$28,MATCH(H$7,Problemas!$C$3:$C$28,0))="Sim"," + Ida realizada",""))</f>
        <v/>
      </c>
      <c r="I11" s="15">
        <f>IF(I7="","",INDEX(Problemas!$G$3:$G$28,MATCH(I$7,Problemas!$C$3:$C$28,0))&amp;IF(INDEX(Problemas!$H$3:$H$28,MATCH(I$7,Problemas!$C$3:$C$28,0))="Sim"," + Ida realizada",""))</f>
        <v/>
      </c>
    </row>
    <row r="12" ht="22" customHeight="1">
      <c r="B12" s="3" t="inlineStr">
        <is>
          <t>Nome do cliente</t>
        </is>
      </c>
      <c r="C12" s="10" t="inlineStr"/>
      <c r="D12" s="11" t="inlineStr">
        <is>
          <t>Jorge</t>
        </is>
      </c>
      <c r="E12" s="11" t="inlineStr">
        <is>
          <t>Marina</t>
        </is>
      </c>
      <c r="F12" s="11" t="inlineStr">
        <is>
          <t>Carlos</t>
        </is>
      </c>
      <c r="G12" s="11" t="inlineStr"/>
      <c r="H12" s="11" t="inlineStr"/>
      <c r="I12" s="11" t="inlineStr"/>
    </row>
    <row r="13" ht="22" customHeight="1">
      <c r="B13" s="3" t="inlineStr">
        <is>
          <t>Localizador</t>
        </is>
      </c>
      <c r="C13" s="10" t="inlineStr"/>
      <c r="D13" s="11" t="inlineStr">
        <is>
          <t>SPAJKS</t>
        </is>
      </c>
      <c r="E13" s="11" t="inlineStr">
        <is>
          <t>QW7K2P</t>
        </is>
      </c>
      <c r="F13" s="11" t="inlineStr"/>
      <c r="G13" s="11" t="inlineStr"/>
      <c r="H13" s="11" t="inlineStr"/>
      <c r="I13" s="11" t="inlineStr"/>
    </row>
    <row r="14" ht="22" customHeight="1">
      <c r="B14" s="3" t="inlineStr">
        <is>
          <t>Ticket</t>
        </is>
      </c>
      <c r="C14" s="10" t="inlineStr"/>
      <c r="D14" s="11" t="inlineStr"/>
      <c r="E14" s="11" t="inlineStr">
        <is>
          <t>HZ-204577</t>
        </is>
      </c>
      <c r="F14" s="11" t="inlineStr"/>
      <c r="G14" s="11" t="inlineStr"/>
      <c r="H14" s="11" t="inlineStr"/>
      <c r="I14" s="11" t="inlineStr"/>
    </row>
    <row r="15" ht="22" customHeight="1">
      <c r="B15" s="3" t="inlineStr">
        <is>
          <t>Categoria</t>
        </is>
      </c>
      <c r="C15" s="10" t="inlineStr"/>
      <c r="D15" s="16" t="inlineStr">
        <is>
          <t>Ouro</t>
        </is>
      </c>
      <c r="E15" s="16" t="inlineStr">
        <is>
          <t>Prata</t>
        </is>
      </c>
      <c r="F15" s="16" t="inlineStr"/>
      <c r="G15" s="16" t="inlineStr"/>
      <c r="H15" s="16" t="inlineStr"/>
      <c r="I15" s="16" t="inlineStr"/>
    </row>
    <row r="16" ht="22" customHeight="1">
      <c r="B16" s="3" t="inlineStr">
        <is>
          <t>Ida realizada?</t>
        </is>
      </c>
      <c r="C16" s="10" t="inlineStr"/>
      <c r="D16" s="16" t="inlineStr"/>
      <c r="E16" s="16" t="inlineStr">
        <is>
          <t>Sim</t>
        </is>
      </c>
      <c r="F16" s="16" t="inlineStr"/>
      <c r="G16" s="16" t="inlineStr"/>
      <c r="H16" s="16" t="inlineStr"/>
      <c r="I16" s="16" t="inlineStr"/>
    </row>
    <row r="17" ht="22" customHeight="1">
      <c r="B17" s="3" t="inlineStr">
        <is>
          <t>Status do Clube</t>
        </is>
      </c>
      <c r="C17" s="10" t="inlineStr"/>
      <c r="D17" s="16" t="inlineStr">
        <is>
          <t>Elegível</t>
        </is>
      </c>
      <c r="E17" s="16" t="inlineStr">
        <is>
          <t>Suspenso</t>
        </is>
      </c>
      <c r="F17" s="16" t="inlineStr"/>
      <c r="G17" s="16" t="inlineStr"/>
      <c r="H17" s="16" t="inlineStr"/>
      <c r="I17" s="16" t="inlineStr"/>
    </row>
    <row r="18">
      <c r="B18" s="12" t="inlineStr">
        <is>
          <t>Falta preencher?</t>
        </is>
      </c>
      <c r="C18" s="13" t="inlineStr"/>
      <c r="D18" s="17">
        <f>IF(D7="","",IF(OR(AND(ISNUMBER(SEARCH("Nome",D11)),D12=""),AND(ISNUMBER(SEARCH("Localizador",D11)),D13=""),AND(ISNUMBER(SEARCH("Ticket",D11)),D14=""),AND(ISNUMBER(SEARCH("Categoria",D11)),D15=""),AND(ISNUMBER(SEARCH("Ida",D11)),D16="")),"FALTA INFORMAÇÃO","Pronto para copiar"))</f>
        <v/>
      </c>
      <c r="E18" s="17">
        <f>IF(E7="","",IF(OR(AND(ISNUMBER(SEARCH("Nome",E11)),E12=""),AND(ISNUMBER(SEARCH("Localizador",E11)),E13=""),AND(ISNUMBER(SEARCH("Ticket",E11)),E14=""),AND(ISNUMBER(SEARCH("Categoria",E11)),E15=""),AND(ISNUMBER(SEARCH("Ida",E11)),E16="")),"FALTA INFORMAÇÃO","Pronto para copiar"))</f>
        <v/>
      </c>
      <c r="F18" s="17">
        <f>IF(F7="","",IF(OR(AND(ISNUMBER(SEARCH("Nome",F11)),F12=""),AND(ISNUMBER(SEARCH("Localizador",F11)),F13=""),AND(ISNUMBER(SEARCH("Ticket",F11)),F14=""),AND(ISNUMBER(SEARCH("Categoria",F11)),F15=""),AND(ISNUMBER(SEARCH("Ida",F11)),F16="")),"FALTA INFORMAÇÃO","Pronto para copiar"))</f>
        <v/>
      </c>
      <c r="G18" s="17">
        <f>IF(G7="","",IF(OR(AND(ISNUMBER(SEARCH("Nome",G11)),G12=""),AND(ISNUMBER(SEARCH("Localizador",G11)),G13=""),AND(ISNUMBER(SEARCH("Ticket",G11)),G14=""),AND(ISNUMBER(SEARCH("Categoria",G11)),G15=""),AND(ISNUMBER(SEARCH("Ida",G11)),G16="")),"FALTA INFORMAÇÃO","Pronto para copiar"))</f>
        <v/>
      </c>
      <c r="H18" s="17">
        <f>IF(H7="","",IF(OR(AND(ISNUMBER(SEARCH("Nome",H11)),H12=""),AND(ISNUMBER(SEARCH("Localizador",H11)),H13=""),AND(ISNUMBER(SEARCH("Ticket",H11)),H14=""),AND(ISNUMBER(SEARCH("Categoria",H11)),H15=""),AND(ISNUMBER(SEARCH("Ida",H11)),H16="")),"FALTA INFORMAÇÃO","Pronto para copiar"))</f>
        <v/>
      </c>
      <c r="I18" s="17">
        <f>IF(I7="","",IF(OR(AND(ISNUMBER(SEARCH("Nome",I11)),I12=""),AND(ISNUMBER(SEARCH("Localizador",I11)),I13=""),AND(ISNUMBER(SEARCH("Ticket",I11)),I14=""),AND(ISNUMBER(SEARCH("Categoria",I11)),I15=""),AND(ISNUMBER(SEARCH("Ida",I11)),I16="")),"FALTA INFORMAÇÃO","Pronto para copiar"))</f>
        <v/>
      </c>
    </row>
  </sheetData>
  <mergeCells count="1">
    <mergeCell ref="B1:I1"/>
  </mergeCells>
  <conditionalFormatting sqref="D18">
    <cfRule type="expression" priority="1" dxfId="0">
      <formula>D18="FALTA INFORMAÇÃO"</formula>
    </cfRule>
    <cfRule type="expression" priority="2" dxfId="1">
      <formula>D18="Pronto para copiar"</formula>
    </cfRule>
  </conditionalFormatting>
  <conditionalFormatting sqref="D12">
    <cfRule type="expression" priority="3" dxfId="0">
      <formula>AND(D$7&lt;&gt;"",ISNUMBER(SEARCH("Nome",D$11)),D12="")</formula>
    </cfRule>
  </conditionalFormatting>
  <conditionalFormatting sqref="D13">
    <cfRule type="expression" priority="4" dxfId="0">
      <formula>AND(D$7&lt;&gt;"",ISNUMBER(SEARCH("Localizador",D$11)),D13="")</formula>
    </cfRule>
  </conditionalFormatting>
  <conditionalFormatting sqref="D14">
    <cfRule type="expression" priority="5" dxfId="0">
      <formula>AND(D$7&lt;&gt;"",ISNUMBER(SEARCH("Ticket",D$11)),D14="")</formula>
    </cfRule>
  </conditionalFormatting>
  <conditionalFormatting sqref="D15">
    <cfRule type="expression" priority="6" dxfId="0">
      <formula>AND(D$7&lt;&gt;"",ISNUMBER(SEARCH("Categoria",D$11)),D15="")</formula>
    </cfRule>
  </conditionalFormatting>
  <conditionalFormatting sqref="D16">
    <cfRule type="expression" priority="7" dxfId="0">
      <formula>AND(D$7&lt;&gt;"",ISNUMBER(SEARCH("Ida",D$11)),D16="")</formula>
    </cfRule>
  </conditionalFormatting>
  <conditionalFormatting sqref="E18">
    <cfRule type="expression" priority="8" dxfId="0">
      <formula>E18="FALTA INFORMAÇÃO"</formula>
    </cfRule>
    <cfRule type="expression" priority="9" dxfId="1">
      <formula>E18="Pronto para copiar"</formula>
    </cfRule>
  </conditionalFormatting>
  <conditionalFormatting sqref="E12">
    <cfRule type="expression" priority="10" dxfId="0">
      <formula>AND(E$7&lt;&gt;"",ISNUMBER(SEARCH("Nome",E$11)),E12="")</formula>
    </cfRule>
  </conditionalFormatting>
  <conditionalFormatting sqref="E13">
    <cfRule type="expression" priority="11" dxfId="0">
      <formula>AND(E$7&lt;&gt;"",ISNUMBER(SEARCH("Localizador",E$11)),E13="")</formula>
    </cfRule>
  </conditionalFormatting>
  <conditionalFormatting sqref="E14">
    <cfRule type="expression" priority="12" dxfId="0">
      <formula>AND(E$7&lt;&gt;"",ISNUMBER(SEARCH("Ticket",E$11)),E14="")</formula>
    </cfRule>
  </conditionalFormatting>
  <conditionalFormatting sqref="E15">
    <cfRule type="expression" priority="13" dxfId="0">
      <formula>AND(E$7&lt;&gt;"",ISNUMBER(SEARCH("Categoria",E$11)),E15="")</formula>
    </cfRule>
  </conditionalFormatting>
  <conditionalFormatting sqref="E16">
    <cfRule type="expression" priority="14" dxfId="0">
      <formula>AND(E$7&lt;&gt;"",ISNUMBER(SEARCH("Ida",E$11)),E16="")</formula>
    </cfRule>
  </conditionalFormatting>
  <conditionalFormatting sqref="F18">
    <cfRule type="expression" priority="15" dxfId="0">
      <formula>F18="FALTA INFORMAÇÃO"</formula>
    </cfRule>
    <cfRule type="expression" priority="16" dxfId="1">
      <formula>F18="Pronto para copiar"</formula>
    </cfRule>
  </conditionalFormatting>
  <conditionalFormatting sqref="F12">
    <cfRule type="expression" priority="17" dxfId="0">
      <formula>AND(F$7&lt;&gt;"",ISNUMBER(SEARCH("Nome",F$11)),F12="")</formula>
    </cfRule>
  </conditionalFormatting>
  <conditionalFormatting sqref="F13">
    <cfRule type="expression" priority="18" dxfId="0">
      <formula>AND(F$7&lt;&gt;"",ISNUMBER(SEARCH("Localizador",F$11)),F13="")</formula>
    </cfRule>
  </conditionalFormatting>
  <conditionalFormatting sqref="F14">
    <cfRule type="expression" priority="19" dxfId="0">
      <formula>AND(F$7&lt;&gt;"",ISNUMBER(SEARCH("Ticket",F$11)),F14="")</formula>
    </cfRule>
  </conditionalFormatting>
  <conditionalFormatting sqref="F15">
    <cfRule type="expression" priority="20" dxfId="0">
      <formula>AND(F$7&lt;&gt;"",ISNUMBER(SEARCH("Categoria",F$11)),F15="")</formula>
    </cfRule>
  </conditionalFormatting>
  <conditionalFormatting sqref="F16">
    <cfRule type="expression" priority="21" dxfId="0">
      <formula>AND(F$7&lt;&gt;"",ISNUMBER(SEARCH("Ida",F$11)),F16="")</formula>
    </cfRule>
  </conditionalFormatting>
  <conditionalFormatting sqref="G18">
    <cfRule type="expression" priority="22" dxfId="0">
      <formula>G18="FALTA INFORMAÇÃO"</formula>
    </cfRule>
    <cfRule type="expression" priority="23" dxfId="1">
      <formula>G18="Pronto para copiar"</formula>
    </cfRule>
  </conditionalFormatting>
  <conditionalFormatting sqref="G12">
    <cfRule type="expression" priority="24" dxfId="0">
      <formula>AND(G$7&lt;&gt;"",ISNUMBER(SEARCH("Nome",G$11)),G12="")</formula>
    </cfRule>
  </conditionalFormatting>
  <conditionalFormatting sqref="G13">
    <cfRule type="expression" priority="25" dxfId="0">
      <formula>AND(G$7&lt;&gt;"",ISNUMBER(SEARCH("Localizador",G$11)),G13="")</formula>
    </cfRule>
  </conditionalFormatting>
  <conditionalFormatting sqref="G14">
    <cfRule type="expression" priority="26" dxfId="0">
      <formula>AND(G$7&lt;&gt;"",ISNUMBER(SEARCH("Ticket",G$11)),G14="")</formula>
    </cfRule>
  </conditionalFormatting>
  <conditionalFormatting sqref="G15">
    <cfRule type="expression" priority="27" dxfId="0">
      <formula>AND(G$7&lt;&gt;"",ISNUMBER(SEARCH("Categoria",G$11)),G15="")</formula>
    </cfRule>
  </conditionalFormatting>
  <conditionalFormatting sqref="G16">
    <cfRule type="expression" priority="28" dxfId="0">
      <formula>AND(G$7&lt;&gt;"",ISNUMBER(SEARCH("Ida",G$11)),G16="")</formula>
    </cfRule>
  </conditionalFormatting>
  <conditionalFormatting sqref="H18">
    <cfRule type="expression" priority="29" dxfId="0">
      <formula>H18="FALTA INFORMAÇÃO"</formula>
    </cfRule>
    <cfRule type="expression" priority="30" dxfId="1">
      <formula>H18="Pronto para copiar"</formula>
    </cfRule>
  </conditionalFormatting>
  <conditionalFormatting sqref="H12">
    <cfRule type="expression" priority="31" dxfId="0">
      <formula>AND(H$7&lt;&gt;"",ISNUMBER(SEARCH("Nome",H$11)),H12="")</formula>
    </cfRule>
  </conditionalFormatting>
  <conditionalFormatting sqref="H13">
    <cfRule type="expression" priority="32" dxfId="0">
      <formula>AND(H$7&lt;&gt;"",ISNUMBER(SEARCH("Localizador",H$11)),H13="")</formula>
    </cfRule>
  </conditionalFormatting>
  <conditionalFormatting sqref="H14">
    <cfRule type="expression" priority="33" dxfId="0">
      <formula>AND(H$7&lt;&gt;"",ISNUMBER(SEARCH("Ticket",H$11)),H14="")</formula>
    </cfRule>
  </conditionalFormatting>
  <conditionalFormatting sqref="H15">
    <cfRule type="expression" priority="34" dxfId="0">
      <formula>AND(H$7&lt;&gt;"",ISNUMBER(SEARCH("Categoria",H$11)),H15="")</formula>
    </cfRule>
  </conditionalFormatting>
  <conditionalFormatting sqref="H16">
    <cfRule type="expression" priority="35" dxfId="0">
      <formula>AND(H$7&lt;&gt;"",ISNUMBER(SEARCH("Ida",H$11)),H16="")</formula>
    </cfRule>
  </conditionalFormatting>
  <conditionalFormatting sqref="I18">
    <cfRule type="expression" priority="36" dxfId="0">
      <formula>I18="FALTA INFORMAÇÃO"</formula>
    </cfRule>
    <cfRule type="expression" priority="37" dxfId="1">
      <formula>I18="Pronto para copiar"</formula>
    </cfRule>
  </conditionalFormatting>
  <conditionalFormatting sqref="I12">
    <cfRule type="expression" priority="38" dxfId="0">
      <formula>AND(I$7&lt;&gt;"",ISNUMBER(SEARCH("Nome",I$11)),I12="")</formula>
    </cfRule>
  </conditionalFormatting>
  <conditionalFormatting sqref="I13">
    <cfRule type="expression" priority="39" dxfId="0">
      <formula>AND(I$7&lt;&gt;"",ISNUMBER(SEARCH("Localizador",I$11)),I13="")</formula>
    </cfRule>
  </conditionalFormatting>
  <conditionalFormatting sqref="I14">
    <cfRule type="expression" priority="40" dxfId="0">
      <formula>AND(I$7&lt;&gt;"",ISNUMBER(SEARCH("Ticket",I$11)),I14="")</formula>
    </cfRule>
  </conditionalFormatting>
  <conditionalFormatting sqref="I15">
    <cfRule type="expression" priority="41" dxfId="0">
      <formula>AND(I$7&lt;&gt;"",ISNUMBER(SEARCH("Categoria",I$11)),I15="")</formula>
    </cfRule>
  </conditionalFormatting>
  <conditionalFormatting sqref="I16">
    <cfRule type="expression" priority="42" dxfId="0">
      <formula>AND(I$7&lt;&gt;"",ISNUMBER(SEARCH("Ida",I$11)),I16="")</formula>
    </cfRule>
  </conditionalFormatting>
  <dataValidations count="5">
    <dataValidation sqref="D7 E7 F7 G7 H7 I7" showDropDown="0" showInputMessage="0" showErrorMessage="0" allowBlank="1" type="list">
      <formula1>=Problemas!$C$3:$C$28</formula1>
    </dataValidation>
    <dataValidation sqref="D15 E15 F15 G15 H15 I15" showDropDown="0" showInputMessage="0" showErrorMessage="0" allowBlank="1" type="list">
      <formula1>=Blocos!$B$37:$B$40</formula1>
    </dataValidation>
    <dataValidation sqref="D16 E16 F16 G16 H16 I16" showDropDown="0" showInputMessage="0" showErrorMessage="0" allowBlank="1" type="list">
      <formula1>=Blocos!$B$50:$B$51</formula1>
    </dataValidation>
    <dataValidation sqref="D17 E17 F17 G17 H17 I17" showDropDown="0" showInputMessage="0" showErrorMessage="0" allowBlank="1" type="list">
      <formula1>=Blocos!$B$43:$B$47</formula1>
    </dataValidation>
    <dataValidation sqref="C2" showDropDown="0" showInputMessage="0" showErrorMessage="0" allowBlank="0" type="list">
      <formula1>=Equipe!$F$3:$F$14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44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</cols>
  <sheetData>
    <row r="1" ht="30" customHeight="1">
      <c r="B1" s="18" t="inlineStr">
        <is>
          <t>VN · VOOS NACIONAIS  ·  cole a linha do sistema (formato Sabre: 1  HZ 1245 W CZS BSB 23DEC 1240-2005 1 HK01 /E)</t>
        </is>
      </c>
      <c r="C1" s="19" t="n"/>
      <c r="D1" s="19" t="n"/>
      <c r="E1" s="19" t="n"/>
      <c r="F1" s="19" t="n"/>
      <c r="G1" s="19" t="n"/>
      <c r="H1" s="19" t="n"/>
      <c r="I1" s="19" t="n"/>
    </row>
    <row r="2">
      <c r="B2" s="20" t="inlineStr">
        <is>
          <t>Cole a linha crua do sistema, um trecho por linha</t>
        </is>
      </c>
      <c r="C2" s="21" t="n"/>
      <c r="D2" s="21" t="n"/>
      <c r="E2" s="21" t="n"/>
      <c r="F2" s="21" t="n"/>
      <c r="G2" s="21" t="n"/>
      <c r="H2" s="21" t="n"/>
      <c r="I2" s="21" t="n"/>
    </row>
    <row r="3" ht="20" customHeight="1">
      <c r="B3" s="22" t="inlineStr">
        <is>
          <t>Trecho de ida</t>
        </is>
      </c>
      <c r="C3" s="23" t="inlineStr">
        <is>
          <t>1  HZ 1245 W CZS BSB 23DEC 1240-2005 1 HK01 /E</t>
        </is>
      </c>
    </row>
    <row r="4" ht="20" customHeight="1">
      <c r="B4" s="22" t="inlineStr">
        <is>
          <t>Conexão 1</t>
        </is>
      </c>
      <c r="C4" s="23" t="inlineStr">
        <is>
          <t>2  HZ 1286 W BSB VCP 23DEC 2100-2245 0 HK01 /E</t>
        </is>
      </c>
    </row>
    <row r="5" ht="20" customHeight="1">
      <c r="B5" s="22" t="inlineStr">
        <is>
          <t>Conexão 2</t>
        </is>
      </c>
      <c r="C5" s="23" t="inlineStr"/>
    </row>
    <row r="6" ht="20" customHeight="1">
      <c r="B6" s="24" t="inlineStr">
        <is>
          <t>Trecho de volta</t>
        </is>
      </c>
      <c r="C6" s="23" t="inlineStr">
        <is>
          <t>3  MR 2210 Y VCP CZS 02JAN 0815-1330 1 HK01 /E</t>
        </is>
      </c>
    </row>
    <row r="7" ht="20" customHeight="1">
      <c r="B7" s="24" t="inlineStr">
        <is>
          <t>Conexão 1</t>
        </is>
      </c>
      <c r="C7" s="23" t="inlineStr"/>
    </row>
    <row r="8" ht="20" customHeight="1">
      <c r="B8" s="24" t="inlineStr">
        <is>
          <t>Conexão 2</t>
        </is>
      </c>
      <c r="C8" s="23" t="inlineStr"/>
    </row>
    <row r="10">
      <c r="B10" s="25" t="inlineStr">
        <is>
          <t>Trecho</t>
        </is>
      </c>
      <c r="C10" s="25" t="inlineStr">
        <is>
          <t>Voo</t>
        </is>
      </c>
      <c r="D10" s="25" t="inlineStr">
        <is>
          <t>De → Para</t>
        </is>
      </c>
      <c r="E10" s="25" t="inlineStr">
        <is>
          <t>Data</t>
        </is>
      </c>
      <c r="F10" s="25" t="inlineStr">
        <is>
          <t>Saída</t>
        </is>
      </c>
      <c r="G10" s="25" t="inlineStr">
        <is>
          <t>Chegada</t>
        </is>
      </c>
      <c r="H10" s="25" t="inlineStr">
        <is>
          <t>Status</t>
        </is>
      </c>
      <c r="I10" s="25" t="inlineStr">
        <is>
          <t>Texto (C&amp;C)</t>
        </is>
      </c>
    </row>
    <row r="11" ht="20" customHeight="1">
      <c r="B11" s="26">
        <f>IF($C$3="","","Ida")</f>
        <v/>
      </c>
      <c r="C11" s="26">
        <f>IF($C$3="","",TRIM(MID(SUBSTITUTE(TRIM($C$3)," ",REPT(" ",200)),201,200))&amp;" "&amp;TRIM(MID(SUBSTITUTE(TRIM($C$3)," ",REPT(" ",200)),401,200))&amp;IF(TRIM(MID(SUBSTITUTE(TRIM($C$3)," ",REPT(" ",200)),601,200))=""," "," · classe "&amp;TRIM(MID(SUBSTITUTE(TRIM($C$3)," ",REPT(" ",200)),601,200))))</f>
        <v/>
      </c>
      <c r="D11" s="26">
        <f>IF($C$3="","",IFERROR(INDEX(Aeroportos!$B$3:$B$37,MATCH(TRIM(MID(SUBSTITUTE(TRIM($C$3)," ",REPT(" ",200)),801,200)),Aeroportos!$A$3:$A$37,0)),TRIM(MID(SUBSTITUTE(TRIM($C$3)," ",REPT(" ",200)),801,200)))&amp;" ("&amp;TRIM(MID(SUBSTITUTE(TRIM($C$3)," ",REPT(" ",200)),801,200))&amp;") → "&amp;IFERROR(INDEX(Aeroportos!$B$3:$B$37,MATCH(TRIM(MID(SUBSTITUTE(TRIM($C$3)," ",REPT(" ",200)),1001,200)),Aeroportos!$A$3:$A$37,0)),TRIM(MID(SUBSTITUTE(TRIM($C$3)," ",REPT(" ",200)),1001,200)))&amp;" ("&amp;TRIM(MID(SUBSTITUTE(TRIM($C$3)," ",REPT(" ",200)),1001,200))&amp;")")</f>
        <v/>
      </c>
      <c r="E11" s="26">
        <f>IF($C$3="","",LEFT(TRIM(MID(SUBSTITUTE(TRIM($C$3)," ",REPT(" ",200)),1201,200)),2)&amp;" de "&amp;IFERROR(INDEX(Aeroportos!$H$3:$H$14,MATCH(MID(TRIM(MID(SUBSTITUTE(TRIM($C$3)," ",REPT(" ",200)),1201,200)),3,3),Aeroportos!$G$3:$G$14,0)),MID(TRIM(MID(SUBSTITUTE(TRIM($C$3)," ",REPT(" ",200)),1201,200)),3,3)))</f>
        <v/>
      </c>
      <c r="F11" s="27">
        <f>IF($C$3="","",LEFT(TRIM(MID(SUBSTITUTE(TRIM($C$3)," ",REPT(" ",200)),1401,200)),2)&amp;":"&amp;MID(TRIM(MID(SUBSTITUTE(TRIM($C$3)," ",REPT(" ",200)),1401,200)),3,2))</f>
        <v/>
      </c>
      <c r="G11" s="27">
        <f>IF($C$3="","",MID(TRIM(MID(SUBSTITUTE(TRIM($C$3)," ",REPT(" ",200)),1401,200)),6,2)&amp;":"&amp;MID(TRIM(MID(SUBSTITUTE(TRIM($C$3)," ",REPT(" ",200)),1401,200)),8,2))</f>
        <v/>
      </c>
      <c r="H11" s="27">
        <f>IF($C$3="","",TRIM(MID(SUBSTITUTE(TRIM($C$3)," ",REPT(" ",200)),1801,200)))</f>
        <v/>
      </c>
      <c r="I11" s="28">
        <f>IF($C$3="","",B11&amp;": "&amp;IFERROR(INDEX(Aeroportos!$E$3:$E$8,MATCH(TRIM(MID(SUBSTITUTE(TRIM($C$3)," ",REPT(" ",200)),201,200)),Aeroportos!$D$3:$D$8,0)),TRIM(MID(SUBSTITUTE(TRIM($C$3)," ",REPT(" ",200)),201,200)))&amp;" "&amp;TRIM(MID(SUBSTITUTE(TRIM($C$3)," ",REPT(" ",200)),401,200))&amp;" · "&amp;D11&amp;CHAR(10)&amp;E11&amp;" · "&amp;F11&amp;" – "&amp;G11&amp;"")</f>
        <v/>
      </c>
    </row>
    <row r="12" ht="20" customHeight="1">
      <c r="B12" s="26">
        <f>IF($C$4="","","Ida · conexão 1")</f>
        <v/>
      </c>
      <c r="C12" s="26">
        <f>IF($C$4="","",TRIM(MID(SUBSTITUTE(TRIM($C$4)," ",REPT(" ",200)),201,200))&amp;" "&amp;TRIM(MID(SUBSTITUTE(TRIM($C$4)," ",REPT(" ",200)),401,200))&amp;IF(TRIM(MID(SUBSTITUTE(TRIM($C$4)," ",REPT(" ",200)),601,200))=""," "," · classe "&amp;TRIM(MID(SUBSTITUTE(TRIM($C$4)," ",REPT(" ",200)),601,200))))</f>
        <v/>
      </c>
      <c r="D12" s="26">
        <f>IF($C$4="","",IFERROR(INDEX(Aeroportos!$B$3:$B$37,MATCH(TRIM(MID(SUBSTITUTE(TRIM($C$4)," ",REPT(" ",200)),801,200)),Aeroportos!$A$3:$A$37,0)),TRIM(MID(SUBSTITUTE(TRIM($C$4)," ",REPT(" ",200)),801,200)))&amp;" ("&amp;TRIM(MID(SUBSTITUTE(TRIM($C$4)," ",REPT(" ",200)),801,200))&amp;") → "&amp;IFERROR(INDEX(Aeroportos!$B$3:$B$37,MATCH(TRIM(MID(SUBSTITUTE(TRIM($C$4)," ",REPT(" ",200)),1001,200)),Aeroportos!$A$3:$A$37,0)),TRIM(MID(SUBSTITUTE(TRIM($C$4)," ",REPT(" ",200)),1001,200)))&amp;" ("&amp;TRIM(MID(SUBSTITUTE(TRIM($C$4)," ",REPT(" ",200)),1001,200))&amp;")")</f>
        <v/>
      </c>
      <c r="E12" s="26">
        <f>IF($C$4="","",LEFT(TRIM(MID(SUBSTITUTE(TRIM($C$4)," ",REPT(" ",200)),1201,200)),2)&amp;" de "&amp;IFERROR(INDEX(Aeroportos!$H$3:$H$14,MATCH(MID(TRIM(MID(SUBSTITUTE(TRIM($C$4)," ",REPT(" ",200)),1201,200)),3,3),Aeroportos!$G$3:$G$14,0)),MID(TRIM(MID(SUBSTITUTE(TRIM($C$4)," ",REPT(" ",200)),1201,200)),3,3)))</f>
        <v/>
      </c>
      <c r="F12" s="27">
        <f>IF($C$4="","",LEFT(TRIM(MID(SUBSTITUTE(TRIM($C$4)," ",REPT(" ",200)),1401,200)),2)&amp;":"&amp;MID(TRIM(MID(SUBSTITUTE(TRIM($C$4)," ",REPT(" ",200)),1401,200)),3,2))</f>
        <v/>
      </c>
      <c r="G12" s="27">
        <f>IF($C$4="","",MID(TRIM(MID(SUBSTITUTE(TRIM($C$4)," ",REPT(" ",200)),1401,200)),6,2)&amp;":"&amp;MID(TRIM(MID(SUBSTITUTE(TRIM($C$4)," ",REPT(" ",200)),1401,200)),8,2))</f>
        <v/>
      </c>
      <c r="H12" s="27">
        <f>IF($C$4="","",TRIM(MID(SUBSTITUTE(TRIM($C$4)," ",REPT(" ",200)),1801,200)))</f>
        <v/>
      </c>
      <c r="I12" s="28">
        <f>IF($C$4="","",B12&amp;": "&amp;IFERROR(INDEX(Aeroportos!$E$3:$E$8,MATCH(TRIM(MID(SUBSTITUTE(TRIM($C$4)," ",REPT(" ",200)),201,200)),Aeroportos!$D$3:$D$8,0)),TRIM(MID(SUBSTITUTE(TRIM($C$4)," ",REPT(" ",200)),201,200)))&amp;" "&amp;TRIM(MID(SUBSTITUTE(TRIM($C$4)," ",REPT(" ",200)),401,200))&amp;" · "&amp;D12&amp;CHAR(10)&amp;E12&amp;" · "&amp;F12&amp;" – "&amp;G12&amp;"")</f>
        <v/>
      </c>
    </row>
    <row r="13" ht="20" customHeight="1">
      <c r="B13" s="26">
        <f>IF($C$5="","","Ida · conexão 2")</f>
        <v/>
      </c>
      <c r="C13" s="26">
        <f>IF($C$5="","",TRIM(MID(SUBSTITUTE(TRIM($C$5)," ",REPT(" ",200)),201,200))&amp;" "&amp;TRIM(MID(SUBSTITUTE(TRIM($C$5)," ",REPT(" ",200)),401,200))&amp;IF(TRIM(MID(SUBSTITUTE(TRIM($C$5)," ",REPT(" ",200)),601,200))=""," "," · classe "&amp;TRIM(MID(SUBSTITUTE(TRIM($C$5)," ",REPT(" ",200)),601,200))))</f>
        <v/>
      </c>
      <c r="D13" s="26">
        <f>IF($C$5="","",IFERROR(INDEX(Aeroportos!$B$3:$B$37,MATCH(TRIM(MID(SUBSTITUTE(TRIM($C$5)," ",REPT(" ",200)),801,200)),Aeroportos!$A$3:$A$37,0)),TRIM(MID(SUBSTITUTE(TRIM($C$5)," ",REPT(" ",200)),801,200)))&amp;" ("&amp;TRIM(MID(SUBSTITUTE(TRIM($C$5)," ",REPT(" ",200)),801,200))&amp;") → "&amp;IFERROR(INDEX(Aeroportos!$B$3:$B$37,MATCH(TRIM(MID(SUBSTITUTE(TRIM($C$5)," ",REPT(" ",200)),1001,200)),Aeroportos!$A$3:$A$37,0)),TRIM(MID(SUBSTITUTE(TRIM($C$5)," ",REPT(" ",200)),1001,200)))&amp;" ("&amp;TRIM(MID(SUBSTITUTE(TRIM($C$5)," ",REPT(" ",200)),1001,200))&amp;")")</f>
        <v/>
      </c>
      <c r="E13" s="26">
        <f>IF($C$5="","",LEFT(TRIM(MID(SUBSTITUTE(TRIM($C$5)," ",REPT(" ",200)),1201,200)),2)&amp;" de "&amp;IFERROR(INDEX(Aeroportos!$H$3:$H$14,MATCH(MID(TRIM(MID(SUBSTITUTE(TRIM($C$5)," ",REPT(" ",200)),1201,200)),3,3),Aeroportos!$G$3:$G$14,0)),MID(TRIM(MID(SUBSTITUTE(TRIM($C$5)," ",REPT(" ",200)),1201,200)),3,3)))</f>
        <v/>
      </c>
      <c r="F13" s="27">
        <f>IF($C$5="","",LEFT(TRIM(MID(SUBSTITUTE(TRIM($C$5)," ",REPT(" ",200)),1401,200)),2)&amp;":"&amp;MID(TRIM(MID(SUBSTITUTE(TRIM($C$5)," ",REPT(" ",200)),1401,200)),3,2))</f>
        <v/>
      </c>
      <c r="G13" s="27">
        <f>IF($C$5="","",MID(TRIM(MID(SUBSTITUTE(TRIM($C$5)," ",REPT(" ",200)),1401,200)),6,2)&amp;":"&amp;MID(TRIM(MID(SUBSTITUTE(TRIM($C$5)," ",REPT(" ",200)),1401,200)),8,2))</f>
        <v/>
      </c>
      <c r="H13" s="27">
        <f>IF($C$5="","",TRIM(MID(SUBSTITUTE(TRIM($C$5)," ",REPT(" ",200)),1801,200)))</f>
        <v/>
      </c>
      <c r="I13" s="28">
        <f>IF($C$5="","",B13&amp;": "&amp;IFERROR(INDEX(Aeroportos!$E$3:$E$8,MATCH(TRIM(MID(SUBSTITUTE(TRIM($C$5)," ",REPT(" ",200)),201,200)),Aeroportos!$D$3:$D$8,0)),TRIM(MID(SUBSTITUTE(TRIM($C$5)," ",REPT(" ",200)),201,200)))&amp;" "&amp;TRIM(MID(SUBSTITUTE(TRIM($C$5)," ",REPT(" ",200)),401,200))&amp;" · "&amp;D13&amp;CHAR(10)&amp;E13&amp;" · "&amp;F13&amp;" – "&amp;G13&amp;"")</f>
        <v/>
      </c>
    </row>
    <row r="14" ht="20" customHeight="1">
      <c r="B14" s="26">
        <f>IF($C$6="","","Volta")</f>
        <v/>
      </c>
      <c r="C14" s="26">
        <f>IF($C$6="","",TRIM(MID(SUBSTITUTE(TRIM($C$6)," ",REPT(" ",200)),201,200))&amp;" "&amp;TRIM(MID(SUBSTITUTE(TRIM($C$6)," ",REPT(" ",200)),401,200))&amp;IF(TRIM(MID(SUBSTITUTE(TRIM($C$6)," ",REPT(" ",200)),601,200))=""," "," · classe "&amp;TRIM(MID(SUBSTITUTE(TRIM($C$6)," ",REPT(" ",200)),601,200))))</f>
        <v/>
      </c>
      <c r="D14" s="26">
        <f>IF($C$6="","",IFERROR(INDEX(Aeroportos!$B$3:$B$37,MATCH(TRIM(MID(SUBSTITUTE(TRIM($C$6)," ",REPT(" ",200)),801,200)),Aeroportos!$A$3:$A$37,0)),TRIM(MID(SUBSTITUTE(TRIM($C$6)," ",REPT(" ",200)),801,200)))&amp;" ("&amp;TRIM(MID(SUBSTITUTE(TRIM($C$6)," ",REPT(" ",200)),801,200))&amp;") → "&amp;IFERROR(INDEX(Aeroportos!$B$3:$B$37,MATCH(TRIM(MID(SUBSTITUTE(TRIM($C$6)," ",REPT(" ",200)),1001,200)),Aeroportos!$A$3:$A$37,0)),TRIM(MID(SUBSTITUTE(TRIM($C$6)," ",REPT(" ",200)),1001,200)))&amp;" ("&amp;TRIM(MID(SUBSTITUTE(TRIM($C$6)," ",REPT(" ",200)),1001,200))&amp;")")</f>
        <v/>
      </c>
      <c r="E14" s="26">
        <f>IF($C$6="","",LEFT(TRIM(MID(SUBSTITUTE(TRIM($C$6)," ",REPT(" ",200)),1201,200)),2)&amp;" de "&amp;IFERROR(INDEX(Aeroportos!$H$3:$H$14,MATCH(MID(TRIM(MID(SUBSTITUTE(TRIM($C$6)," ",REPT(" ",200)),1201,200)),3,3),Aeroportos!$G$3:$G$14,0)),MID(TRIM(MID(SUBSTITUTE(TRIM($C$6)," ",REPT(" ",200)),1201,200)),3,3)))</f>
        <v/>
      </c>
      <c r="F14" s="27">
        <f>IF($C$6="","",LEFT(TRIM(MID(SUBSTITUTE(TRIM($C$6)," ",REPT(" ",200)),1401,200)),2)&amp;":"&amp;MID(TRIM(MID(SUBSTITUTE(TRIM($C$6)," ",REPT(" ",200)),1401,200)),3,2))</f>
        <v/>
      </c>
      <c r="G14" s="27">
        <f>IF($C$6="","",MID(TRIM(MID(SUBSTITUTE(TRIM($C$6)," ",REPT(" ",200)),1401,200)),6,2)&amp;":"&amp;MID(TRIM(MID(SUBSTITUTE(TRIM($C$6)," ",REPT(" ",200)),1401,200)),8,2))</f>
        <v/>
      </c>
      <c r="H14" s="27">
        <f>IF($C$6="","",TRIM(MID(SUBSTITUTE(TRIM($C$6)," ",REPT(" ",200)),1801,200)))</f>
        <v/>
      </c>
      <c r="I14" s="28">
        <f>IF($C$6="","",B14&amp;": "&amp;IFERROR(INDEX(Aeroportos!$E$3:$E$8,MATCH(TRIM(MID(SUBSTITUTE(TRIM($C$6)," ",REPT(" ",200)),201,200)),Aeroportos!$D$3:$D$8,0)),TRIM(MID(SUBSTITUTE(TRIM($C$6)," ",REPT(" ",200)),201,200)))&amp;" "&amp;TRIM(MID(SUBSTITUTE(TRIM($C$6)," ",REPT(" ",200)),401,200))&amp;" · "&amp;D14&amp;CHAR(10)&amp;E14&amp;" · "&amp;F14&amp;" – "&amp;G14&amp;"")</f>
        <v/>
      </c>
    </row>
    <row r="15" ht="20" customHeight="1">
      <c r="B15" s="26">
        <f>IF($C$7="","","Volta · conexão 1")</f>
        <v/>
      </c>
      <c r="C15" s="26">
        <f>IF($C$7="","",TRIM(MID(SUBSTITUTE(TRIM($C$7)," ",REPT(" ",200)),201,200))&amp;" "&amp;TRIM(MID(SUBSTITUTE(TRIM($C$7)," ",REPT(" ",200)),401,200))&amp;IF(TRIM(MID(SUBSTITUTE(TRIM($C$7)," ",REPT(" ",200)),601,200))=""," "," · classe "&amp;TRIM(MID(SUBSTITUTE(TRIM($C$7)," ",REPT(" ",200)),601,200))))</f>
        <v/>
      </c>
      <c r="D15" s="26">
        <f>IF($C$7="","",IFERROR(INDEX(Aeroportos!$B$3:$B$37,MATCH(TRIM(MID(SUBSTITUTE(TRIM($C$7)," ",REPT(" ",200)),801,200)),Aeroportos!$A$3:$A$37,0)),TRIM(MID(SUBSTITUTE(TRIM($C$7)," ",REPT(" ",200)),801,200)))&amp;" ("&amp;TRIM(MID(SUBSTITUTE(TRIM($C$7)," ",REPT(" ",200)),801,200))&amp;") → "&amp;IFERROR(INDEX(Aeroportos!$B$3:$B$37,MATCH(TRIM(MID(SUBSTITUTE(TRIM($C$7)," ",REPT(" ",200)),1001,200)),Aeroportos!$A$3:$A$37,0)),TRIM(MID(SUBSTITUTE(TRIM($C$7)," ",REPT(" ",200)),1001,200)))&amp;" ("&amp;TRIM(MID(SUBSTITUTE(TRIM($C$7)," ",REPT(" ",200)),1001,200))&amp;")")</f>
        <v/>
      </c>
      <c r="E15" s="26">
        <f>IF($C$7="","",LEFT(TRIM(MID(SUBSTITUTE(TRIM($C$7)," ",REPT(" ",200)),1201,200)),2)&amp;" de "&amp;IFERROR(INDEX(Aeroportos!$H$3:$H$14,MATCH(MID(TRIM(MID(SUBSTITUTE(TRIM($C$7)," ",REPT(" ",200)),1201,200)),3,3),Aeroportos!$G$3:$G$14,0)),MID(TRIM(MID(SUBSTITUTE(TRIM($C$7)," ",REPT(" ",200)),1201,200)),3,3)))</f>
        <v/>
      </c>
      <c r="F15" s="27">
        <f>IF($C$7="","",LEFT(TRIM(MID(SUBSTITUTE(TRIM($C$7)," ",REPT(" ",200)),1401,200)),2)&amp;":"&amp;MID(TRIM(MID(SUBSTITUTE(TRIM($C$7)," ",REPT(" ",200)),1401,200)),3,2))</f>
        <v/>
      </c>
      <c r="G15" s="27">
        <f>IF($C$7="","",MID(TRIM(MID(SUBSTITUTE(TRIM($C$7)," ",REPT(" ",200)),1401,200)),6,2)&amp;":"&amp;MID(TRIM(MID(SUBSTITUTE(TRIM($C$7)," ",REPT(" ",200)),1401,200)),8,2))</f>
        <v/>
      </c>
      <c r="H15" s="27">
        <f>IF($C$7="","",TRIM(MID(SUBSTITUTE(TRIM($C$7)," ",REPT(" ",200)),1801,200)))</f>
        <v/>
      </c>
      <c r="I15" s="28">
        <f>IF($C$7="","",B15&amp;": "&amp;IFERROR(INDEX(Aeroportos!$E$3:$E$8,MATCH(TRIM(MID(SUBSTITUTE(TRIM($C$7)," ",REPT(" ",200)),201,200)),Aeroportos!$D$3:$D$8,0)),TRIM(MID(SUBSTITUTE(TRIM($C$7)," ",REPT(" ",200)),201,200)))&amp;" "&amp;TRIM(MID(SUBSTITUTE(TRIM($C$7)," ",REPT(" ",200)),401,200))&amp;" · "&amp;D15&amp;CHAR(10)&amp;E15&amp;" · "&amp;F15&amp;" – "&amp;G15&amp;"")</f>
        <v/>
      </c>
    </row>
    <row r="16" ht="20" customHeight="1">
      <c r="B16" s="26">
        <f>IF($C$8="","","Volta · conexão 2")</f>
        <v/>
      </c>
      <c r="C16" s="26">
        <f>IF($C$8="","",TRIM(MID(SUBSTITUTE(TRIM($C$8)," ",REPT(" ",200)),201,200))&amp;" "&amp;TRIM(MID(SUBSTITUTE(TRIM($C$8)," ",REPT(" ",200)),401,200))&amp;IF(TRIM(MID(SUBSTITUTE(TRIM($C$8)," ",REPT(" ",200)),601,200))=""," "," · classe "&amp;TRIM(MID(SUBSTITUTE(TRIM($C$8)," ",REPT(" ",200)),601,200))))</f>
        <v/>
      </c>
      <c r="D16" s="26">
        <f>IF($C$8="","",IFERROR(INDEX(Aeroportos!$B$3:$B$37,MATCH(TRIM(MID(SUBSTITUTE(TRIM($C$8)," ",REPT(" ",200)),801,200)),Aeroportos!$A$3:$A$37,0)),TRIM(MID(SUBSTITUTE(TRIM($C$8)," ",REPT(" ",200)),801,200)))&amp;" ("&amp;TRIM(MID(SUBSTITUTE(TRIM($C$8)," ",REPT(" ",200)),801,200))&amp;") → "&amp;IFERROR(INDEX(Aeroportos!$B$3:$B$37,MATCH(TRIM(MID(SUBSTITUTE(TRIM($C$8)," ",REPT(" ",200)),1001,200)),Aeroportos!$A$3:$A$37,0)),TRIM(MID(SUBSTITUTE(TRIM($C$8)," ",REPT(" ",200)),1001,200)))&amp;" ("&amp;TRIM(MID(SUBSTITUTE(TRIM($C$8)," ",REPT(" ",200)),1001,200))&amp;")")</f>
        <v/>
      </c>
      <c r="E16" s="26">
        <f>IF($C$8="","",LEFT(TRIM(MID(SUBSTITUTE(TRIM($C$8)," ",REPT(" ",200)),1201,200)),2)&amp;" de "&amp;IFERROR(INDEX(Aeroportos!$H$3:$H$14,MATCH(MID(TRIM(MID(SUBSTITUTE(TRIM($C$8)," ",REPT(" ",200)),1201,200)),3,3),Aeroportos!$G$3:$G$14,0)),MID(TRIM(MID(SUBSTITUTE(TRIM($C$8)," ",REPT(" ",200)),1201,200)),3,3)))</f>
        <v/>
      </c>
      <c r="F16" s="27">
        <f>IF($C$8="","",LEFT(TRIM(MID(SUBSTITUTE(TRIM($C$8)," ",REPT(" ",200)),1401,200)),2)&amp;":"&amp;MID(TRIM(MID(SUBSTITUTE(TRIM($C$8)," ",REPT(" ",200)),1401,200)),3,2))</f>
        <v/>
      </c>
      <c r="G16" s="27">
        <f>IF($C$8="","",MID(TRIM(MID(SUBSTITUTE(TRIM($C$8)," ",REPT(" ",200)),1401,200)),6,2)&amp;":"&amp;MID(TRIM(MID(SUBSTITUTE(TRIM($C$8)," ",REPT(" ",200)),1401,200)),8,2))</f>
        <v/>
      </c>
      <c r="H16" s="27">
        <f>IF($C$8="","",TRIM(MID(SUBSTITUTE(TRIM($C$8)," ",REPT(" ",200)),1801,200)))</f>
        <v/>
      </c>
      <c r="I16" s="28">
        <f>IF($C$8="","",B16&amp;": "&amp;IFERROR(INDEX(Aeroportos!$E$3:$E$8,MATCH(TRIM(MID(SUBSTITUTE(TRIM($C$8)," ",REPT(" ",200)),201,200)),Aeroportos!$D$3:$D$8,0)),TRIM(MID(SUBSTITUTE(TRIM($C$8)," ",REPT(" ",200)),201,200)))&amp;" "&amp;TRIM(MID(SUBSTITUTE(TRIM($C$8)," ",REPT(" ",200)),401,200))&amp;" · "&amp;D16&amp;CHAR(10)&amp;E16&amp;" · "&amp;F16&amp;" – "&amp;G16&amp;"")</f>
        <v/>
      </c>
    </row>
    <row r="18" ht="22" customHeight="1">
      <c r="B18" s="29" t="inlineStr">
        <is>
          <t>COPIAR E COLAR</t>
        </is>
      </c>
      <c r="C18" s="30">
        <f>"Seu itinerário:"&amp;CHAR(10)&amp;CHAR(10)&amp;IF(I11="","",I11&amp;CHAR(10)&amp;CHAR(10))&amp;IF(I12="","",I12&amp;CHAR(10)&amp;CHAR(10))&amp;IF(I13="","",I13&amp;CHAR(10)&amp;CHAR(10))&amp;IF(I14="","",I14&amp;CHAR(10)&amp;CHAR(10))&amp;IF(I15="","",I15&amp;CHAR(10)&amp;CHAR(10))&amp;IF(I16="","",I16&amp;CHAR(10)&amp;CHAR(10))</f>
        <v/>
      </c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8">
    <mergeCell ref="C3:I3"/>
    <mergeCell ref="C8:I8"/>
    <mergeCell ref="C4:I4"/>
    <mergeCell ref="C6:I6"/>
    <mergeCell ref="C7:I7"/>
    <mergeCell ref="B1:I1"/>
    <mergeCell ref="C18:I25"/>
    <mergeCell ref="C5:I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22" customWidth="1" min="3" max="3"/>
    <col width="44" customWidth="1" min="4" max="4"/>
    <col width="16" customWidth="1" min="5" max="5"/>
    <col width="16" customWidth="1" min="6" max="6"/>
    <col width="16" customWidth="1" min="7" max="7"/>
    <col width="16" customWidth="1" min="8" max="8"/>
    <col width="60" customWidth="1" min="9" max="9"/>
  </cols>
  <sheetData>
    <row r="1" ht="30" customHeight="1">
      <c r="B1" s="31" t="inlineStr">
        <is>
          <t>VI · VOOS INTERNACIONAIS  ·  cole a linha do sistema (formato Amadeus: 2  NB1183 T 30APR 3 PRGCDG HK1 1415 1605 30APR E NB/2RO854)</t>
        </is>
      </c>
      <c r="C1" s="32" t="n"/>
      <c r="D1" s="32" t="n"/>
      <c r="E1" s="32" t="n"/>
      <c r="F1" s="32" t="n"/>
      <c r="G1" s="32" t="n"/>
      <c r="H1" s="32" t="n"/>
      <c r="I1" s="32" t="n"/>
    </row>
    <row r="2">
      <c r="B2" s="33" t="inlineStr">
        <is>
          <t>Cole a linha crua do sistema, um trecho por linha</t>
        </is>
      </c>
      <c r="C2" s="34" t="n"/>
      <c r="D2" s="34" t="n"/>
      <c r="E2" s="34" t="n"/>
      <c r="F2" s="34" t="n"/>
      <c r="G2" s="34" t="n"/>
      <c r="H2" s="34" t="n"/>
      <c r="I2" s="34" t="n"/>
    </row>
    <row r="3" ht="20" customHeight="1">
      <c r="B3" s="35" t="inlineStr">
        <is>
          <t>Trecho de ida</t>
        </is>
      </c>
      <c r="C3" s="36" t="inlineStr">
        <is>
          <t>1  KL0792 T 29APR 2 GRUAMS HK1 1830 1035 30APR E KL/2RO854</t>
        </is>
      </c>
    </row>
    <row r="4" ht="20" customHeight="1">
      <c r="B4" s="35" t="inlineStr">
        <is>
          <t>Conexão 1</t>
        </is>
      </c>
      <c r="C4" s="36" t="inlineStr">
        <is>
          <t>2  NB1183 T 30APR 3 AMSPRG HK1 1415 1605 30APR E NB/2RO854</t>
        </is>
      </c>
    </row>
    <row r="5" ht="20" customHeight="1">
      <c r="B5" s="35" t="inlineStr">
        <is>
          <t>Conexão 2</t>
        </is>
      </c>
      <c r="C5" s="36" t="inlineStr"/>
    </row>
    <row r="6" ht="20" customHeight="1">
      <c r="B6" s="37" t="inlineStr">
        <is>
          <t>Trecho de volta</t>
        </is>
      </c>
      <c r="C6" s="36" t="inlineStr">
        <is>
          <t>3  NB1184 T 12MAY 1 PRGAMS HK1 0900 1050 12MAY E NB/2RO854</t>
        </is>
      </c>
    </row>
    <row r="7" ht="20" customHeight="1">
      <c r="B7" s="37" t="inlineStr">
        <is>
          <t>Conexão 1</t>
        </is>
      </c>
      <c r="C7" s="36" t="inlineStr">
        <is>
          <t>4  KL0791 T 12MAY 1 AMSGRU HK1 1300 2015 12MAY E KL/2RO854</t>
        </is>
      </c>
    </row>
    <row r="8" ht="20" customHeight="1">
      <c r="B8" s="37" t="inlineStr">
        <is>
          <t>Conexão 2</t>
        </is>
      </c>
      <c r="C8" s="36" t="inlineStr"/>
    </row>
    <row r="10">
      <c r="B10" s="38" t="inlineStr">
        <is>
          <t>Trecho</t>
        </is>
      </c>
      <c r="C10" s="38" t="inlineStr">
        <is>
          <t>Voo</t>
        </is>
      </c>
      <c r="D10" s="38" t="inlineStr">
        <is>
          <t>De → Para</t>
        </is>
      </c>
      <c r="E10" s="38" t="inlineStr">
        <is>
          <t>Data</t>
        </is>
      </c>
      <c r="F10" s="38" t="inlineStr">
        <is>
          <t>Saída</t>
        </is>
      </c>
      <c r="G10" s="38" t="inlineStr">
        <is>
          <t>Chegada</t>
        </is>
      </c>
      <c r="H10" s="38" t="inlineStr">
        <is>
          <t>Status</t>
        </is>
      </c>
      <c r="I10" s="38" t="inlineStr">
        <is>
          <t>Texto (C&amp;C)</t>
        </is>
      </c>
    </row>
    <row r="11" ht="20" customHeight="1">
      <c r="B11" s="39">
        <f>IF($C$3="","","Ida")</f>
        <v/>
      </c>
      <c r="C11" s="39">
        <f>IF($C$3="","",LEFT(TRIM(MID(SUBSTITUTE(TRIM($C$3)," ",REPT(" ",200)),201,200)),2)&amp;" "&amp;MID(TRIM(MID(SUBSTITUTE(TRIM($C$3)," ",REPT(" ",200)),201,200)),3,10)&amp;IF(TRIM(MID(SUBSTITUTE(TRIM($C$3)," ",REPT(" ",200)),401,200))=""," "," · classe "&amp;TRIM(MID(SUBSTITUTE(TRIM($C$3)," ",REPT(" ",200)),401,200))))</f>
        <v/>
      </c>
      <c r="D11" s="39">
        <f>IF($C$3="","",IFERROR(INDEX(Aeroportos!$B$3:$B$37,MATCH(LEFT(TRIM(MID(SUBSTITUTE(TRIM($C$3)," ",REPT(" ",200)),1001,200)),3),Aeroportos!$A$3:$A$37,0)),LEFT(TRIM(MID(SUBSTITUTE(TRIM($C$3)," ",REPT(" ",200)),1001,200)),3))&amp;" ("&amp;LEFT(TRIM(MID(SUBSTITUTE(TRIM($C$3)," ",REPT(" ",200)),1001,200)),3)&amp;") → "&amp;IFERROR(INDEX(Aeroportos!$B$3:$B$37,MATCH(MID(TRIM(MID(SUBSTITUTE(TRIM($C$3)," ",REPT(" ",200)),1001,200)),4,3),Aeroportos!$A$3:$A$37,0)),MID(TRIM(MID(SUBSTITUTE(TRIM($C$3)," ",REPT(" ",200)),1001,200)),4,3))&amp;" ("&amp;MID(TRIM(MID(SUBSTITUTE(TRIM($C$3)," ",REPT(" ",200)),1001,200)),4,3)&amp;")")</f>
        <v/>
      </c>
      <c r="E11" s="39">
        <f>IF($C$3="","",LEFT(TRIM(MID(SUBSTITUTE(TRIM($C$3)," ",REPT(" ",200)),601,200)),2)&amp;" de "&amp;IFERROR(INDEX(Aeroportos!$H$3:$H$14,MATCH(MID(TRIM(MID(SUBSTITUTE(TRIM($C$3)," ",REPT(" ",200)),601,200)),3,3),Aeroportos!$G$3:$G$14,0)),MID(TRIM(MID(SUBSTITUTE(TRIM($C$3)," ",REPT(" ",200)),601,200)),3,3)))</f>
        <v/>
      </c>
      <c r="F11" s="40">
        <f>IF($C$3="","",LEFT(TRIM(MID(SUBSTITUTE(TRIM($C$3)," ",REPT(" ",200)),1401,200)),2)&amp;":"&amp;MID(TRIM(MID(SUBSTITUTE(TRIM($C$3)," ",REPT(" ",200)),1401,200)),3,2))</f>
        <v/>
      </c>
      <c r="G11" s="40">
        <f>IF($C$3="","",LEFT(TRIM(MID(SUBSTITUTE(TRIM($C$3)," ",REPT(" ",200)),1601,200)),2)&amp;":"&amp;MID(TRIM(MID(SUBSTITUTE(TRIM($C$3)," ",REPT(" ",200)),1601,200)),3,2)&amp;IF(TRIM(MID(SUBSTITUTE(TRIM($C$3)," ",REPT(" ",200)),1801,200))&lt;&gt;TRIM(MID(SUBSTITUTE(TRIM($C$3)," ",REPT(" ",200)),601,200))," (dia seguinte)",""))</f>
        <v/>
      </c>
      <c r="H11" s="40">
        <f>IF($C$3="","",TRIM(MID(SUBSTITUTE(TRIM($C$3)," ",REPT(" ",200)),1201,200)))</f>
        <v/>
      </c>
      <c r="I11" s="41">
        <f>IF($C$3="","",B11&amp;": "&amp;IFERROR(INDEX(Aeroportos!$E$3:$E$8,MATCH(LEFT(TRIM(MID(SUBSTITUTE(TRIM($C$3)," ",REPT(" ",200)),201,200)),2),Aeroportos!$D$3:$D$8,0)),LEFT(TRIM(MID(SUBSTITUTE(TRIM($C$3)," ",REPT(" ",200)),201,200)),2))&amp;" "&amp;MID(TRIM(MID(SUBSTITUTE(TRIM($C$3)," ",REPT(" ",200)),201,200)),3,10)&amp;" · "&amp;D11&amp;CHAR(10)&amp;E11&amp;" · "&amp;F11&amp;" – "&amp;G11&amp;" · localizador "&amp;MID(TRIM(MID(SUBSTITUTE(TRIM($C$3)," ",REPT(" ",200)),2201,200)),4,10))</f>
        <v/>
      </c>
    </row>
    <row r="12" ht="20" customHeight="1">
      <c r="B12" s="39">
        <f>IF($C$4="","","Ida · conexão 1")</f>
        <v/>
      </c>
      <c r="C12" s="39">
        <f>IF($C$4="","",LEFT(TRIM(MID(SUBSTITUTE(TRIM($C$4)," ",REPT(" ",200)),201,200)),2)&amp;" "&amp;MID(TRIM(MID(SUBSTITUTE(TRIM($C$4)," ",REPT(" ",200)),201,200)),3,10)&amp;IF(TRIM(MID(SUBSTITUTE(TRIM($C$4)," ",REPT(" ",200)),401,200))=""," "," · classe "&amp;TRIM(MID(SUBSTITUTE(TRIM($C$4)," ",REPT(" ",200)),401,200))))</f>
        <v/>
      </c>
      <c r="D12" s="39">
        <f>IF($C$4="","",IFERROR(INDEX(Aeroportos!$B$3:$B$37,MATCH(LEFT(TRIM(MID(SUBSTITUTE(TRIM($C$4)," ",REPT(" ",200)),1001,200)),3),Aeroportos!$A$3:$A$37,0)),LEFT(TRIM(MID(SUBSTITUTE(TRIM($C$4)," ",REPT(" ",200)),1001,200)),3))&amp;" ("&amp;LEFT(TRIM(MID(SUBSTITUTE(TRIM($C$4)," ",REPT(" ",200)),1001,200)),3)&amp;") → "&amp;IFERROR(INDEX(Aeroportos!$B$3:$B$37,MATCH(MID(TRIM(MID(SUBSTITUTE(TRIM($C$4)," ",REPT(" ",200)),1001,200)),4,3),Aeroportos!$A$3:$A$37,0)),MID(TRIM(MID(SUBSTITUTE(TRIM($C$4)," ",REPT(" ",200)),1001,200)),4,3))&amp;" ("&amp;MID(TRIM(MID(SUBSTITUTE(TRIM($C$4)," ",REPT(" ",200)),1001,200)),4,3)&amp;")")</f>
        <v/>
      </c>
      <c r="E12" s="39">
        <f>IF($C$4="","",LEFT(TRIM(MID(SUBSTITUTE(TRIM($C$4)," ",REPT(" ",200)),601,200)),2)&amp;" de "&amp;IFERROR(INDEX(Aeroportos!$H$3:$H$14,MATCH(MID(TRIM(MID(SUBSTITUTE(TRIM($C$4)," ",REPT(" ",200)),601,200)),3,3),Aeroportos!$G$3:$G$14,0)),MID(TRIM(MID(SUBSTITUTE(TRIM($C$4)," ",REPT(" ",200)),601,200)),3,3)))</f>
        <v/>
      </c>
      <c r="F12" s="40">
        <f>IF($C$4="","",LEFT(TRIM(MID(SUBSTITUTE(TRIM($C$4)," ",REPT(" ",200)),1401,200)),2)&amp;":"&amp;MID(TRIM(MID(SUBSTITUTE(TRIM($C$4)," ",REPT(" ",200)),1401,200)),3,2))</f>
        <v/>
      </c>
      <c r="G12" s="40">
        <f>IF($C$4="","",LEFT(TRIM(MID(SUBSTITUTE(TRIM($C$4)," ",REPT(" ",200)),1601,200)),2)&amp;":"&amp;MID(TRIM(MID(SUBSTITUTE(TRIM($C$4)," ",REPT(" ",200)),1601,200)),3,2)&amp;IF(TRIM(MID(SUBSTITUTE(TRIM($C$4)," ",REPT(" ",200)),1801,200))&lt;&gt;TRIM(MID(SUBSTITUTE(TRIM($C$4)," ",REPT(" ",200)),601,200))," (dia seguinte)",""))</f>
        <v/>
      </c>
      <c r="H12" s="40">
        <f>IF($C$4="","",TRIM(MID(SUBSTITUTE(TRIM($C$4)," ",REPT(" ",200)),1201,200)))</f>
        <v/>
      </c>
      <c r="I12" s="41">
        <f>IF($C$4="","",B12&amp;": "&amp;IFERROR(INDEX(Aeroportos!$E$3:$E$8,MATCH(LEFT(TRIM(MID(SUBSTITUTE(TRIM($C$4)," ",REPT(" ",200)),201,200)),2),Aeroportos!$D$3:$D$8,0)),LEFT(TRIM(MID(SUBSTITUTE(TRIM($C$4)," ",REPT(" ",200)),201,200)),2))&amp;" "&amp;MID(TRIM(MID(SUBSTITUTE(TRIM($C$4)," ",REPT(" ",200)),201,200)),3,10)&amp;" · "&amp;D12&amp;CHAR(10)&amp;E12&amp;" · "&amp;F12&amp;" – "&amp;G12&amp;" · localizador "&amp;MID(TRIM(MID(SUBSTITUTE(TRIM($C$4)," ",REPT(" ",200)),2201,200)),4,10))</f>
        <v/>
      </c>
    </row>
    <row r="13" ht="20" customHeight="1">
      <c r="B13" s="39">
        <f>IF($C$5="","","Ida · conexão 2")</f>
        <v/>
      </c>
      <c r="C13" s="39">
        <f>IF($C$5="","",LEFT(TRIM(MID(SUBSTITUTE(TRIM($C$5)," ",REPT(" ",200)),201,200)),2)&amp;" "&amp;MID(TRIM(MID(SUBSTITUTE(TRIM($C$5)," ",REPT(" ",200)),201,200)),3,10)&amp;IF(TRIM(MID(SUBSTITUTE(TRIM($C$5)," ",REPT(" ",200)),401,200))=""," "," · classe "&amp;TRIM(MID(SUBSTITUTE(TRIM($C$5)," ",REPT(" ",200)),401,200))))</f>
        <v/>
      </c>
      <c r="D13" s="39">
        <f>IF($C$5="","",IFERROR(INDEX(Aeroportos!$B$3:$B$37,MATCH(LEFT(TRIM(MID(SUBSTITUTE(TRIM($C$5)," ",REPT(" ",200)),1001,200)),3),Aeroportos!$A$3:$A$37,0)),LEFT(TRIM(MID(SUBSTITUTE(TRIM($C$5)," ",REPT(" ",200)),1001,200)),3))&amp;" ("&amp;LEFT(TRIM(MID(SUBSTITUTE(TRIM($C$5)," ",REPT(" ",200)),1001,200)),3)&amp;") → "&amp;IFERROR(INDEX(Aeroportos!$B$3:$B$37,MATCH(MID(TRIM(MID(SUBSTITUTE(TRIM($C$5)," ",REPT(" ",200)),1001,200)),4,3),Aeroportos!$A$3:$A$37,0)),MID(TRIM(MID(SUBSTITUTE(TRIM($C$5)," ",REPT(" ",200)),1001,200)),4,3))&amp;" ("&amp;MID(TRIM(MID(SUBSTITUTE(TRIM($C$5)," ",REPT(" ",200)),1001,200)),4,3)&amp;")")</f>
        <v/>
      </c>
      <c r="E13" s="39">
        <f>IF($C$5="","",LEFT(TRIM(MID(SUBSTITUTE(TRIM($C$5)," ",REPT(" ",200)),601,200)),2)&amp;" de "&amp;IFERROR(INDEX(Aeroportos!$H$3:$H$14,MATCH(MID(TRIM(MID(SUBSTITUTE(TRIM($C$5)," ",REPT(" ",200)),601,200)),3,3),Aeroportos!$G$3:$G$14,0)),MID(TRIM(MID(SUBSTITUTE(TRIM($C$5)," ",REPT(" ",200)),601,200)),3,3)))</f>
        <v/>
      </c>
      <c r="F13" s="40">
        <f>IF($C$5="","",LEFT(TRIM(MID(SUBSTITUTE(TRIM($C$5)," ",REPT(" ",200)),1401,200)),2)&amp;":"&amp;MID(TRIM(MID(SUBSTITUTE(TRIM($C$5)," ",REPT(" ",200)),1401,200)),3,2))</f>
        <v/>
      </c>
      <c r="G13" s="40">
        <f>IF($C$5="","",LEFT(TRIM(MID(SUBSTITUTE(TRIM($C$5)," ",REPT(" ",200)),1601,200)),2)&amp;":"&amp;MID(TRIM(MID(SUBSTITUTE(TRIM($C$5)," ",REPT(" ",200)),1601,200)),3,2)&amp;IF(TRIM(MID(SUBSTITUTE(TRIM($C$5)," ",REPT(" ",200)),1801,200))&lt;&gt;TRIM(MID(SUBSTITUTE(TRIM($C$5)," ",REPT(" ",200)),601,200))," (dia seguinte)",""))</f>
        <v/>
      </c>
      <c r="H13" s="40">
        <f>IF($C$5="","",TRIM(MID(SUBSTITUTE(TRIM($C$5)," ",REPT(" ",200)),1201,200)))</f>
        <v/>
      </c>
      <c r="I13" s="41">
        <f>IF($C$5="","",B13&amp;": "&amp;IFERROR(INDEX(Aeroportos!$E$3:$E$8,MATCH(LEFT(TRIM(MID(SUBSTITUTE(TRIM($C$5)," ",REPT(" ",200)),201,200)),2),Aeroportos!$D$3:$D$8,0)),LEFT(TRIM(MID(SUBSTITUTE(TRIM($C$5)," ",REPT(" ",200)),201,200)),2))&amp;" "&amp;MID(TRIM(MID(SUBSTITUTE(TRIM($C$5)," ",REPT(" ",200)),201,200)),3,10)&amp;" · "&amp;D13&amp;CHAR(10)&amp;E13&amp;" · "&amp;F13&amp;" – "&amp;G13&amp;" · localizador "&amp;MID(TRIM(MID(SUBSTITUTE(TRIM($C$5)," ",REPT(" ",200)),2201,200)),4,10))</f>
        <v/>
      </c>
    </row>
    <row r="14" ht="20" customHeight="1">
      <c r="B14" s="39">
        <f>IF($C$6="","","Volta")</f>
        <v/>
      </c>
      <c r="C14" s="39">
        <f>IF($C$6="","",LEFT(TRIM(MID(SUBSTITUTE(TRIM($C$6)," ",REPT(" ",200)),201,200)),2)&amp;" "&amp;MID(TRIM(MID(SUBSTITUTE(TRIM($C$6)," ",REPT(" ",200)),201,200)),3,10)&amp;IF(TRIM(MID(SUBSTITUTE(TRIM($C$6)," ",REPT(" ",200)),401,200))=""," "," · classe "&amp;TRIM(MID(SUBSTITUTE(TRIM($C$6)," ",REPT(" ",200)),401,200))))</f>
        <v/>
      </c>
      <c r="D14" s="39">
        <f>IF($C$6="","",IFERROR(INDEX(Aeroportos!$B$3:$B$37,MATCH(LEFT(TRIM(MID(SUBSTITUTE(TRIM($C$6)," ",REPT(" ",200)),1001,200)),3),Aeroportos!$A$3:$A$37,0)),LEFT(TRIM(MID(SUBSTITUTE(TRIM($C$6)," ",REPT(" ",200)),1001,200)),3))&amp;" ("&amp;LEFT(TRIM(MID(SUBSTITUTE(TRIM($C$6)," ",REPT(" ",200)),1001,200)),3)&amp;") → "&amp;IFERROR(INDEX(Aeroportos!$B$3:$B$37,MATCH(MID(TRIM(MID(SUBSTITUTE(TRIM($C$6)," ",REPT(" ",200)),1001,200)),4,3),Aeroportos!$A$3:$A$37,0)),MID(TRIM(MID(SUBSTITUTE(TRIM($C$6)," ",REPT(" ",200)),1001,200)),4,3))&amp;" ("&amp;MID(TRIM(MID(SUBSTITUTE(TRIM($C$6)," ",REPT(" ",200)),1001,200)),4,3)&amp;")")</f>
        <v/>
      </c>
      <c r="E14" s="39">
        <f>IF($C$6="","",LEFT(TRIM(MID(SUBSTITUTE(TRIM($C$6)," ",REPT(" ",200)),601,200)),2)&amp;" de "&amp;IFERROR(INDEX(Aeroportos!$H$3:$H$14,MATCH(MID(TRIM(MID(SUBSTITUTE(TRIM($C$6)," ",REPT(" ",200)),601,200)),3,3),Aeroportos!$G$3:$G$14,0)),MID(TRIM(MID(SUBSTITUTE(TRIM($C$6)," ",REPT(" ",200)),601,200)),3,3)))</f>
        <v/>
      </c>
      <c r="F14" s="40">
        <f>IF($C$6="","",LEFT(TRIM(MID(SUBSTITUTE(TRIM($C$6)," ",REPT(" ",200)),1401,200)),2)&amp;":"&amp;MID(TRIM(MID(SUBSTITUTE(TRIM($C$6)," ",REPT(" ",200)),1401,200)),3,2))</f>
        <v/>
      </c>
      <c r="G14" s="40">
        <f>IF($C$6="","",LEFT(TRIM(MID(SUBSTITUTE(TRIM($C$6)," ",REPT(" ",200)),1601,200)),2)&amp;":"&amp;MID(TRIM(MID(SUBSTITUTE(TRIM($C$6)," ",REPT(" ",200)),1601,200)),3,2)&amp;IF(TRIM(MID(SUBSTITUTE(TRIM($C$6)," ",REPT(" ",200)),1801,200))&lt;&gt;TRIM(MID(SUBSTITUTE(TRIM($C$6)," ",REPT(" ",200)),601,200))," (dia seguinte)",""))</f>
        <v/>
      </c>
      <c r="H14" s="40">
        <f>IF($C$6="","",TRIM(MID(SUBSTITUTE(TRIM($C$6)," ",REPT(" ",200)),1201,200)))</f>
        <v/>
      </c>
      <c r="I14" s="41">
        <f>IF($C$6="","",B14&amp;": "&amp;IFERROR(INDEX(Aeroportos!$E$3:$E$8,MATCH(LEFT(TRIM(MID(SUBSTITUTE(TRIM($C$6)," ",REPT(" ",200)),201,200)),2),Aeroportos!$D$3:$D$8,0)),LEFT(TRIM(MID(SUBSTITUTE(TRIM($C$6)," ",REPT(" ",200)),201,200)),2))&amp;" "&amp;MID(TRIM(MID(SUBSTITUTE(TRIM($C$6)," ",REPT(" ",200)),201,200)),3,10)&amp;" · "&amp;D14&amp;CHAR(10)&amp;E14&amp;" · "&amp;F14&amp;" – "&amp;G14&amp;" · localizador "&amp;MID(TRIM(MID(SUBSTITUTE(TRIM($C$6)," ",REPT(" ",200)),2201,200)),4,10))</f>
        <v/>
      </c>
    </row>
    <row r="15" ht="20" customHeight="1">
      <c r="B15" s="39">
        <f>IF($C$7="","","Volta · conexão 1")</f>
        <v/>
      </c>
      <c r="C15" s="39">
        <f>IF($C$7="","",LEFT(TRIM(MID(SUBSTITUTE(TRIM($C$7)," ",REPT(" ",200)),201,200)),2)&amp;" "&amp;MID(TRIM(MID(SUBSTITUTE(TRIM($C$7)," ",REPT(" ",200)),201,200)),3,10)&amp;IF(TRIM(MID(SUBSTITUTE(TRIM($C$7)," ",REPT(" ",200)),401,200))=""," "," · classe "&amp;TRIM(MID(SUBSTITUTE(TRIM($C$7)," ",REPT(" ",200)),401,200))))</f>
        <v/>
      </c>
      <c r="D15" s="39">
        <f>IF($C$7="","",IFERROR(INDEX(Aeroportos!$B$3:$B$37,MATCH(LEFT(TRIM(MID(SUBSTITUTE(TRIM($C$7)," ",REPT(" ",200)),1001,200)),3),Aeroportos!$A$3:$A$37,0)),LEFT(TRIM(MID(SUBSTITUTE(TRIM($C$7)," ",REPT(" ",200)),1001,200)),3))&amp;" ("&amp;LEFT(TRIM(MID(SUBSTITUTE(TRIM($C$7)," ",REPT(" ",200)),1001,200)),3)&amp;") → "&amp;IFERROR(INDEX(Aeroportos!$B$3:$B$37,MATCH(MID(TRIM(MID(SUBSTITUTE(TRIM($C$7)," ",REPT(" ",200)),1001,200)),4,3),Aeroportos!$A$3:$A$37,0)),MID(TRIM(MID(SUBSTITUTE(TRIM($C$7)," ",REPT(" ",200)),1001,200)),4,3))&amp;" ("&amp;MID(TRIM(MID(SUBSTITUTE(TRIM($C$7)," ",REPT(" ",200)),1001,200)),4,3)&amp;")")</f>
        <v/>
      </c>
      <c r="E15" s="39">
        <f>IF($C$7="","",LEFT(TRIM(MID(SUBSTITUTE(TRIM($C$7)," ",REPT(" ",200)),601,200)),2)&amp;" de "&amp;IFERROR(INDEX(Aeroportos!$H$3:$H$14,MATCH(MID(TRIM(MID(SUBSTITUTE(TRIM($C$7)," ",REPT(" ",200)),601,200)),3,3),Aeroportos!$G$3:$G$14,0)),MID(TRIM(MID(SUBSTITUTE(TRIM($C$7)," ",REPT(" ",200)),601,200)),3,3)))</f>
        <v/>
      </c>
      <c r="F15" s="40">
        <f>IF($C$7="","",LEFT(TRIM(MID(SUBSTITUTE(TRIM($C$7)," ",REPT(" ",200)),1401,200)),2)&amp;":"&amp;MID(TRIM(MID(SUBSTITUTE(TRIM($C$7)," ",REPT(" ",200)),1401,200)),3,2))</f>
        <v/>
      </c>
      <c r="G15" s="40">
        <f>IF($C$7="","",LEFT(TRIM(MID(SUBSTITUTE(TRIM($C$7)," ",REPT(" ",200)),1601,200)),2)&amp;":"&amp;MID(TRIM(MID(SUBSTITUTE(TRIM($C$7)," ",REPT(" ",200)),1601,200)),3,2)&amp;IF(TRIM(MID(SUBSTITUTE(TRIM($C$7)," ",REPT(" ",200)),1801,200))&lt;&gt;TRIM(MID(SUBSTITUTE(TRIM($C$7)," ",REPT(" ",200)),601,200))," (dia seguinte)",""))</f>
        <v/>
      </c>
      <c r="H15" s="40">
        <f>IF($C$7="","",TRIM(MID(SUBSTITUTE(TRIM($C$7)," ",REPT(" ",200)),1201,200)))</f>
        <v/>
      </c>
      <c r="I15" s="41">
        <f>IF($C$7="","",B15&amp;": "&amp;IFERROR(INDEX(Aeroportos!$E$3:$E$8,MATCH(LEFT(TRIM(MID(SUBSTITUTE(TRIM($C$7)," ",REPT(" ",200)),201,200)),2),Aeroportos!$D$3:$D$8,0)),LEFT(TRIM(MID(SUBSTITUTE(TRIM($C$7)," ",REPT(" ",200)),201,200)),2))&amp;" "&amp;MID(TRIM(MID(SUBSTITUTE(TRIM($C$7)," ",REPT(" ",200)),201,200)),3,10)&amp;" · "&amp;D15&amp;CHAR(10)&amp;E15&amp;" · "&amp;F15&amp;" – "&amp;G15&amp;" · localizador "&amp;MID(TRIM(MID(SUBSTITUTE(TRIM($C$7)," ",REPT(" ",200)),2201,200)),4,10))</f>
        <v/>
      </c>
    </row>
    <row r="16" ht="20" customHeight="1">
      <c r="B16" s="39">
        <f>IF($C$8="","","Volta · conexão 2")</f>
        <v/>
      </c>
      <c r="C16" s="39">
        <f>IF($C$8="","",LEFT(TRIM(MID(SUBSTITUTE(TRIM($C$8)," ",REPT(" ",200)),201,200)),2)&amp;" "&amp;MID(TRIM(MID(SUBSTITUTE(TRIM($C$8)," ",REPT(" ",200)),201,200)),3,10)&amp;IF(TRIM(MID(SUBSTITUTE(TRIM($C$8)," ",REPT(" ",200)),401,200))=""," "," · classe "&amp;TRIM(MID(SUBSTITUTE(TRIM($C$8)," ",REPT(" ",200)),401,200))))</f>
        <v/>
      </c>
      <c r="D16" s="39">
        <f>IF($C$8="","",IFERROR(INDEX(Aeroportos!$B$3:$B$37,MATCH(LEFT(TRIM(MID(SUBSTITUTE(TRIM($C$8)," ",REPT(" ",200)),1001,200)),3),Aeroportos!$A$3:$A$37,0)),LEFT(TRIM(MID(SUBSTITUTE(TRIM($C$8)," ",REPT(" ",200)),1001,200)),3))&amp;" ("&amp;LEFT(TRIM(MID(SUBSTITUTE(TRIM($C$8)," ",REPT(" ",200)),1001,200)),3)&amp;") → "&amp;IFERROR(INDEX(Aeroportos!$B$3:$B$37,MATCH(MID(TRIM(MID(SUBSTITUTE(TRIM($C$8)," ",REPT(" ",200)),1001,200)),4,3),Aeroportos!$A$3:$A$37,0)),MID(TRIM(MID(SUBSTITUTE(TRIM($C$8)," ",REPT(" ",200)),1001,200)),4,3))&amp;" ("&amp;MID(TRIM(MID(SUBSTITUTE(TRIM($C$8)," ",REPT(" ",200)),1001,200)),4,3)&amp;")")</f>
        <v/>
      </c>
      <c r="E16" s="39">
        <f>IF($C$8="","",LEFT(TRIM(MID(SUBSTITUTE(TRIM($C$8)," ",REPT(" ",200)),601,200)),2)&amp;" de "&amp;IFERROR(INDEX(Aeroportos!$H$3:$H$14,MATCH(MID(TRIM(MID(SUBSTITUTE(TRIM($C$8)," ",REPT(" ",200)),601,200)),3,3),Aeroportos!$G$3:$G$14,0)),MID(TRIM(MID(SUBSTITUTE(TRIM($C$8)," ",REPT(" ",200)),601,200)),3,3)))</f>
        <v/>
      </c>
      <c r="F16" s="40">
        <f>IF($C$8="","",LEFT(TRIM(MID(SUBSTITUTE(TRIM($C$8)," ",REPT(" ",200)),1401,200)),2)&amp;":"&amp;MID(TRIM(MID(SUBSTITUTE(TRIM($C$8)," ",REPT(" ",200)),1401,200)),3,2))</f>
        <v/>
      </c>
      <c r="G16" s="40">
        <f>IF($C$8="","",LEFT(TRIM(MID(SUBSTITUTE(TRIM($C$8)," ",REPT(" ",200)),1601,200)),2)&amp;":"&amp;MID(TRIM(MID(SUBSTITUTE(TRIM($C$8)," ",REPT(" ",200)),1601,200)),3,2)&amp;IF(TRIM(MID(SUBSTITUTE(TRIM($C$8)," ",REPT(" ",200)),1801,200))&lt;&gt;TRIM(MID(SUBSTITUTE(TRIM($C$8)," ",REPT(" ",200)),601,200))," (dia seguinte)",""))</f>
        <v/>
      </c>
      <c r="H16" s="40">
        <f>IF($C$8="","",TRIM(MID(SUBSTITUTE(TRIM($C$8)," ",REPT(" ",200)),1201,200)))</f>
        <v/>
      </c>
      <c r="I16" s="41">
        <f>IF($C$8="","",B16&amp;": "&amp;IFERROR(INDEX(Aeroportos!$E$3:$E$8,MATCH(LEFT(TRIM(MID(SUBSTITUTE(TRIM($C$8)," ",REPT(" ",200)),201,200)),2),Aeroportos!$D$3:$D$8,0)),LEFT(TRIM(MID(SUBSTITUTE(TRIM($C$8)," ",REPT(" ",200)),201,200)),2))&amp;" "&amp;MID(TRIM(MID(SUBSTITUTE(TRIM($C$8)," ",REPT(" ",200)),201,200)),3,10)&amp;" · "&amp;D16&amp;CHAR(10)&amp;E16&amp;" · "&amp;F16&amp;" – "&amp;G16&amp;" · localizador "&amp;MID(TRIM(MID(SUBSTITUTE(TRIM($C$8)," ",REPT(" ",200)),2201,200)),4,10))</f>
        <v/>
      </c>
    </row>
    <row r="18" ht="22" customHeight="1">
      <c r="B18" s="42" t="inlineStr">
        <is>
          <t>COPIAR E COLAR</t>
        </is>
      </c>
      <c r="C18" s="43">
        <f>"Seu itinerário:"&amp;CHAR(10)&amp;CHAR(10)&amp;IF(I11="","",I11&amp;CHAR(10)&amp;CHAR(10))&amp;IF(I12="","",I12&amp;CHAR(10)&amp;CHAR(10))&amp;IF(I13="","",I13&amp;CHAR(10)&amp;CHAR(10))&amp;IF(I14="","",I14&amp;CHAR(10)&amp;CHAR(10))&amp;IF(I15="","",I15&amp;CHAR(10)&amp;CHAR(10))&amp;IF(I16="","",I16&amp;CHAR(10)&amp;CHAR(10))</f>
        <v/>
      </c>
    </row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</sheetData>
  <mergeCells count="8">
    <mergeCell ref="C3:I3"/>
    <mergeCell ref="C8:I8"/>
    <mergeCell ref="C4:I4"/>
    <mergeCell ref="C6:I6"/>
    <mergeCell ref="C7:I7"/>
    <mergeCell ref="B1:I1"/>
    <mergeCell ref="C18:I25"/>
    <mergeCell ref="C5:I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0" customWidth="1" min="2" max="2"/>
  </cols>
  <sheetData>
    <row r="1">
      <c r="A1" s="44" t="n"/>
      <c r="B1" s="44" t="n"/>
      <c r="C1" s="44" t="n"/>
    </row>
    <row r="2">
      <c r="A2" s="44" t="n"/>
      <c r="B2" s="45" t="inlineStr">
        <is>
          <t>&gt; A planilha é simples de se utilizar, aqui vão as regras de como ela funciona</t>
        </is>
      </c>
      <c r="C2" s="44" t="n"/>
    </row>
    <row r="3">
      <c r="A3" s="44" t="n"/>
      <c r="B3" s="44" t="n"/>
      <c r="C3" s="44" t="n"/>
    </row>
    <row r="4">
      <c r="A4" s="44" t="n"/>
      <c r="B4" s="46" t="inlineStr">
        <is>
          <t>- Em ATENDIMENTO, escolha seu nome no campo Operador.</t>
        </is>
      </c>
      <c r="C4" s="44" t="n"/>
    </row>
    <row r="5">
      <c r="A5" s="44" t="n"/>
      <c r="B5" s="46" t="inlineStr">
        <is>
          <t>- Insira o problema do cliente no "Problema (seletor)".</t>
        </is>
      </c>
      <c r="C5" s="44" t="n"/>
    </row>
    <row r="6">
      <c r="A6" s="44" t="n"/>
      <c r="B6" s="46" t="inlineStr">
        <is>
          <t>- Coloque as informações que a planilha pede na linha "O que acrescentar".</t>
        </is>
      </c>
      <c r="C6" s="44" t="n"/>
    </row>
    <row r="7">
      <c r="A7" s="44" t="n"/>
      <c r="B7" s="46" t="inlineStr">
        <is>
          <t>- Linhas de cor FORTE: precisa acrescentar informação. Linhas CLARAS: só Copiar e Colar (C&amp;C).</t>
        </is>
      </c>
      <c r="C7" s="44" t="n"/>
    </row>
    <row r="8">
      <c r="A8" s="44" t="n"/>
      <c r="B8" s="46" t="inlineStr">
        <is>
          <t>- Se um campo estiver em VERMELHO: falta informação. Quando a última linha ficar VERDE: pronto para copiar.</t>
        </is>
      </c>
      <c r="C8" s="44" t="n"/>
    </row>
    <row r="9">
      <c r="A9" s="44" t="n"/>
      <c r="B9" s="46" t="inlineStr">
        <is>
          <t>- A mensagem muda sozinha: saudação pelo horário, despedida pelo dia, emoji sorteado,</t>
        </is>
      </c>
      <c r="C9" s="44" t="n"/>
    </row>
    <row r="10">
      <c r="A10" s="44" t="n"/>
      <c r="B10" s="46" t="inlineStr">
        <is>
          <t xml:space="preserve">  parágrafo do Clube conforme o status escolhido, e a regra de ida realizada nos cancelamentos.</t>
        </is>
      </c>
      <c r="C10" s="44" t="n"/>
    </row>
    <row r="11">
      <c r="A11" s="44" t="n"/>
      <c r="B11" s="46" t="inlineStr"/>
      <c r="C11" s="44" t="n"/>
    </row>
    <row r="12">
      <c r="A12" s="44" t="n"/>
      <c r="B12" s="45" t="inlineStr">
        <is>
          <t>&gt; VN e VI (itinerário)</t>
        </is>
      </c>
      <c r="C12" s="44" t="n"/>
    </row>
    <row r="13">
      <c r="A13" s="44" t="n"/>
      <c r="B13" s="46" t="inlineStr">
        <is>
          <t>- Cole a linha crua do sistema de reservas, um trecho por linha (ida, conexões, volta, conexões).</t>
        </is>
      </c>
      <c r="C13" s="44" t="n"/>
    </row>
    <row r="14">
      <c r="A14" s="44" t="n"/>
      <c r="B14" s="46" t="inlineStr">
        <is>
          <t>- VN = voos nacionais (formato Sabre, vermelho). VI = voos internacionais (formato Amadeus, azul).</t>
        </is>
      </c>
      <c r="C14" s="44" t="n"/>
    </row>
    <row r="15">
      <c r="A15" s="44" t="n"/>
      <c r="B15" s="46" t="inlineStr">
        <is>
          <t>- A planilha separa companhia, voo, classe, origem, destino, data e horários e monta o texto para C&amp;C.</t>
        </is>
      </c>
      <c r="C15" s="44" t="n"/>
    </row>
    <row r="16">
      <c r="A16" s="44" t="n"/>
      <c r="B16" s="46" t="inlineStr"/>
      <c r="C16" s="44" t="n"/>
    </row>
    <row r="17">
      <c r="A17" s="44" t="n"/>
      <c r="B17" s="45" t="inlineStr">
        <is>
          <t>&gt; Manutenção</t>
        </is>
      </c>
      <c r="C17" s="44" t="n"/>
    </row>
    <row r="18">
      <c r="A18" s="44" t="n"/>
      <c r="B18" s="46" t="inlineStr">
        <is>
          <t>- Problema novo: uma linha na aba PROBLEMAS (categoria, problema, tabulação, mensagem, registro, o que acrescentar).</t>
        </is>
      </c>
      <c r="C18" s="44" t="n"/>
    </row>
    <row r="19">
      <c r="A19" s="44" t="n"/>
      <c r="B19" s="46" t="inlineStr">
        <is>
          <t xml:space="preserve">  Use {nome}, {loc}, {ticket} e {categoria} onde o dado do cliente entra. O seletor lista sozinho.</t>
        </is>
      </c>
      <c r="C19" s="44" t="n"/>
    </row>
    <row r="20">
      <c r="A20" s="44" t="n"/>
      <c r="B20" s="46" t="inlineStr">
        <is>
          <t>- Textos fixos (saudações, Clube, fechamento, emojis): aba BLOCOS.</t>
        </is>
      </c>
      <c r="C20" s="44" t="n"/>
    </row>
    <row r="21">
      <c r="A21" s="44" t="n"/>
      <c r="B21" s="46" t="inlineStr"/>
      <c r="C21" s="44" t="n"/>
    </row>
    <row r="22">
      <c r="A22" s="44" t="n"/>
      <c r="B22" s="45" t="inlineStr">
        <is>
          <t>&gt; Sobre esta versão</t>
        </is>
      </c>
      <c r="C22" s="44" t="n"/>
    </row>
    <row r="23">
      <c r="A23" s="44" t="n"/>
      <c r="B23" s="46" t="inlineStr">
        <is>
          <t>- Demonstrativa, com dados fictícios: programa Horizonte, companhias inventadas, equipe fictícia.</t>
        </is>
      </c>
      <c r="C23" s="44" t="n"/>
    </row>
    <row r="24">
      <c r="A24" s="44" t="n"/>
      <c r="B24" s="46" t="inlineStr">
        <is>
          <t>- A original tinha 263 problemas, um bloco por operador e dois turnos (manhã e tarde).</t>
        </is>
      </c>
      <c r="C24" s="44" t="n"/>
    </row>
    <row r="25">
      <c r="A25" s="44" t="n"/>
      <c r="B25" s="44" t="n"/>
      <c r="C25" s="44" t="n"/>
    </row>
    <row r="26">
      <c r="A26" s="44" t="n"/>
      <c r="B26" s="44" t="n"/>
      <c r="C26" s="44" t="n"/>
    </row>
    <row r="27">
      <c r="A27" s="44" t="n"/>
      <c r="B27" s="44" t="n"/>
      <c r="C27" s="44" t="n"/>
    </row>
    <row r="28">
      <c r="A28" s="44" t="n"/>
      <c r="B28" s="44" t="n"/>
      <c r="C28" s="44" t="n"/>
    </row>
    <row r="29">
      <c r="A29" s="44" t="n"/>
      <c r="B29" s="44" t="n"/>
      <c r="C29" s="44" t="n"/>
    </row>
    <row r="30">
      <c r="A30" s="44" t="n"/>
      <c r="B30" s="44" t="n"/>
      <c r="C30" s="44" t="n"/>
    </row>
    <row r="31">
      <c r="A31" s="44" t="n"/>
      <c r="B31" s="44" t="n"/>
      <c r="C31" s="44" t="n"/>
    </row>
    <row r="32">
      <c r="A32" s="44" t="n"/>
      <c r="B32" s="44" t="n"/>
      <c r="C32" s="44" t="n"/>
    </row>
    <row r="33">
      <c r="A33" s="44" t="n"/>
      <c r="B33" s="44" t="n"/>
      <c r="C33" s="44" t="n"/>
    </row>
    <row r="34">
      <c r="A34" s="44" t="n"/>
      <c r="B34" s="44" t="n"/>
      <c r="C34" s="44" t="n"/>
    </row>
    <row r="35">
      <c r="A35" s="44" t="n"/>
      <c r="B35" s="44" t="n"/>
      <c r="C35" s="44" t="n"/>
    </row>
    <row r="36">
      <c r="A36" s="44" t="n"/>
      <c r="B36" s="44" t="n"/>
      <c r="C36" s="44" t="n"/>
    </row>
    <row r="37">
      <c r="A37" s="44" t="n"/>
      <c r="B37" s="44" t="n"/>
      <c r="C37" s="44" t="n"/>
    </row>
    <row r="38">
      <c r="A38" s="44" t="n"/>
      <c r="B38" s="44" t="n"/>
      <c r="C38" s="44" t="n"/>
    </row>
    <row r="39">
      <c r="A39" s="44" t="n"/>
      <c r="B39" s="44" t="n"/>
      <c r="C39" s="4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40" customWidth="1" min="3" max="3"/>
    <col width="44" customWidth="1" min="4" max="4"/>
    <col width="70" customWidth="1" min="5" max="5"/>
    <col width="50" customWidth="1" min="6" max="6"/>
    <col width="24" customWidth="1" min="7" max="7"/>
    <col width="12" customWidth="1" min="8" max="8"/>
  </cols>
  <sheetData>
    <row r="1" ht="26" customHeight="1">
      <c r="A1" s="1" t="inlineStr">
        <is>
          <t>BASE DE PROBLEMAS · tabulação, mensagem e registro por problema  ·  placeholders: {nome} {loc} {ticket} {categoria}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7" t="inlineStr">
        <is>
          <t>#</t>
        </is>
      </c>
      <c r="B2" s="47" t="inlineStr">
        <is>
          <t>Categoria</t>
        </is>
      </c>
      <c r="C2" s="47" t="inlineStr">
        <is>
          <t>Problema</t>
        </is>
      </c>
      <c r="D2" s="47" t="inlineStr">
        <is>
          <t>Tabulação</t>
        </is>
      </c>
      <c r="E2" s="47" t="inlineStr">
        <is>
          <t>Mensagem ao cliente</t>
        </is>
      </c>
      <c r="F2" s="47" t="inlineStr">
        <is>
          <t>Registro do atendimento</t>
        </is>
      </c>
      <c r="G2" s="47" t="inlineStr">
        <is>
          <t>O que acrescentar</t>
        </is>
      </c>
      <c r="H2" s="47" t="inlineStr">
        <is>
          <t>Depende da ida?</t>
        </is>
      </c>
    </row>
    <row r="3" ht="120" customHeight="1">
      <c r="A3" s="48" t="n">
        <v>1</v>
      </c>
      <c r="B3" s="49" t="inlineStr">
        <is>
          <t>Alteração involuntária</t>
        </is>
      </c>
      <c r="C3" s="49" t="inlineStr">
        <is>
          <t>Alteração involuntária - Acima de 30 min (ANAC 400)</t>
        </is>
      </c>
      <c r="D3" s="49" t="inlineStr">
        <is>
          <t>Solicitação &gt; Aéreas &gt; Alteração involuntária &gt; Reacomodação</t>
        </is>
      </c>
      <c r="E3" s="49" t="inlineStr">
        <is>
          <t>Em atenção à sua solicitação sobre o localizador {loc}, confirmo que o voo sofreu alteração acima do que regulamenta a Resolução 400 da ANAC.
Nesse caso, você pode escolher entre: reacomodação em outro voo da mesma companhia sem custo, reembolso integral, ou crédito para uso futuro. Me diga qual opção prefere e sigo com a solicitação.</t>
        </is>
      </c>
      <c r="F3" s="49" t="inlineStr">
        <is>
          <t>Alteração involuntária acima de 30 min (ANAC 400).
Cliente contatou sobre alteração de voo. Orientado sobre as três opções (reacomodação, reembolso, crédito).
Aguardando escolha do cliente.</t>
        </is>
      </c>
      <c r="G3" s="49" t="inlineStr">
        <is>
          <t>Nome + Localizador</t>
        </is>
      </c>
      <c r="H3" s="48" t="inlineStr">
        <is>
          <t>Não</t>
        </is>
      </c>
    </row>
    <row r="4" ht="120" customHeight="1">
      <c r="A4" s="48" t="n">
        <v>2</v>
      </c>
      <c r="B4" s="49" t="inlineStr">
        <is>
          <t>Alteração involuntária</t>
        </is>
      </c>
      <c r="C4" s="49" t="inlineStr">
        <is>
          <t>Alteração involuntária - Cliente aceitou voo proposto</t>
        </is>
      </c>
      <c r="D4" s="49" t="inlineStr">
        <is>
          <t>Solicitação &gt; Aéreas &gt; Alteração involuntária &gt; Cliente aceitou voo proposto</t>
        </is>
      </c>
      <c r="E4" s="49" t="inlineStr">
        <is>
          <t>Muito obrigado pelo seu retorno sobre o localizador {loc}.
Seu voo acabou de ser acomodado de acordo com a sua confirmação de horário. Você receberá um e-mail da companhia com o novo bilhete em até 24 horas.
Lembrando: enquanto a acomodação é processada, não abra a reserva no site ou no aplicativo e não realize check-in, pois isso impede a confirmação da alteração.</t>
        </is>
      </c>
      <c r="F4" s="49" t="inlineStr">
        <is>
          <t>Alteração involuntária. Cliente aceitou o voo proposto.
Acomodação realizada conforme confirmação do cliente.</t>
        </is>
      </c>
      <c r="G4" s="49" t="inlineStr">
        <is>
          <t>Nome + Localizador</t>
        </is>
      </c>
      <c r="H4" s="48" t="inlineStr">
        <is>
          <t>Não</t>
        </is>
      </c>
    </row>
    <row r="5" ht="120" customHeight="1">
      <c r="A5" s="48" t="n">
        <v>3</v>
      </c>
      <c r="B5" s="49" t="inlineStr">
        <is>
          <t>Alteração involuntária</t>
        </is>
      </c>
      <c r="C5" s="49" t="inlineStr">
        <is>
          <t>Alteração involuntária - Inferior a 30 min (sem direito)</t>
        </is>
      </c>
      <c r="D5" s="49" t="inlineStr">
        <is>
          <t>Informação &gt; Aéreas &gt; Alteração involuntária &gt; Regulamento</t>
        </is>
      </c>
      <c r="E5" s="49" t="inlineStr">
        <is>
          <t>Em atenção à sua solicitação sobre o localizador {loc}, verifiquei que a alteração feita pela companhia foi inferior a 30 minutos.
Pela Resolução 400 da ANAC, alterações dentro desse limite não geram direito a reacomodação gratuita ou reembolso. O voo segue confirmado no novo horário.</t>
        </is>
      </c>
      <c r="F5" s="49" t="inlineStr">
        <is>
          <t>Alteração involuntária inferior a 30 min.
Cliente informado que a alteração está dentro do limite regulamentar; sem direito a reacomodação ou reembolso.</t>
        </is>
      </c>
      <c r="G5" s="49" t="inlineStr">
        <is>
          <t>Nome + Localizador</t>
        </is>
      </c>
      <c r="H5" s="48" t="inlineStr">
        <is>
          <t>Não</t>
        </is>
      </c>
    </row>
    <row r="6" ht="120" customHeight="1">
      <c r="A6" s="48" t="n">
        <v>4</v>
      </c>
      <c r="B6" s="49" t="inlineStr">
        <is>
          <t>Alteração voluntária</t>
        </is>
      </c>
      <c r="C6" s="49" t="inlineStr">
        <is>
          <t>Alteração voluntária - Tarifa permite (com custos)</t>
        </is>
      </c>
      <c r="D6" s="49" t="inlineStr">
        <is>
          <t>Solicitação &gt; Aéreas &gt; Alteração voluntária &gt; Com custos</t>
        </is>
      </c>
      <c r="E6" s="49" t="inlineStr">
        <is>
          <t>Em atenção à sua solicitação sobre o localizador {loc}, a tarifa da sua passagem permite alteração mediante taxa e diferença tarifária, quando houver.
Para seguir, me informe a nova data e o horário desejados. Retorno com os valores para sua aprovação antes de qualquer cobrança.</t>
        </is>
      </c>
      <c r="F6" s="49" t="inlineStr">
        <is>
          <t>Alteração voluntária, tarifa permite com custos.
Cliente orientado sobre taxa e diferença tarifária. Aguardando nova data para cotação.</t>
        </is>
      </c>
      <c r="G6" s="49" t="inlineStr">
        <is>
          <t>Nome + Localizador</t>
        </is>
      </c>
      <c r="H6" s="48" t="inlineStr">
        <is>
          <t>Não</t>
        </is>
      </c>
    </row>
    <row r="7" ht="120" customHeight="1">
      <c r="A7" s="48" t="n">
        <v>5</v>
      </c>
      <c r="B7" s="49" t="inlineStr">
        <is>
          <t>Alteração voluntária</t>
        </is>
      </c>
      <c r="C7" s="49" t="inlineStr">
        <is>
          <t>Alteração voluntária - Tarifa não permite</t>
        </is>
      </c>
      <c r="D7" s="49" t="inlineStr">
        <is>
          <t>Informação &gt; Aéreas &gt; Alteração voluntária &gt; Tarifa não permite</t>
        </is>
      </c>
      <c r="E7" s="49" t="inlineStr">
        <is>
          <t>Em atenção à sua solicitação sobre o localizador {loc}, verifiquei que a tarifa adquirida não permite alteração de data ou horário.
As alternativas são: manter o voo como está, ou cancelar e emitir uma nova passagem (o cancelamento segue as regras da tarifa). Se quiser, verifico as condições de cancelamento para você.</t>
        </is>
      </c>
      <c r="F7" s="49" t="inlineStr">
        <is>
          <t>Alteração voluntária, tarifa não permite.
Cliente informado das regras da tarifa e das alternativas.</t>
        </is>
      </c>
      <c r="G7" s="49" t="inlineStr">
        <is>
          <t>Nome + Localizador</t>
        </is>
      </c>
      <c r="H7" s="48" t="inlineStr">
        <is>
          <t>Não</t>
        </is>
      </c>
    </row>
    <row r="8" ht="120" customHeight="1">
      <c r="A8" s="48" t="n">
        <v>6</v>
      </c>
      <c r="B8" s="49" t="inlineStr">
        <is>
          <t>Alteração voluntária</t>
        </is>
      </c>
      <c r="C8" s="49" t="inlineStr">
        <is>
          <t>Alteração voluntária - Trecho já voado</t>
        </is>
      </c>
      <c r="D8" s="49" t="inlineStr">
        <is>
          <t>Informação &gt; Aéreas &gt; Alteração voluntária &gt; Trecho já voado</t>
        </is>
      </c>
      <c r="E8" s="49" t="inlineStr">
        <is>
          <t>Em atenção à sua solicitação sobre o localizador {loc}, o trecho de ida já foi utilizado. A alteração de volta é possível conforme as regras da tarifa, mediante taxa e diferença tarifária.
Me informe a nova data desejada para a volta e retorno com os valores.</t>
        </is>
      </c>
      <c r="F8" s="49" t="inlineStr">
        <is>
          <t>Alteração voluntária com trecho de ida já voado.
Cliente orientado; alteração só da volta, conforme regras da tarifa.</t>
        </is>
      </c>
      <c r="G8" s="49" t="inlineStr">
        <is>
          <t>Nome + Localizador</t>
        </is>
      </c>
      <c r="H8" s="48" t="inlineStr">
        <is>
          <t>Sim</t>
        </is>
      </c>
    </row>
    <row r="9" ht="120" customHeight="1">
      <c r="A9" s="48" t="n">
        <v>7</v>
      </c>
      <c r="B9" s="49" t="inlineStr">
        <is>
          <t>Cancelamento</t>
        </is>
      </c>
      <c r="C9" s="49" t="inlineStr">
        <is>
          <t>Cancelamento voluntário - Dentro de 24 h da compra</t>
        </is>
      </c>
      <c r="D9" s="49" t="inlineStr">
        <is>
          <t>Solicitação &gt; Aéreas &gt; Cancelamento &gt; Até 24 h da compra</t>
        </is>
      </c>
      <c r="E9" s="49" t="inlineStr">
        <is>
          <t>Em atenção à sua solicitação sobre o localizador {loc}, como a compra foi feita há menos de 24 horas e o voo é daqui a mais de 7 dias, o cancelamento é feito sem custo, com estorno integral dos pontos e das taxas.
O pedido foi registrado sob o ticket {ticket}. Os pontos retornam à conta em até 48 horas e o valor das taxas é estornado na fatura do cartão em até duas faturas.</t>
        </is>
      </c>
      <c r="F9" s="49" t="inlineStr">
        <is>
          <t>Cancelamento voluntário dentro de 24 h da compra.
Sem custos. Estorno integral solicitado. Ticket {ticket}.</t>
        </is>
      </c>
      <c r="G9" s="49" t="inlineStr">
        <is>
          <t>Nome + Localizador</t>
        </is>
      </c>
      <c r="H9" s="48" t="inlineStr">
        <is>
          <t>Não</t>
        </is>
      </c>
    </row>
    <row r="10" ht="120" customHeight="1">
      <c r="A10" s="48" t="n">
        <v>8</v>
      </c>
      <c r="B10" s="49" t="inlineStr">
        <is>
          <t>Cancelamento</t>
        </is>
      </c>
      <c r="C10" s="49" t="inlineStr">
        <is>
          <t>Cancelamento voluntário - Fora de 24 h (com multa)</t>
        </is>
      </c>
      <c r="D10" s="49" t="inlineStr">
        <is>
          <t>Solicitação &gt; Aéreas &gt; Cancelamento &gt; Com multa</t>
        </is>
      </c>
      <c r="E10" s="49" t="inlineStr">
        <is>
          <t>Em atenção à sua solicitação sobre o localizador {loc}, o cancelamento é possível com a multa prevista na tarifa. O valor residual retorna como pontos na sua conta.
Me confirme se deseja seguir com o cancelamento nessas condições para eu registrar o pedido.</t>
        </is>
      </c>
      <c r="F10" s="49" t="inlineStr">
        <is>
          <t>Cancelamento voluntário fora de 24 h.
Cliente orientado sobre multa e estorno em pontos. Aguardando confirmação.</t>
        </is>
      </c>
      <c r="G10" s="49" t="inlineStr">
        <is>
          <t>Nome + Localizador</t>
        </is>
      </c>
      <c r="H10" s="48" t="inlineStr">
        <is>
          <t>Não</t>
        </is>
      </c>
    </row>
    <row r="11" ht="120" customHeight="1">
      <c r="A11" s="48" t="n">
        <v>9</v>
      </c>
      <c r="B11" s="49" t="inlineStr">
        <is>
          <t>Cancelamento</t>
        </is>
      </c>
      <c r="C11" s="49" t="inlineStr">
        <is>
          <t>Cancelamento excepcional - Volta (ida já utilizada)</t>
        </is>
      </c>
      <c r="D11" s="49" t="inlineStr">
        <is>
          <t>Solicitação &gt; Aéreas &gt; Cancelamento excepcional &gt; Parcial</t>
        </is>
      </c>
      <c r="E11" s="49" t="inlineStr">
        <is>
          <t>Em atenção à sua solicitação sobre o localizador {loc}, registrei o pedido de cancelamento do trecho de volta.
A solicitação segue como cancelamento parcial e passa por análise da companhia. O retorno sobre o valor a estornar chega em até 7 dias úteis no ticket {ticket}.</t>
        </is>
      </c>
      <c r="F11" s="49" t="inlineStr">
        <is>
          <t>Cancelamento excepcional parcial (volta), ida já utilizada.
Pedido registrado para análise da companhia. Ticket {ticket}.</t>
        </is>
      </c>
      <c r="G11" s="49" t="inlineStr">
        <is>
          <t>Nome + Localizador + Ticket</t>
        </is>
      </c>
      <c r="H11" s="48" t="inlineStr">
        <is>
          <t>Sim</t>
        </is>
      </c>
    </row>
    <row r="12" ht="120" customHeight="1">
      <c r="A12" s="48" t="n">
        <v>10</v>
      </c>
      <c r="B12" s="49" t="inlineStr">
        <is>
          <t>Cancelamento</t>
        </is>
      </c>
      <c r="C12" s="49" t="inlineStr">
        <is>
          <t>Cancelamento involuntário - Voo cancelado pela companhia</t>
        </is>
      </c>
      <c r="D12" s="49" t="inlineStr">
        <is>
          <t>Solicitação &gt; Aéreas &gt; Cancelamento involuntário &gt; Reembolso</t>
        </is>
      </c>
      <c r="E12" s="49" t="inlineStr">
        <is>
          <t>Em atenção à sua solicitação sobre o localizador {loc}, confirmo que o voo foi cancelado pela companhia.
Você tem direito a reacomodação sem custo ou reembolso integral, inclusive das taxas. Me diga qual opção prefere e eu registro agora.</t>
        </is>
      </c>
      <c r="F12" s="49" t="inlineStr">
        <is>
          <t>Cancelamento involuntário pela companhia.
Cliente orientado sobre reacomodação ou reembolso integral. Aguardando escolha.</t>
        </is>
      </c>
      <c r="G12" s="49" t="inlineStr">
        <is>
          <t>Nome + Localizador</t>
        </is>
      </c>
      <c r="H12" s="48" t="inlineStr">
        <is>
          <t>Não</t>
        </is>
      </c>
    </row>
    <row r="13" ht="120" customHeight="1">
      <c r="A13" s="48" t="n">
        <v>11</v>
      </c>
      <c r="B13" s="49" t="inlineStr">
        <is>
          <t>Cancelamento</t>
        </is>
      </c>
      <c r="C13" s="49" t="inlineStr">
        <is>
          <t>No-show - Cliente não compareceu</t>
        </is>
      </c>
      <c r="D13" s="49" t="inlineStr">
        <is>
          <t>Informação &gt; Aéreas &gt; No-show</t>
        </is>
      </c>
      <c r="E13" s="49" t="inlineStr">
        <is>
          <t>Em atenção à sua solicitação sobre o localizador {loc}, como não houve comparecimento ao embarque, a passagem foi marcada como no-show pela companhia.
Nesse caso, as taxas de embarque podem ser reembolsadas; o valor da tarifa segue as regras do bilhete. Se quiser, abro o pedido de reembolso das taxas.</t>
        </is>
      </c>
      <c r="F13" s="49" t="inlineStr">
        <is>
          <t>No-show.
Cliente orientado sobre reembolso de taxas de embarque e regras da tarifa.</t>
        </is>
      </c>
      <c r="G13" s="49" t="inlineStr">
        <is>
          <t>Nome + Localizador</t>
        </is>
      </c>
      <c r="H13" s="48" t="inlineStr">
        <is>
          <t>Não</t>
        </is>
      </c>
    </row>
    <row r="14" ht="120" customHeight="1">
      <c r="A14" s="48" t="n">
        <v>12</v>
      </c>
      <c r="B14" s="49" t="inlineStr">
        <is>
          <t>Bagagem</t>
        </is>
      </c>
      <c r="C14" s="49" t="inlineStr">
        <is>
          <t>Bagagem - Compra de franquia adicional</t>
        </is>
      </c>
      <c r="D14" s="49" t="inlineStr">
        <is>
          <t>Informação &gt; Aéreas &gt; Bagagem &gt; Franquia</t>
        </is>
      </c>
      <c r="E14" s="49" t="inlineStr">
        <is>
          <t>Em atenção à sua solicitação sobre o localizador {loc}, a franquia de bagagem despachada pode ser adquirida pelo site ou aplicativo da companhia, em Minhas Viagens, com valor menor que no aeroporto.
Para compra com pontos, posso fazer por aqui: me informe quantas malas deseja adicionar.</t>
        </is>
      </c>
      <c r="F14" s="49" t="inlineStr">
        <is>
          <t>Bagagem, compra de franquia.
Cliente orientado sobre compra pelo site/app ou com pontos pelo atendimento.</t>
        </is>
      </c>
      <c r="G14" s="49" t="inlineStr">
        <is>
          <t>Nome + Localizador</t>
        </is>
      </c>
      <c r="H14" s="48" t="inlineStr">
        <is>
          <t>Não</t>
        </is>
      </c>
    </row>
    <row r="15" ht="120" customHeight="1">
      <c r="A15" s="48" t="n">
        <v>13</v>
      </c>
      <c r="B15" s="49" t="inlineStr">
        <is>
          <t>Bagagem</t>
        </is>
      </c>
      <c r="C15" s="49" t="inlineStr">
        <is>
          <t>Bagagem - Extravio ou dano</t>
        </is>
      </c>
      <c r="D15" s="49" t="inlineStr">
        <is>
          <t>Solicitação &gt; Aéreas &gt; Bagagem &gt; Extravio/dano</t>
        </is>
      </c>
      <c r="E15" s="49" t="inlineStr">
        <is>
          <t>Lamento pelo ocorrido com a bagagem do localizador {loc}.
O registro de extravio ou dano é feito diretamente com a companhia aérea, no balcão do aeroporto, em até 7 dias após o desembarque. Guarde o comprovante (PIR). Se já tiver o número do PIR, me envie que eu acompanho o caso por aqui.</t>
        </is>
      </c>
      <c r="F15" s="49" t="inlineStr">
        <is>
          <t>Bagagem, extravio ou dano.
Cliente orientado a registrar PIR com a companhia em até 7 dias. Acompanhamento aberto se houver PIR.</t>
        </is>
      </c>
      <c r="G15" s="49" t="inlineStr">
        <is>
          <t>Nome + Localizador</t>
        </is>
      </c>
      <c r="H15" s="48" t="inlineStr">
        <is>
          <t>Não</t>
        </is>
      </c>
    </row>
    <row r="16" ht="120" customHeight="1">
      <c r="A16" s="48" t="n">
        <v>14</v>
      </c>
      <c r="B16" s="49" t="inlineStr">
        <is>
          <t>Assento</t>
        </is>
      </c>
      <c r="C16" s="49" t="inlineStr">
        <is>
          <t>Assento - Marcação de assento</t>
        </is>
      </c>
      <c r="D16" s="49" t="inlineStr">
        <is>
          <t>Informação &gt; Aéreas &gt; Assento &gt; Marcação</t>
        </is>
      </c>
      <c r="E16" s="49" t="inlineStr">
        <is>
          <t>Em atenção à sua solicitação sobre o localizador {loc}, a marcação de assento pode ser feita pelo site ou aplicativo da companhia a qualquer momento após a emissão.
Assentos conforto têm custo; os demais são gratuitos a partir do check-in, que abre 48 horas antes do voo.</t>
        </is>
      </c>
      <c r="F16" s="49" t="inlineStr">
        <is>
          <t>Assento, marcação.
Cliente orientado a marcar pelo site/app da companhia.</t>
        </is>
      </c>
      <c r="G16" s="49" t="inlineStr">
        <is>
          <t>Nome + Localizador</t>
        </is>
      </c>
      <c r="H16" s="48" t="inlineStr">
        <is>
          <t>Não</t>
        </is>
      </c>
    </row>
    <row r="17" ht="120" customHeight="1">
      <c r="A17" s="48" t="n">
        <v>15</v>
      </c>
      <c r="B17" s="49" t="inlineStr">
        <is>
          <t>Assento</t>
        </is>
      </c>
      <c r="C17" s="49" t="inlineStr">
        <is>
          <t>Assento - Remarcação de assento comprado</t>
        </is>
      </c>
      <c r="D17" s="49" t="inlineStr">
        <is>
          <t>Informação &gt; Aéreas &gt; Assento &gt; Regulamento</t>
        </is>
      </c>
      <c r="E17" s="49" t="inlineStr">
        <is>
          <t>Em atenção à sua solicitação sobre o localizador {loc}, informo que assentos adquiridos não são transferíveis entre voos. Se o voo for alterado por você, o assento precisa ser comprado novamente; se a alteração for da companhia, o valor é estornado automaticamente.</t>
        </is>
      </c>
      <c r="F17" s="49" t="inlineStr">
        <is>
          <t>Assento, remarcação.
Cliente informado que assento comprado não é transferível; estorno automático só em alteração pela companhia.</t>
        </is>
      </c>
      <c r="G17" s="49" t="inlineStr">
        <is>
          <t>Nome + Localizador</t>
        </is>
      </c>
      <c r="H17" s="48" t="inlineStr">
        <is>
          <t>Não</t>
        </is>
      </c>
    </row>
    <row r="18" ht="120" customHeight="1">
      <c r="A18" s="48" t="n">
        <v>16</v>
      </c>
      <c r="B18" s="49" t="inlineStr">
        <is>
          <t>Emissão</t>
        </is>
      </c>
      <c r="C18" s="49" t="inlineStr">
        <is>
          <t>Emissão - Confirmação de emissão com pontos</t>
        </is>
      </c>
      <c r="D18" s="49" t="inlineStr">
        <is>
          <t>Informação &gt; Programa &gt; Emissão &gt; Confirmação</t>
        </is>
      </c>
      <c r="E18" s="49" t="inlineStr">
        <is>
          <t>Em atenção à sua solicitação, confirmo que a emissão do localizador {loc} foi concluída e o bilhete enviado para o e-mail cadastrado.
Se não encontrar, verifique a caixa de spam. O bilhete também fica disponível em Minhas Viagens.</t>
        </is>
      </c>
      <c r="F18" s="49" t="inlineStr">
        <is>
          <t>Emissão, confirmação.
Emissão confirmada; cliente orientado a verificar e-mail e Minhas Viagens.</t>
        </is>
      </c>
      <c r="G18" s="49" t="inlineStr">
        <is>
          <t>Nome + Localizador</t>
        </is>
      </c>
      <c r="H18" s="48" t="inlineStr">
        <is>
          <t>Não</t>
        </is>
      </c>
    </row>
    <row r="19" ht="120" customHeight="1">
      <c r="A19" s="48" t="n">
        <v>17</v>
      </c>
      <c r="B19" s="49" t="inlineStr">
        <is>
          <t>Emissão</t>
        </is>
      </c>
      <c r="C19" s="49" t="inlineStr">
        <is>
          <t>Emissão - Pontos debitados sem bilhete</t>
        </is>
      </c>
      <c r="D19" s="49" t="inlineStr">
        <is>
          <t>Solicitação &gt; Programa &gt; Emissão &gt; Pontos sem bilhete</t>
        </is>
      </c>
      <c r="E19" s="49" t="inlineStr">
        <is>
          <t>Em atenção à sua solicitação, identifiquei o débito de pontos sem a emissão do bilhete. Abri o ticket {ticket} para a equipe de emissões.
O prazo é de até 48 horas: ou o bilhete é emitido, ou os pontos retornam à conta. Você recebe o retorno por e-mail.</t>
        </is>
      </c>
      <c r="F19" s="49" t="inlineStr">
        <is>
          <t>Emissão, pontos debitados sem bilhete.
Ticket {ticket} aberto para a equipe de emissões. Prazo 48 h.</t>
        </is>
      </c>
      <c r="G19" s="49" t="inlineStr">
        <is>
          <t>Nome + Ticket</t>
        </is>
      </c>
      <c r="H19" s="48" t="inlineStr">
        <is>
          <t>Não</t>
        </is>
      </c>
    </row>
    <row r="20" ht="120" customHeight="1">
      <c r="A20" s="48" t="n">
        <v>18</v>
      </c>
      <c r="B20" s="49" t="inlineStr">
        <is>
          <t>Emissão</t>
        </is>
      </c>
      <c r="C20" s="49" t="inlineStr">
        <is>
          <t>Emissão - Erro de nome no bilhete</t>
        </is>
      </c>
      <c r="D20" s="49" t="inlineStr">
        <is>
          <t>Solicitação &gt; Aéreas &gt; Emissão &gt; Correção de nome</t>
        </is>
      </c>
      <c r="E20" s="49" t="inlineStr">
        <is>
          <t>Em atenção à sua solicitação sobre o localizador {loc}, a correção de nome é possível para até 3 caracteres sem custo. Acima disso, a companhia trata como reemissão.
Me informe o nome exatamente como está no documento para eu registrar a correção.</t>
        </is>
      </c>
      <c r="F20" s="49" t="inlineStr">
        <is>
          <t>Emissão, correção de nome.
Cliente orientado sobre regra de até 3 caracteres. Aguardando nome correto.</t>
        </is>
      </c>
      <c r="G20" s="49" t="inlineStr">
        <is>
          <t>Nome + Localizador</t>
        </is>
      </c>
      <c r="H20" s="48" t="inlineStr">
        <is>
          <t>Não</t>
        </is>
      </c>
    </row>
    <row r="21" ht="120" customHeight="1">
      <c r="A21" s="48" t="n">
        <v>19</v>
      </c>
      <c r="B21" s="49" t="inlineStr">
        <is>
          <t>Programa</t>
        </is>
      </c>
      <c r="C21" s="49" t="inlineStr">
        <is>
          <t>Programa - Pontos não creditados após voo</t>
        </is>
      </c>
      <c r="D21" s="49" t="inlineStr">
        <is>
          <t>Solicitação &gt; Programa &gt; Pontos &gt; Crédito retroativo</t>
        </is>
      </c>
      <c r="E21" s="49" t="inlineStr">
        <is>
          <t>Em atenção à sua solicitação, o crédito de pontos de um voo realizado pode ser solicitado em até 90 dias após a data do voo. Abri o ticket {ticket} com os dados do localizador {loc}.
O prazo de crédito é de até 15 dias. Guarde o cartão de embarque até a conclusão.</t>
        </is>
      </c>
      <c r="F21" s="49" t="inlineStr">
        <is>
          <t>Programa, crédito retroativo de pontos.
Ticket {ticket} aberto. Prazo 15 dias.</t>
        </is>
      </c>
      <c r="G21" s="49" t="inlineStr">
        <is>
          <t>Nome + Localizador + Ticket</t>
        </is>
      </c>
      <c r="H21" s="48" t="inlineStr">
        <is>
          <t>Não</t>
        </is>
      </c>
    </row>
    <row r="22" ht="120" customHeight="1">
      <c r="A22" s="48" t="n">
        <v>20</v>
      </c>
      <c r="B22" s="49" t="inlineStr">
        <is>
          <t>Programa</t>
        </is>
      </c>
      <c r="C22" s="49" t="inlineStr">
        <is>
          <t>Programa - Expiração de pontos</t>
        </is>
      </c>
      <c r="D22" s="49" t="inlineStr">
        <is>
          <t>Informação &gt; Programa &gt; Pontos &gt; Expiração</t>
        </is>
      </c>
      <c r="E22" s="49" t="inlineStr">
        <is>
          <t>Em atenção à sua solicitação, os pontos expiram conforme a data de cada crédito, e a validade varia com a categoria. Você pode acompanhar o saldo e as datas em Meus Pontos.
Pontos expirados não são reativados, mas o Clube Horizonte estende a validade dos pontos acumulados enquanto a assinatura está ativa.</t>
        </is>
      </c>
      <c r="F22" s="49" t="inlineStr">
        <is>
          <t>Programa, expiração de pontos.
Cliente orientado sobre validade por categoria e extensão pelo Clube.</t>
        </is>
      </c>
      <c r="G22" s="49" t="inlineStr">
        <is>
          <t>Nome</t>
        </is>
      </c>
      <c r="H22" s="48" t="inlineStr">
        <is>
          <t>Não</t>
        </is>
      </c>
    </row>
    <row r="23" ht="120" customHeight="1">
      <c r="A23" s="48" t="n">
        <v>21</v>
      </c>
      <c r="B23" s="49" t="inlineStr">
        <is>
          <t>Programa</t>
        </is>
      </c>
      <c r="C23" s="49" t="inlineStr">
        <is>
          <t>Programa - Mudança de categoria</t>
        </is>
      </c>
      <c r="D23" s="49" t="inlineStr">
        <is>
          <t>Informação &gt; Programa &gt; Categoria</t>
        </is>
      </c>
      <c r="E23" s="49" t="inlineStr">
        <is>
          <t>Em atenção à sua solicitação, a categoria é recalculada todo mês com base nos pontos qualificáveis dos últimos 12 meses. Sua categoria atual é {categoria}.
Você pode acompanhar o quanto falta para a próxima categoria em Minha Conta.</t>
        </is>
      </c>
      <c r="F23" s="49" t="inlineStr">
        <is>
          <t>Programa, categoria.
Cliente orientado sobre regra de cálculo e acompanhamento.</t>
        </is>
      </c>
      <c r="G23" s="49" t="inlineStr">
        <is>
          <t>Nome + Categoria</t>
        </is>
      </c>
      <c r="H23" s="48" t="inlineStr">
        <is>
          <t>Não</t>
        </is>
      </c>
    </row>
    <row r="24" ht="120" customHeight="1">
      <c r="A24" s="48" t="n">
        <v>22</v>
      </c>
      <c r="B24" s="49" t="inlineStr">
        <is>
          <t>Clube</t>
        </is>
      </c>
      <c r="C24" s="49" t="inlineStr">
        <is>
          <t>Clube - Cancelamento de assinatura</t>
        </is>
      </c>
      <c r="D24" s="49" t="inlineStr">
        <is>
          <t>Solicitação &gt; Clube &gt; Cancelamento</t>
        </is>
      </c>
      <c r="E24" s="49" t="inlineStr">
        <is>
          <t>Em atenção à sua solicitação, o cancelamento do Clube Horizonte pode ser feito em Minha Conta &gt; Clube &gt; Cancelar, e vale a partir da próxima cobrança.
Antes de cancelar, lembre que os pontos acumulados pelo Clube deixam de ter a validade estendida. Se preferir, posso registrar o cancelamento por aqui.</t>
        </is>
      </c>
      <c r="F24" s="49" t="inlineStr">
        <is>
          <t>Clube, cancelamento de assinatura.
Cliente orientado sobre o caminho e sobre a perda da validade estendida.</t>
        </is>
      </c>
      <c r="G24" s="49" t="inlineStr">
        <is>
          <t>Nome</t>
        </is>
      </c>
      <c r="H24" s="48" t="inlineStr">
        <is>
          <t>Não</t>
        </is>
      </c>
    </row>
    <row r="25" ht="120" customHeight="1">
      <c r="A25" s="48" t="n">
        <v>23</v>
      </c>
      <c r="B25" s="49" t="inlineStr">
        <is>
          <t>Clube</t>
        </is>
      </c>
      <c r="C25" s="49" t="inlineStr">
        <is>
          <t>Clube - Cobrança não reconhecida</t>
        </is>
      </c>
      <c r="D25" s="49" t="inlineStr">
        <is>
          <t>Solicitação &gt; Clube &gt; Cobrança</t>
        </is>
      </c>
      <c r="E25" s="49" t="inlineStr">
        <is>
          <t>Em atenção à sua solicitação, abri o ticket {ticket} para análise da cobrança do Clube Horizonte.
A equipe financeira responde em até 5 dias úteis. Se a cobrança for indevida, o estorno é feito na fatura seguinte.</t>
        </is>
      </c>
      <c r="F25" s="49" t="inlineStr">
        <is>
          <t>Clube, cobrança não reconhecida.
Ticket {ticket} aberto para o financeiro. Prazo 5 dias úteis.</t>
        </is>
      </c>
      <c r="G25" s="49" t="inlineStr">
        <is>
          <t>Nome + Ticket</t>
        </is>
      </c>
      <c r="H25" s="48" t="inlineStr">
        <is>
          <t>Não</t>
        </is>
      </c>
    </row>
    <row r="26" ht="120" customHeight="1">
      <c r="A26" s="48" t="n">
        <v>24</v>
      </c>
      <c r="B26" s="49" t="inlineStr">
        <is>
          <t>Atendimento</t>
        </is>
      </c>
      <c r="C26" s="49" t="inlineStr">
        <is>
          <t>Atendimento - Como mudar de canal (chat/voz)</t>
        </is>
      </c>
      <c r="D26" s="49" t="inlineStr">
        <is>
          <t>Informação &gt; Atendimento &gt; Canais</t>
        </is>
      </c>
      <c r="E26" s="49" t="inlineStr">
        <is>
          <t>Para casos que precisam de resolução imediata, recomendo o chat no site ou a central telefônica, com retorno mais rápido que o e-mail.
Por aqui, o prazo de resposta é de até 48 horas. Se preferir seguir por e-mail, estou à disposição.</t>
        </is>
      </c>
      <c r="F26" s="49" t="inlineStr">
        <is>
          <t>Atendimento, mudança de canal.
Cliente orientado sobre chat/voz para casos urgentes.</t>
        </is>
      </c>
      <c r="G26" s="49" t="inlineStr">
        <is>
          <t>Nome</t>
        </is>
      </c>
      <c r="H26" s="48" t="inlineStr">
        <is>
          <t>Não</t>
        </is>
      </c>
    </row>
    <row r="27" ht="120" customHeight="1">
      <c r="A27" s="48" t="n">
        <v>25</v>
      </c>
      <c r="B27" s="49" t="inlineStr">
        <is>
          <t>Atendimento</t>
        </is>
      </c>
      <c r="C27" s="49" t="inlineStr">
        <is>
          <t>Atendimento - Reclamação sobre atendimento anterior</t>
        </is>
      </c>
      <c r="D27" s="49" t="inlineStr">
        <is>
          <t>Solicitação &gt; Atendimento &gt; Reclamação</t>
        </is>
      </c>
      <c r="E27" s="49" t="inlineStr">
        <is>
          <t>Lamento pela experiência no atendimento anterior. Registrei sua reclamação no ticket {ticket}, que será analisada pela supervisão.
Sobre a sua demanda original, me diga como posso ajudar agora e sigo com ela por aqui.</t>
        </is>
      </c>
      <c r="F27" s="49" t="inlineStr">
        <is>
          <t>Atendimento, reclamação.
Ticket {ticket} aberto para a supervisão. Demanda original em andamento.</t>
        </is>
      </c>
      <c r="G27" s="49" t="inlineStr">
        <is>
          <t>Nome + Ticket</t>
        </is>
      </c>
      <c r="H27" s="48" t="inlineStr">
        <is>
          <t>Não</t>
        </is>
      </c>
    </row>
    <row r="28" ht="120" customHeight="1">
      <c r="A28" s="48" t="n">
        <v>26</v>
      </c>
      <c r="B28" s="49" t="inlineStr">
        <is>
          <t>Meteorologia</t>
        </is>
      </c>
      <c r="C28" s="49" t="inlineStr">
        <is>
          <t>Condições meteorológicas - Voo cancelado ou atrasado</t>
        </is>
      </c>
      <c r="D28" s="49" t="inlineStr">
        <is>
          <t>Informação &gt; Aéreas &gt; Meteorologia</t>
        </is>
      </c>
      <c r="E28" s="49" t="inlineStr">
        <is>
          <t>Em atenção à sua solicitação sobre o localizador {loc}, o voo foi afetado por condições meteorológicas, o que é tratado como caso fortuito pela regulamentação.
A companhia oferece reacomodação no próximo voo disponível ou reembolso integral. Me diga qual opção prefere.</t>
        </is>
      </c>
      <c r="F28" s="49" t="inlineStr">
        <is>
          <t>Meteorologia, voo cancelado/atrasado.
Cliente orientado sobre reacomodação ou reembolso.</t>
        </is>
      </c>
      <c r="G28" s="49" t="inlineStr">
        <is>
          <t>Nome + Localizador</t>
        </is>
      </c>
      <c r="H28" s="48" t="inlineStr">
        <is>
          <t>Não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1" ht="26" customHeight="1">
      <c r="A1" s="1" t="inlineStr">
        <is>
          <t>BLOCOS DE TEXTO E REGRAS · tudo que entra na mensagem além do problema</t>
        </is>
      </c>
      <c r="B1" s="2" t="n"/>
      <c r="C1" s="2" t="n"/>
      <c r="D1" s="2" t="n"/>
    </row>
    <row r="3">
      <c r="B3" s="50" t="inlineStr">
        <is>
          <t>Saudação pelo horário</t>
        </is>
      </c>
      <c r="C3" s="50" t="inlineStr">
        <is>
          <t>Regra</t>
        </is>
      </c>
    </row>
    <row r="4">
      <c r="B4" s="4" t="inlineStr">
        <is>
          <t>Agora</t>
        </is>
      </c>
      <c r="C4" s="51">
        <f>NOW()</f>
        <v/>
      </c>
    </row>
    <row r="5">
      <c r="B5" s="4" t="inlineStr">
        <is>
          <t>Saudação</t>
        </is>
      </c>
      <c r="C5" s="4">
        <f>IF(HOUR(C4)&lt;12,"Bom dia",IF(HOUR(C4)&lt;18,"Boa tarde","Boa noite"))</f>
        <v/>
      </c>
    </row>
    <row r="6">
      <c r="B6" s="4" t="inlineStr">
        <is>
          <t>Dia da semana</t>
        </is>
      </c>
      <c r="C6" s="4">
        <f>CHOOSE(WEEKDAY(C4,1),"domingo","segunda-feira","terça-feira","quarta-feira","quinta-feira","sexta-feira","sábado")</f>
        <v/>
      </c>
    </row>
    <row r="7">
      <c r="B7" s="4" t="inlineStr">
        <is>
          <t>Despedida</t>
        </is>
      </c>
      <c r="C7" s="4">
        <f>IF(WEEKDAY(C4,1)=6,"Desejo um ótimo fim de semana!",IF(WEEKDAY(C4,1)=2,"Desejo uma excelente semana!","Desejo um ótimo dia!"))</f>
        <v/>
      </c>
    </row>
    <row r="9">
      <c r="B9" s="50" t="inlineStr">
        <is>
          <t>Emojis (sorteio a cada recálculo)</t>
        </is>
      </c>
      <c r="C9" s="50" t="inlineStr">
        <is>
          <t>Lista</t>
        </is>
      </c>
    </row>
    <row r="10">
      <c r="B10" s="52" t="inlineStr">
        <is>
          <t>abertura</t>
        </is>
      </c>
      <c r="C10" s="48" t="inlineStr">
        <is>
          <t>😊</t>
        </is>
      </c>
    </row>
    <row r="11">
      <c r="B11" s="52" t="inlineStr">
        <is>
          <t>abertura</t>
        </is>
      </c>
      <c r="C11" s="48" t="inlineStr">
        <is>
          <t>👋</t>
        </is>
      </c>
    </row>
    <row r="12">
      <c r="B12" s="52" t="inlineStr">
        <is>
          <t>abertura</t>
        </is>
      </c>
      <c r="C12" s="48" t="inlineStr">
        <is>
          <t>🙂</t>
        </is>
      </c>
    </row>
    <row r="13">
      <c r="B13" s="52" t="inlineStr">
        <is>
          <t>abertura</t>
        </is>
      </c>
      <c r="C13" s="48" t="inlineStr">
        <is>
          <t>✨</t>
        </is>
      </c>
    </row>
    <row r="14">
      <c r="B14" s="52" t="inlineStr">
        <is>
          <t>abertura</t>
        </is>
      </c>
      <c r="C14" s="48" t="inlineStr">
        <is>
          <t>🛫</t>
        </is>
      </c>
    </row>
    <row r="15">
      <c r="B15" s="52" t="inlineStr">
        <is>
          <t>fechamento</t>
        </is>
      </c>
      <c r="C15" s="48" t="inlineStr">
        <is>
          <t>🤝</t>
        </is>
      </c>
    </row>
    <row r="16">
      <c r="B16" s="52" t="inlineStr">
        <is>
          <t>fechamento</t>
        </is>
      </c>
      <c r="C16" s="48" t="inlineStr">
        <is>
          <t>🙏</t>
        </is>
      </c>
    </row>
    <row r="17">
      <c r="B17" s="52" t="inlineStr">
        <is>
          <t>fechamento</t>
        </is>
      </c>
      <c r="C17" s="48" t="inlineStr">
        <is>
          <t>😉</t>
        </is>
      </c>
    </row>
    <row r="18">
      <c r="B18" s="52" t="inlineStr">
        <is>
          <t>fechamento</t>
        </is>
      </c>
      <c r="C18" s="48" t="inlineStr">
        <is>
          <t>👍</t>
        </is>
      </c>
    </row>
    <row r="19">
      <c r="B19" s="52" t="inlineStr">
        <is>
          <t>fechamento</t>
        </is>
      </c>
      <c r="C19" s="48" t="inlineStr">
        <is>
          <t>💙</t>
        </is>
      </c>
    </row>
    <row r="20">
      <c r="B20" s="4" t="inlineStr">
        <is>
          <t>Emoji de abertura</t>
        </is>
      </c>
      <c r="C20" s="48">
        <f>INDEX($C$10:$C$14,RANDBETWEEN(1,5))</f>
        <v/>
      </c>
    </row>
    <row r="21">
      <c r="B21" s="4" t="inlineStr">
        <is>
          <t>Emoji de fechamento</t>
        </is>
      </c>
      <c r="C21" s="48">
        <f>INDEX($C$15:$C$19,RANDBETWEEN(1,5))</f>
        <v/>
      </c>
    </row>
    <row r="23">
      <c r="B23" s="50" t="inlineStr">
        <is>
          <t>Clube Horizonte · bloco por status</t>
        </is>
      </c>
      <c r="C23" s="50" t="inlineStr">
        <is>
          <t>Texto que entra na mensagem</t>
        </is>
      </c>
    </row>
    <row r="24" ht="42" customHeight="1">
      <c r="B24" s="4" t="inlineStr">
        <is>
          <t>Elegível</t>
        </is>
      </c>
      <c r="C24" s="49" t="inlineStr">
        <is>
          <t>Aproveitando o contato: sua conta está elegível ao Clube Horizonte, que estende a validade dos seus pontos e dá desconto nas emissões. A adesão pode ser feita em Minha Conta &gt; Clube.</t>
        </is>
      </c>
    </row>
    <row r="25" ht="42" customHeight="1">
      <c r="B25" s="4" t="inlineStr">
        <is>
          <t>Assinante</t>
        </is>
      </c>
      <c r="C25" s="49" t="inlineStr">
        <is>
          <t>Vi que você é assinante do Clube Horizonte. Obrigado por fazer parte! Lembre que os pontos do Clube têm validade estendida enquanto a assinatura estiver ativa.</t>
        </is>
      </c>
    </row>
    <row r="26" ht="42" customHeight="1">
      <c r="B26" s="4" t="inlineStr">
        <is>
          <t>Suspenso</t>
        </is>
      </c>
      <c r="C26" s="49" t="inlineStr">
        <is>
          <t>Notei que sua assinatura do Clube Horizonte está suspensa por pendência de pagamento. Para manter os benefícios, regularize em Minha Conta &gt; Clube &gt; Pagamento.</t>
        </is>
      </c>
    </row>
    <row r="27" ht="42" customHeight="1">
      <c r="B27" s="4" t="inlineStr">
        <is>
          <t>Pendente</t>
        </is>
      </c>
      <c r="C27" s="49" t="inlineStr">
        <is>
          <t>Sua adesão ao Clube Horizonte está pendente de confirmação do pagamento. Assim que confirmada, os benefícios são liberados automaticamente.</t>
        </is>
      </c>
    </row>
    <row r="28" ht="42" customHeight="1">
      <c r="B28" s="4" t="inlineStr">
        <is>
          <t>Não elegível</t>
        </is>
      </c>
      <c r="C28" s="49" t="inlineStr"/>
    </row>
    <row r="31">
      <c r="B31" s="50" t="inlineStr">
        <is>
          <t>Ida realizada · bloco (só em problemas que dependem da ida)</t>
        </is>
      </c>
      <c r="C31" s="50" t="inlineStr">
        <is>
          <t>Texto</t>
        </is>
      </c>
    </row>
    <row r="32" ht="30" customHeight="1">
      <c r="B32" s="4" t="inlineStr">
        <is>
          <t>Sim</t>
        </is>
      </c>
      <c r="C32" s="49" t="inlineStr">
        <is>
          <t>Como o trecho de ida já foi utilizado, a solicitação vale apenas para o trecho de volta.</t>
        </is>
      </c>
    </row>
    <row r="33" ht="30" customHeight="1">
      <c r="B33" s="4" t="inlineStr">
        <is>
          <t>Não</t>
        </is>
      </c>
      <c r="C33" s="49" t="inlineStr">
        <is>
          <t>Como nenhum trecho foi utilizado, a solicitação vale para a reserva completa (ida e volta).</t>
        </is>
      </c>
    </row>
    <row r="36">
      <c r="B36" s="50" t="inlineStr">
        <is>
          <t>Categorias</t>
        </is>
      </c>
      <c r="C36" s="50" t="inlineStr">
        <is>
          <t>Validade dos pontos</t>
        </is>
      </c>
    </row>
    <row r="37">
      <c r="B37" s="4" t="inlineStr">
        <is>
          <t>Bronze</t>
        </is>
      </c>
      <c r="C37" s="4" t="inlineStr">
        <is>
          <t>24 meses</t>
        </is>
      </c>
    </row>
    <row r="38">
      <c r="B38" s="4" t="inlineStr">
        <is>
          <t>Prata</t>
        </is>
      </c>
      <c r="C38" s="4" t="inlineStr">
        <is>
          <t>36 meses</t>
        </is>
      </c>
    </row>
    <row r="39">
      <c r="B39" s="4" t="inlineStr">
        <is>
          <t>Ouro</t>
        </is>
      </c>
      <c r="C39" s="4" t="inlineStr">
        <is>
          <t>48 meses</t>
        </is>
      </c>
    </row>
    <row r="40">
      <c r="B40" s="4" t="inlineStr">
        <is>
          <t>Diamante</t>
        </is>
      </c>
      <c r="C40" s="4" t="inlineStr">
        <is>
          <t>60 meses</t>
        </is>
      </c>
    </row>
    <row r="42">
      <c r="B42" s="50" t="inlineStr">
        <is>
          <t>Status do Clube (lista)</t>
        </is>
      </c>
    </row>
    <row r="43">
      <c r="B43" s="4" t="inlineStr">
        <is>
          <t>Elegível</t>
        </is>
      </c>
    </row>
    <row r="44">
      <c r="B44" s="4" t="inlineStr">
        <is>
          <t>Assinante</t>
        </is>
      </c>
    </row>
    <row r="45">
      <c r="B45" s="4" t="inlineStr">
        <is>
          <t>Suspenso</t>
        </is>
      </c>
    </row>
    <row r="46">
      <c r="B46" s="4" t="inlineStr">
        <is>
          <t>Pendente</t>
        </is>
      </c>
    </row>
    <row r="47">
      <c r="B47" s="4" t="inlineStr">
        <is>
          <t>Não elegível</t>
        </is>
      </c>
    </row>
    <row r="49">
      <c r="B49" s="50" t="inlineStr">
        <is>
          <t>Ida realizada (lista)</t>
        </is>
      </c>
    </row>
    <row r="50">
      <c r="B50" s="4" t="inlineStr">
        <is>
          <t>Sim</t>
        </is>
      </c>
    </row>
    <row r="51">
      <c r="B51" s="4" t="inlineStr">
        <is>
          <t>Não</t>
        </is>
      </c>
    </row>
    <row r="53">
      <c r="B53" s="50" t="inlineStr">
        <is>
          <t>Fechamento padrão</t>
        </is>
      </c>
    </row>
    <row r="54" ht="70" customHeight="1">
      <c r="B54" s="4" t="inlineStr">
        <is>
          <t>Texto</t>
        </is>
      </c>
      <c r="C54" s="49" t="inlineStr">
        <is>
          <t>Qualquer dúvida, fico à disposição por este canal. Se precisar de retorno imediato, o chat no site e a central telefônica atendem todos os dias, das 6h às 23h59.
Como sua demanda foi atendida, estou finalizando o atendimento. Antes de ir, que tal avaliar este contato na pesquisa de satisfação? Sua opinião orienta o nosso trabalho.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" customWidth="1" min="3" max="3"/>
    <col width="8" customWidth="1" min="4" max="4"/>
    <col width="28" customWidth="1" min="5" max="5"/>
    <col width="3" customWidth="1" min="6" max="6"/>
    <col width="9" customWidth="1" min="7" max="7"/>
    <col width="12" customWidth="1" min="8" max="8"/>
  </cols>
  <sheetData>
    <row r="1" ht="26" customHeight="1">
      <c r="A1" s="1" t="inlineStr">
        <is>
          <t>AEROPORTOS (IATA) E COMPANHIAS (fictícias)</t>
        </is>
      </c>
      <c r="B1" s="2" t="n"/>
      <c r="C1" s="2" t="n"/>
    </row>
    <row r="2">
      <c r="A2" s="47" t="inlineStr">
        <is>
          <t>IATA</t>
        </is>
      </c>
      <c r="B2" s="47" t="inlineStr">
        <is>
          <t>Cidade / aeroporto</t>
        </is>
      </c>
      <c r="D2" s="47" t="inlineStr">
        <is>
          <t>Código</t>
        </is>
      </c>
      <c r="E2" s="47" t="inlineStr">
        <is>
          <t>Companhia</t>
        </is>
      </c>
      <c r="G2" s="47" t="inlineStr">
        <is>
          <t>Mês GDS</t>
        </is>
      </c>
      <c r="H2" s="47" t="inlineStr">
        <is>
          <t>Mês</t>
        </is>
      </c>
    </row>
    <row r="3">
      <c r="A3" s="48" t="inlineStr">
        <is>
          <t>GRU</t>
        </is>
      </c>
      <c r="B3" s="4" t="inlineStr">
        <is>
          <t>São Paulo/Guarulhos</t>
        </is>
      </c>
      <c r="D3" s="48" t="inlineStr">
        <is>
          <t>HZ</t>
        </is>
      </c>
      <c r="E3" s="4" t="inlineStr">
        <is>
          <t>Aérea Horizonte</t>
        </is>
      </c>
      <c r="G3" s="48" t="inlineStr">
        <is>
          <t>JAN</t>
        </is>
      </c>
      <c r="H3" s="4" t="inlineStr">
        <is>
          <t>janeiro</t>
        </is>
      </c>
    </row>
    <row r="4">
      <c r="A4" s="48" t="inlineStr">
        <is>
          <t>CGH</t>
        </is>
      </c>
      <c r="B4" s="4" t="inlineStr">
        <is>
          <t>São Paulo/Congonhas</t>
        </is>
      </c>
      <c r="D4" s="48" t="inlineStr">
        <is>
          <t>MR</t>
        </is>
      </c>
      <c r="E4" s="4" t="inlineStr">
        <is>
          <t>Meridiano Linhas Aéreas</t>
        </is>
      </c>
      <c r="G4" s="48" t="inlineStr">
        <is>
          <t>FEB</t>
        </is>
      </c>
      <c r="H4" s="4" t="inlineStr">
        <is>
          <t>fevereiro</t>
        </is>
      </c>
    </row>
    <row r="5">
      <c r="A5" s="48" t="inlineStr">
        <is>
          <t>VCP</t>
        </is>
      </c>
      <c r="B5" s="4" t="inlineStr">
        <is>
          <t>Campinas/Viracopos</t>
        </is>
      </c>
      <c r="D5" s="48" t="inlineStr">
        <is>
          <t>VT</t>
        </is>
      </c>
      <c r="E5" s="4" t="inlineStr">
        <is>
          <t>Voe Vertente</t>
        </is>
      </c>
      <c r="G5" s="48" t="inlineStr">
        <is>
          <t>MAR</t>
        </is>
      </c>
      <c r="H5" s="4" t="inlineStr">
        <is>
          <t>março</t>
        </is>
      </c>
    </row>
    <row r="6">
      <c r="A6" s="48" t="inlineStr">
        <is>
          <t>GIG</t>
        </is>
      </c>
      <c r="B6" s="4" t="inlineStr">
        <is>
          <t>Rio de Janeiro/Galeão</t>
        </is>
      </c>
      <c r="D6" s="48" t="inlineStr">
        <is>
          <t>AP</t>
        </is>
      </c>
      <c r="E6" s="4" t="inlineStr">
        <is>
          <t>Atlântico Pacífico Air</t>
        </is>
      </c>
      <c r="G6" s="48" t="inlineStr">
        <is>
          <t>APR</t>
        </is>
      </c>
      <c r="H6" s="4" t="inlineStr">
        <is>
          <t>abril</t>
        </is>
      </c>
    </row>
    <row r="7">
      <c r="A7" s="48" t="inlineStr">
        <is>
          <t>SDU</t>
        </is>
      </c>
      <c r="B7" s="4" t="inlineStr">
        <is>
          <t>Rio de Janeiro/Santos Dumont</t>
        </is>
      </c>
      <c r="D7" s="48" t="inlineStr">
        <is>
          <t>NB</t>
        </is>
      </c>
      <c r="E7" s="4" t="inlineStr">
        <is>
          <t>Nimbus Europa</t>
        </is>
      </c>
      <c r="G7" s="48" t="inlineStr">
        <is>
          <t>MAY</t>
        </is>
      </c>
      <c r="H7" s="4" t="inlineStr">
        <is>
          <t>maio</t>
        </is>
      </c>
    </row>
    <row r="8">
      <c r="A8" s="48" t="inlineStr">
        <is>
          <t>BSB</t>
        </is>
      </c>
      <c r="B8" s="4" t="inlineStr">
        <is>
          <t>Brasília</t>
        </is>
      </c>
      <c r="D8" s="48" t="inlineStr">
        <is>
          <t>KL</t>
        </is>
      </c>
      <c r="E8" s="4" t="inlineStr">
        <is>
          <t>Kestrel Lines</t>
        </is>
      </c>
      <c r="G8" s="48" t="inlineStr">
        <is>
          <t>JUN</t>
        </is>
      </c>
      <c r="H8" s="4" t="inlineStr">
        <is>
          <t>junho</t>
        </is>
      </c>
    </row>
    <row r="9">
      <c r="A9" s="48" t="inlineStr">
        <is>
          <t>CWB</t>
        </is>
      </c>
      <c r="B9" s="4" t="inlineStr">
        <is>
          <t>Curitiba</t>
        </is>
      </c>
      <c r="G9" s="48" t="inlineStr">
        <is>
          <t>JUL</t>
        </is>
      </c>
      <c r="H9" s="4" t="inlineStr">
        <is>
          <t>julho</t>
        </is>
      </c>
    </row>
    <row r="10">
      <c r="A10" s="48" t="inlineStr">
        <is>
          <t>POA</t>
        </is>
      </c>
      <c r="B10" s="4" t="inlineStr">
        <is>
          <t>Porto Alegre</t>
        </is>
      </c>
      <c r="G10" s="48" t="inlineStr">
        <is>
          <t>AUG</t>
        </is>
      </c>
      <c r="H10" s="4" t="inlineStr">
        <is>
          <t>agosto</t>
        </is>
      </c>
    </row>
    <row r="11">
      <c r="A11" s="48" t="inlineStr">
        <is>
          <t>FLN</t>
        </is>
      </c>
      <c r="B11" s="4" t="inlineStr">
        <is>
          <t>Florianópolis</t>
        </is>
      </c>
      <c r="G11" s="48" t="inlineStr">
        <is>
          <t>SEP</t>
        </is>
      </c>
      <c r="H11" s="4" t="inlineStr">
        <is>
          <t>setembro</t>
        </is>
      </c>
    </row>
    <row r="12">
      <c r="A12" s="48" t="inlineStr">
        <is>
          <t>CNF</t>
        </is>
      </c>
      <c r="B12" s="4" t="inlineStr">
        <is>
          <t>Belo Horizonte/Confins</t>
        </is>
      </c>
      <c r="G12" s="48" t="inlineStr">
        <is>
          <t>OCT</t>
        </is>
      </c>
      <c r="H12" s="4" t="inlineStr">
        <is>
          <t>outubro</t>
        </is>
      </c>
    </row>
    <row r="13">
      <c r="A13" s="48" t="inlineStr">
        <is>
          <t>SSA</t>
        </is>
      </c>
      <c r="B13" s="4" t="inlineStr">
        <is>
          <t>Salvador</t>
        </is>
      </c>
      <c r="G13" s="48" t="inlineStr">
        <is>
          <t>NOV</t>
        </is>
      </c>
      <c r="H13" s="4" t="inlineStr">
        <is>
          <t>novembro</t>
        </is>
      </c>
    </row>
    <row r="14">
      <c r="A14" s="48" t="inlineStr">
        <is>
          <t>REC</t>
        </is>
      </c>
      <c r="B14" s="4" t="inlineStr">
        <is>
          <t>Recife</t>
        </is>
      </c>
      <c r="G14" s="48" t="inlineStr">
        <is>
          <t>DEC</t>
        </is>
      </c>
      <c r="H14" s="4" t="inlineStr">
        <is>
          <t>dezembro</t>
        </is>
      </c>
    </row>
    <row r="15">
      <c r="A15" s="48" t="inlineStr">
        <is>
          <t>FOR</t>
        </is>
      </c>
      <c r="B15" s="4" t="inlineStr">
        <is>
          <t>Fortaleza</t>
        </is>
      </c>
    </row>
    <row r="16">
      <c r="A16" s="48" t="inlineStr">
        <is>
          <t>MAO</t>
        </is>
      </c>
      <c r="B16" s="4" t="inlineStr">
        <is>
          <t>Manaus</t>
        </is>
      </c>
    </row>
    <row r="17">
      <c r="A17" s="48" t="inlineStr">
        <is>
          <t>BEL</t>
        </is>
      </c>
      <c r="B17" s="4" t="inlineStr">
        <is>
          <t>Belém</t>
        </is>
      </c>
    </row>
    <row r="18">
      <c r="A18" s="48" t="inlineStr">
        <is>
          <t>CZS</t>
        </is>
      </c>
      <c r="B18" s="4" t="inlineStr">
        <is>
          <t>Cruzeiro do Sul</t>
        </is>
      </c>
    </row>
    <row r="19">
      <c r="A19" s="48" t="inlineStr">
        <is>
          <t>GYN</t>
        </is>
      </c>
      <c r="B19" s="4" t="inlineStr">
        <is>
          <t>Goiânia</t>
        </is>
      </c>
    </row>
    <row r="20">
      <c r="A20" s="48" t="inlineStr">
        <is>
          <t>NAT</t>
        </is>
      </c>
      <c r="B20" s="4" t="inlineStr">
        <is>
          <t>Natal</t>
        </is>
      </c>
    </row>
    <row r="21">
      <c r="A21" s="48" t="inlineStr">
        <is>
          <t>MCZ</t>
        </is>
      </c>
      <c r="B21" s="4" t="inlineStr">
        <is>
          <t>Maceió</t>
        </is>
      </c>
    </row>
    <row r="22">
      <c r="A22" s="48" t="inlineStr">
        <is>
          <t>VIX</t>
        </is>
      </c>
      <c r="B22" s="4" t="inlineStr">
        <is>
          <t>Vitória</t>
        </is>
      </c>
    </row>
    <row r="23">
      <c r="A23" s="48" t="inlineStr">
        <is>
          <t>LIS</t>
        </is>
      </c>
      <c r="B23" s="4" t="inlineStr">
        <is>
          <t>Lisboa</t>
        </is>
      </c>
    </row>
    <row r="24">
      <c r="A24" s="48" t="inlineStr">
        <is>
          <t>MAD</t>
        </is>
      </c>
      <c r="B24" s="4" t="inlineStr">
        <is>
          <t>Madri</t>
        </is>
      </c>
    </row>
    <row r="25">
      <c r="A25" s="48" t="inlineStr">
        <is>
          <t>CDG</t>
        </is>
      </c>
      <c r="B25" s="4" t="inlineStr">
        <is>
          <t>Paris/Charles de Gaulle</t>
        </is>
      </c>
    </row>
    <row r="26">
      <c r="A26" s="48" t="inlineStr">
        <is>
          <t>PRG</t>
        </is>
      </c>
      <c r="B26" s="4" t="inlineStr">
        <is>
          <t>Praga</t>
        </is>
      </c>
    </row>
    <row r="27">
      <c r="A27" s="48" t="inlineStr">
        <is>
          <t>MIA</t>
        </is>
      </c>
      <c r="B27" s="4" t="inlineStr">
        <is>
          <t>Miami</t>
        </is>
      </c>
    </row>
    <row r="28">
      <c r="A28" s="48" t="inlineStr">
        <is>
          <t>JFK</t>
        </is>
      </c>
      <c r="B28" s="4" t="inlineStr">
        <is>
          <t>Nova York/JFK</t>
        </is>
      </c>
    </row>
    <row r="29">
      <c r="A29" s="48" t="inlineStr">
        <is>
          <t>EZE</t>
        </is>
      </c>
      <c r="B29" s="4" t="inlineStr">
        <is>
          <t>Buenos Aires/Ezeiza</t>
        </is>
      </c>
    </row>
    <row r="30">
      <c r="A30" s="48" t="inlineStr">
        <is>
          <t>SCL</t>
        </is>
      </c>
      <c r="B30" s="4" t="inlineStr">
        <is>
          <t>Santiago</t>
        </is>
      </c>
    </row>
    <row r="31">
      <c r="A31" s="48" t="inlineStr">
        <is>
          <t>MEX</t>
        </is>
      </c>
      <c r="B31" s="4" t="inlineStr">
        <is>
          <t>Cidade do México</t>
        </is>
      </c>
    </row>
    <row r="32">
      <c r="A32" s="48" t="inlineStr">
        <is>
          <t>FCO</t>
        </is>
      </c>
      <c r="B32" s="4" t="inlineStr">
        <is>
          <t>Roma/Fiumicino</t>
        </is>
      </c>
    </row>
    <row r="33">
      <c r="A33" s="48" t="inlineStr">
        <is>
          <t>AMS</t>
        </is>
      </c>
      <c r="B33" s="4" t="inlineStr">
        <is>
          <t>Amsterdã</t>
        </is>
      </c>
    </row>
    <row r="34">
      <c r="A34" s="48" t="inlineStr">
        <is>
          <t>LHR</t>
        </is>
      </c>
      <c r="B34" s="4" t="inlineStr">
        <is>
          <t>Londres/Heathrow</t>
        </is>
      </c>
    </row>
    <row r="35">
      <c r="A35" s="48" t="inlineStr">
        <is>
          <t>BOG</t>
        </is>
      </c>
      <c r="B35" s="4" t="inlineStr">
        <is>
          <t>Bogotá</t>
        </is>
      </c>
    </row>
    <row r="36">
      <c r="A36" s="48" t="inlineStr">
        <is>
          <t>LIM</t>
        </is>
      </c>
      <c r="B36" s="4" t="inlineStr">
        <is>
          <t>Lima</t>
        </is>
      </c>
    </row>
    <row r="37">
      <c r="A37" s="48" t="inlineStr">
        <is>
          <t>MVD</t>
        </is>
      </c>
      <c r="B37" s="4" t="inlineStr">
        <is>
          <t>Montevidéu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0" customWidth="1" min="4" max="4"/>
    <col width="30" customWidth="1" min="5" max="5"/>
    <col width="30" customWidth="1" min="6" max="6"/>
  </cols>
  <sheetData>
    <row r="1" ht="26" customHeight="1">
      <c r="A1" s="1" t="inlineStr">
        <is>
          <t>EQUIPE · FRENTE DE E-MAIL (MEUS VOOS)</t>
        </is>
      </c>
      <c r="B1" s="2" t="n"/>
      <c r="C1" s="2" t="n"/>
      <c r="D1" s="2" t="n"/>
      <c r="E1" s="2" t="n"/>
      <c r="F1" s="2" t="n"/>
    </row>
    <row r="2">
      <c r="A2" s="47" t="inlineStr">
        <is>
          <t>Operador</t>
        </is>
      </c>
      <c r="B2" s="47" t="inlineStr">
        <is>
          <t>Supervisor</t>
        </is>
      </c>
      <c r="C2" s="47" t="inlineStr">
        <is>
          <t>Coordenador</t>
        </is>
      </c>
      <c r="D2" s="47" t="inlineStr">
        <is>
          <t>Turno</t>
        </is>
      </c>
      <c r="E2" s="47" t="inlineStr">
        <is>
          <t>Assinatura</t>
        </is>
      </c>
      <c r="F2" s="47" t="inlineStr">
        <is>
          <t>Operador (lista)</t>
        </is>
      </c>
    </row>
    <row r="3">
      <c r="A3" s="4" t="inlineStr">
        <is>
          <t>Brenda Nunes</t>
        </is>
      </c>
      <c r="B3" s="4" t="inlineStr">
        <is>
          <t>Jaqueline Azevedo</t>
        </is>
      </c>
      <c r="C3" s="4" t="inlineStr">
        <is>
          <t>Livia Cardoso</t>
        </is>
      </c>
      <c r="D3" s="48" t="inlineStr">
        <is>
          <t>Manhã</t>
        </is>
      </c>
      <c r="E3" s="4">
        <f>"Brenda · Equipe Horizonte"</f>
        <v/>
      </c>
      <c r="F3" s="4">
        <f>A3&amp;" ("&amp;D3&amp;")"</f>
        <v/>
      </c>
    </row>
    <row r="4">
      <c r="A4" s="4" t="inlineStr">
        <is>
          <t>Caua Assunção</t>
        </is>
      </c>
      <c r="B4" s="4" t="inlineStr">
        <is>
          <t>Bruna Almeida</t>
        </is>
      </c>
      <c r="C4" s="4" t="inlineStr">
        <is>
          <t>Crhistoffer Miranda</t>
        </is>
      </c>
      <c r="D4" s="48" t="inlineStr">
        <is>
          <t>Manhã</t>
        </is>
      </c>
      <c r="E4" s="4">
        <f>"Caua · Equipe Horizonte"</f>
        <v/>
      </c>
      <c r="F4" s="4">
        <f>A4&amp;" ("&amp;D4&amp;")"</f>
        <v/>
      </c>
    </row>
    <row r="5">
      <c r="A5" s="4" t="inlineStr">
        <is>
          <t>Ian Nascimento</t>
        </is>
      </c>
      <c r="B5" s="4" t="inlineStr">
        <is>
          <t>Emir Anjos</t>
        </is>
      </c>
      <c r="C5" s="4" t="inlineStr">
        <is>
          <t>Crhistoffer Miranda</t>
        </is>
      </c>
      <c r="D5" s="48" t="inlineStr">
        <is>
          <t>Manhã</t>
        </is>
      </c>
      <c r="E5" s="4">
        <f>"Ian · Equipe Horizonte"</f>
        <v/>
      </c>
      <c r="F5" s="4">
        <f>A5&amp;" ("&amp;D5&amp;")"</f>
        <v/>
      </c>
    </row>
    <row r="6">
      <c r="A6" s="4" t="inlineStr">
        <is>
          <t>Nelson Costa</t>
        </is>
      </c>
      <c r="B6" s="4" t="inlineStr">
        <is>
          <t>Jaqueline Azevedo</t>
        </is>
      </c>
      <c r="C6" s="4" t="inlineStr">
        <is>
          <t>Livia Cardoso</t>
        </is>
      </c>
      <c r="D6" s="48" t="inlineStr">
        <is>
          <t>Manhã</t>
        </is>
      </c>
      <c r="E6" s="4">
        <f>"Nelson · Equipe Horizonte"</f>
        <v/>
      </c>
      <c r="F6" s="4">
        <f>A6&amp;" ("&amp;D6&amp;")"</f>
        <v/>
      </c>
    </row>
    <row r="7">
      <c r="A7" s="4" t="inlineStr">
        <is>
          <t>Nicolly Cunha</t>
        </is>
      </c>
      <c r="B7" s="4" t="inlineStr">
        <is>
          <t>Emir Anjos</t>
        </is>
      </c>
      <c r="C7" s="4" t="inlineStr">
        <is>
          <t>Crhistoffer Miranda</t>
        </is>
      </c>
      <c r="D7" s="48" t="inlineStr">
        <is>
          <t>Manhã</t>
        </is>
      </c>
      <c r="E7" s="4">
        <f>"Nicolly · Equipe Horizonte"</f>
        <v/>
      </c>
      <c r="F7" s="4">
        <f>A7&amp;" ("&amp;D7&amp;")"</f>
        <v/>
      </c>
    </row>
    <row r="8">
      <c r="A8" s="4" t="inlineStr">
        <is>
          <t>Vanyelle Vieira</t>
        </is>
      </c>
      <c r="B8" s="4" t="inlineStr">
        <is>
          <t>Emir Anjos</t>
        </is>
      </c>
      <c r="C8" s="4" t="inlineStr">
        <is>
          <t>Crhistoffer Miranda</t>
        </is>
      </c>
      <c r="D8" s="48" t="inlineStr">
        <is>
          <t>Manhã</t>
        </is>
      </c>
      <c r="E8" s="4">
        <f>"Vanyelle · Equipe Horizonte"</f>
        <v/>
      </c>
      <c r="F8" s="4">
        <f>A8&amp;" ("&amp;D8&amp;")"</f>
        <v/>
      </c>
    </row>
    <row r="9">
      <c r="A9" s="4" t="inlineStr">
        <is>
          <t>Julio Campos</t>
        </is>
      </c>
      <c r="B9" s="4" t="inlineStr">
        <is>
          <t>Jaqueline Azevedo</t>
        </is>
      </c>
      <c r="C9" s="4" t="inlineStr">
        <is>
          <t>Livia Cardoso</t>
        </is>
      </c>
      <c r="D9" s="48" t="inlineStr">
        <is>
          <t>Tarde</t>
        </is>
      </c>
      <c r="E9" s="4">
        <f>"Julio · Equipe Horizonte"</f>
        <v/>
      </c>
      <c r="F9" s="4">
        <f>A9&amp;" ("&amp;D9&amp;")"</f>
        <v/>
      </c>
    </row>
    <row r="10">
      <c r="A10" s="4" t="inlineStr">
        <is>
          <t>Leonardo Morais</t>
        </is>
      </c>
      <c r="B10" s="4" t="inlineStr">
        <is>
          <t>Jaqueline Azevedo</t>
        </is>
      </c>
      <c r="C10" s="4" t="inlineStr">
        <is>
          <t>Livia Cardoso</t>
        </is>
      </c>
      <c r="D10" s="48" t="inlineStr">
        <is>
          <t>Tarde</t>
        </is>
      </c>
      <c r="E10" s="4">
        <f>"Leonardo · Equipe Horizonte"</f>
        <v/>
      </c>
      <c r="F10" s="4">
        <f>A10&amp;" ("&amp;D10&amp;")"</f>
        <v/>
      </c>
    </row>
    <row r="11">
      <c r="A11" s="4" t="inlineStr">
        <is>
          <t>Marcella Dias</t>
        </is>
      </c>
      <c r="B11" s="4" t="inlineStr">
        <is>
          <t>Bruna Almeida</t>
        </is>
      </c>
      <c r="C11" s="4" t="inlineStr">
        <is>
          <t>Crhistoffer Miranda</t>
        </is>
      </c>
      <c r="D11" s="48" t="inlineStr">
        <is>
          <t>Tarde</t>
        </is>
      </c>
      <c r="E11" s="4">
        <f>"Marcella · Equipe Horizonte"</f>
        <v/>
      </c>
      <c r="F11" s="4">
        <f>A11&amp;" ("&amp;D11&amp;")"</f>
        <v/>
      </c>
    </row>
    <row r="12">
      <c r="A12" s="4" t="inlineStr">
        <is>
          <t>Nicole Nunes</t>
        </is>
      </c>
      <c r="B12" s="4" t="inlineStr">
        <is>
          <t>Bruna Almeida</t>
        </is>
      </c>
      <c r="C12" s="4" t="inlineStr">
        <is>
          <t>Crhistoffer Miranda</t>
        </is>
      </c>
      <c r="D12" s="48" t="inlineStr">
        <is>
          <t>Tarde</t>
        </is>
      </c>
      <c r="E12" s="4">
        <f>"Nicole · Equipe Horizonte"</f>
        <v/>
      </c>
      <c r="F12" s="4">
        <f>A12&amp;" ("&amp;D12&amp;")"</f>
        <v/>
      </c>
    </row>
    <row r="13">
      <c r="A13" s="4" t="inlineStr">
        <is>
          <t>Victor Anjos</t>
        </is>
      </c>
      <c r="B13" s="4" t="inlineStr">
        <is>
          <t>Bruna Almeida</t>
        </is>
      </c>
      <c r="C13" s="4" t="inlineStr">
        <is>
          <t>Crhistoffer Miranda</t>
        </is>
      </c>
      <c r="D13" s="48" t="inlineStr">
        <is>
          <t>Tarde</t>
        </is>
      </c>
      <c r="E13" s="4">
        <f>"Victor · Equipe Horizonte"</f>
        <v/>
      </c>
      <c r="F13" s="4">
        <f>A13&amp;" ("&amp;D13&amp;")"</f>
        <v/>
      </c>
    </row>
    <row r="14">
      <c r="A14" s="4" t="inlineStr">
        <is>
          <t>Wilma Dias</t>
        </is>
      </c>
      <c r="B14" s="4" t="inlineStr">
        <is>
          <t>Ualifer Azevedo</t>
        </is>
      </c>
      <c r="C14" s="4" t="inlineStr">
        <is>
          <t>Livia Cardoso</t>
        </is>
      </c>
      <c r="D14" s="48" t="inlineStr">
        <is>
          <t>Tarde</t>
        </is>
      </c>
      <c r="E14" s="4">
        <f>"Wilma · Equipe Horizonte"</f>
        <v/>
      </c>
      <c r="F14" s="4">
        <f>A14&amp;" ("&amp;D14&amp;")"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2026-10-24T21:14:02Z</dcterms:created>
  <dcterms:modified xmlns:dcterms="http://purl.org/dc/terms/" xmlns:xsi="http://www.w3.org/2001/XMLSchema-instance" xsi:type="dcterms:W3CDTF">2026-10-24T21:14:02Z</dcterms:modified>
</cp:coreProperties>
</file>