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o de Bordo" sheetId="1" state="visible" r:id="rId1"/>
    <sheet xmlns:r="http://schemas.openxmlformats.org/officeDocument/2006/relationships" name="Controle de Acessos" sheetId="2" state="visible" r:id="rId2"/>
    <sheet xmlns:r="http://schemas.openxmlformats.org/officeDocument/2006/relationships" name="Base KPI" sheetId="3" state="visible" r:id="rId3"/>
  </sheets>
  <definedNames>
    <definedName name="_xlnm._FilterDatabase" localSheetId="1" hidden="1">'Controle de Acessos'!$A$4:$J$157</definedName>
    <definedName name="_xlnm._FilterDatabase" localSheetId="2" hidden="1">'Base KPI'!$A$4:$N$252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mmm/yy"/>
    <numFmt numFmtId="168" formatCode="0.0%"/>
    <numFmt numFmtId="169" formatCode="0.0"/>
  </numFmts>
  <fonts count="5">
    <font>
      <name val="Calibri"/>
      <family val="2"/>
      <color theme="1"/>
      <sz val="11"/>
      <scheme val="minor"/>
    </font>
    <font>
      <b val="1"/>
      <color rgb="000F2436"/>
      <sz val="14"/>
    </font>
    <font>
      <i val="1"/>
      <color rgb="005B6B7A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D4A66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9C6D0"/>
      </left>
      <right style="thin">
        <color rgb="00B9C6D0"/>
      </right>
      <top style="thin">
        <color rgb="00B9C6D0"/>
      </top>
      <bottom style="thin">
        <color rgb="00B9C6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wrapText="1"/>
    </xf>
    <xf numFmtId="165" fontId="4" fillId="0" borderId="1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167" fontId="4" fillId="3" borderId="1" applyAlignment="1" pivotButton="0" quotePrefix="0" xfId="0">
      <alignment horizontal="center" wrapText="1"/>
    </xf>
    <xf numFmtId="167" fontId="4" fillId="0" borderId="1" pivotButton="0" quotePrefix="0" xfId="0"/>
    <xf numFmtId="168" fontId="4" fillId="0" borderId="1" applyAlignment="1" pivotButton="0" quotePrefix="0" xfId="0">
      <alignment horizontal="center" wrapText="1"/>
    </xf>
    <xf numFmtId="169" fontId="4" fillId="0" borderId="1" applyAlignment="1" pivotButton="0" quotePrefix="0" xfId="0">
      <alignment horizontal="center" wrapText="1"/>
    </xf>
    <xf numFmtId="10" fontId="4" fillId="0" borderId="1" applyAlignment="1" pivotButton="0" quotePrefix="0" xfId="0">
      <alignment horizontal="center" wrapText="1"/>
    </xf>
  </cellXfs>
  <cellStyles count="1">
    <cellStyle name="Normal" xfId="0" builtinId="0" hidden="0"/>
  </cellStyles>
  <dxfs count="6">
    <dxf>
      <fill>
        <patternFill patternType="solid">
          <fgColor rgb="00F4B3A8"/>
        </patternFill>
      </fill>
    </dxf>
    <dxf>
      <fill>
        <patternFill patternType="solid">
          <fgColor rgb="00FFE59A"/>
        </patternFill>
      </fill>
    </dxf>
    <dxf>
      <fill>
        <patternFill patternType="solid">
          <fgColor rgb="00C6E9C0"/>
        </patternFill>
      </fill>
    </dxf>
    <dxf>
      <font>
        <b val="1"/>
        <color rgb="00B3261E"/>
      </font>
    </dxf>
    <dxf>
      <fill>
        <patternFill patternType="solid">
          <fgColor rgb="00BFD8F2"/>
        </patternFill>
      </fill>
    </dxf>
    <dxf>
      <fill>
        <patternFill patternType="solid">
          <fgColor rgb="00E3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9" customWidth="1" min="4" max="4"/>
    <col width="12" customWidth="1" min="5" max="5"/>
    <col width="14" customWidth="1" min="6" max="6"/>
    <col width="9" customWidth="1" min="7" max="7"/>
    <col width="52" customWidth="1" min="8" max="8"/>
    <col width="44" customWidth="1" min="9" max="9"/>
    <col width="13" customWidth="1" min="10" max="10"/>
    <col width="17" customWidth="1" min="11" max="11"/>
    <col width="2" customWidth="1" min="12" max="12"/>
    <col width="15" customWidth="1" min="13" max="13"/>
  </cols>
  <sheetData>
    <row r="1">
      <c r="A1" s="1" t="inlineStr">
        <is>
          <t>Diário de Bordo · impactos operacionais</t>
        </is>
      </c>
      <c r="M1" s="2" t="inlineStr">
        <is>
          <t>POR TIPO</t>
        </is>
      </c>
      <c r="N1" s="2" t="inlineStr">
        <is>
          <t>QTD</t>
        </is>
      </c>
      <c r="O1" s="2" t="inlineStr">
        <is>
          <t>ALTO</t>
        </is>
      </c>
    </row>
    <row r="2">
      <c r="A2" s="3" t="inlineStr">
        <is>
          <t>Uma linha por ocorrência. Quando o indicador do dia sair estranho, é aqui que se olha primeiro.</t>
        </is>
      </c>
      <c r="M2" s="4" t="inlineStr">
        <is>
          <t>Sistema fora</t>
        </is>
      </c>
      <c r="N2" s="5">
        <f>COUNTIF($F$5:$F$500,M2)</f>
        <v/>
      </c>
      <c r="O2" s="5">
        <f>COUNTIFS($F$5:$F$500,M2,$G$5:$G$500,"Alto")</f>
        <v/>
      </c>
    </row>
    <row r="3">
      <c r="M3" s="4" t="inlineStr">
        <is>
          <t>Fila represada</t>
        </is>
      </c>
      <c r="N3" s="5">
        <f>COUNTIF($F$5:$F$500,M3)</f>
        <v/>
      </c>
      <c r="O3" s="5">
        <f>COUNTIFS($F$5:$F$500,M3,$G$5:$G$500,"Alto")</f>
        <v/>
      </c>
    </row>
    <row r="4">
      <c r="A4" s="2" t="inlineStr">
        <is>
          <t>DATA</t>
        </is>
      </c>
      <c r="B4" s="2" t="inlineStr">
        <is>
          <t>INÍCIO</t>
        </is>
      </c>
      <c r="C4" s="2" t="inlineStr">
        <is>
          <t>FIM</t>
        </is>
      </c>
      <c r="D4" s="2" t="inlineStr">
        <is>
          <t>DURAÇÃO</t>
        </is>
      </c>
      <c r="E4" s="2" t="inlineStr">
        <is>
          <t>FRENTE</t>
        </is>
      </c>
      <c r="F4" s="2" t="inlineStr">
        <is>
          <t>TIPO</t>
        </is>
      </c>
      <c r="G4" s="2" t="inlineStr">
        <is>
          <t>IMPACTO</t>
        </is>
      </c>
      <c r="H4" s="2" t="inlineStr">
        <is>
          <t>DESCRIÇÃO</t>
        </is>
      </c>
      <c r="I4" s="2" t="inlineStr">
        <is>
          <t>AÇÃO</t>
        </is>
      </c>
      <c r="J4" s="2" t="inlineStr">
        <is>
          <t>RESPONSÁVEL</t>
        </is>
      </c>
      <c r="K4" s="2" t="inlineStr">
        <is>
          <t>STATUS</t>
        </is>
      </c>
      <c r="M4" s="4" t="inlineStr">
        <is>
          <t>Campanha</t>
        </is>
      </c>
      <c r="N4" s="5">
        <f>COUNTIF($F$5:$F$500,M4)</f>
        <v/>
      </c>
      <c r="O4" s="5">
        <f>COUNTIFS($F$5:$F$500,M4,$G$5:$G$500,"Alto")</f>
        <v/>
      </c>
    </row>
    <row r="5">
      <c r="A5" s="6" t="n">
        <v>46243</v>
      </c>
      <c r="B5" s="7" t="n">
        <v>0.4305555555555556</v>
      </c>
      <c r="C5" s="7" t="n">
        <v>0.5208333333333334</v>
      </c>
      <c r="D5" s="7">
        <f>C5-B5</f>
        <v/>
      </c>
      <c r="E5" s="5" t="inlineStr">
        <is>
          <t>Chat</t>
        </is>
      </c>
      <c r="F5" s="5" t="inlineStr">
        <is>
          <t>Sistema fora</t>
        </is>
      </c>
      <c r="G5" s="5" t="inlineStr">
        <is>
          <t>Alto</t>
        </is>
      </c>
      <c r="H5" s="8" t="inlineStr">
        <is>
          <t>Sabre indisponível, consulta de reserva nacional parada</t>
        </is>
      </c>
      <c r="I5" s="8" t="inlineStr">
        <is>
          <t>Atendimento por e-mail redirecionado; chamado aberto na TI</t>
        </is>
      </c>
      <c r="J5" s="5" t="inlineStr">
        <is>
          <t>TI</t>
        </is>
      </c>
      <c r="K5" s="5" t="inlineStr">
        <is>
          <t>Encerrado</t>
        </is>
      </c>
      <c r="M5" s="4" t="inlineStr">
        <is>
          <t>Procedimento</t>
        </is>
      </c>
      <c r="N5" s="5">
        <f>COUNTIF($F$5:$F$500,M5)</f>
        <v/>
      </c>
      <c r="O5" s="5">
        <f>COUNTIFS($F$5:$F$500,M5,$G$5:$G$500,"Alto")</f>
        <v/>
      </c>
    </row>
    <row r="6">
      <c r="A6" s="6" t="n">
        <v>46250</v>
      </c>
      <c r="B6" s="7" t="n">
        <v>0.3402777777777778</v>
      </c>
      <c r="C6" s="7" t="n">
        <v>0.3541666666666667</v>
      </c>
      <c r="D6" s="7">
        <f>C6-B6</f>
        <v/>
      </c>
      <c r="E6" s="5" t="inlineStr">
        <is>
          <t>Chat e Voz</t>
        </is>
      </c>
      <c r="F6" s="5" t="inlineStr">
        <is>
          <t>Fila represada</t>
        </is>
      </c>
      <c r="G6" s="5" t="inlineStr">
        <is>
          <t>Médio</t>
        </is>
      </c>
      <c r="H6" s="8" t="inlineStr">
        <is>
          <t>Pico de chat após envio de campanha de milhas</t>
        </is>
      </c>
      <c r="I6" s="8" t="inlineStr">
        <is>
          <t>Remanejamento de 6 agentes de Voz pra Chat por 2 h</t>
        </is>
      </c>
      <c r="J6" s="5" t="inlineStr">
        <is>
          <t>TI</t>
        </is>
      </c>
      <c r="K6" s="5" t="inlineStr">
        <is>
          <t>Encerrado</t>
        </is>
      </c>
      <c r="M6" s="4" t="inlineStr">
        <is>
          <t>Infra</t>
        </is>
      </c>
      <c r="N6" s="5">
        <f>COUNTIF($F$5:$F$500,M6)</f>
        <v/>
      </c>
      <c r="O6" s="5">
        <f>COUNTIFS($F$5:$F$500,M6,$G$5:$G$500,"Alto")</f>
        <v/>
      </c>
    </row>
    <row r="7">
      <c r="A7" s="6" t="n">
        <v>46255</v>
      </c>
      <c r="B7" s="7" t="n">
        <v>0.5833333333333334</v>
      </c>
      <c r="C7" s="7" t="n">
        <v>0.6597222222222222</v>
      </c>
      <c r="D7" s="7">
        <f>C7-B7</f>
        <v/>
      </c>
      <c r="E7" s="5" t="inlineStr">
        <is>
          <t>Voz</t>
        </is>
      </c>
      <c r="F7" s="5" t="inlineStr">
        <is>
          <t>Campanha</t>
        </is>
      </c>
      <c r="G7" s="5" t="inlineStr">
        <is>
          <t>Médio</t>
        </is>
      </c>
      <c r="H7" s="8" t="inlineStr">
        <is>
          <t>Promoção Clube Horizonte: dobro de pontos, volume 40% acima do previsto</t>
        </is>
      </c>
      <c r="I7" s="8" t="inlineStr">
        <is>
          <t>Hora extra autorizada pela coordenação</t>
        </is>
      </c>
      <c r="J7" s="5" t="inlineStr">
        <is>
          <t>Coordenação</t>
        </is>
      </c>
      <c r="K7" s="5" t="inlineStr">
        <is>
          <t>Encerrado</t>
        </is>
      </c>
      <c r="M7" s="4" t="inlineStr">
        <is>
          <t>Ferramenta</t>
        </is>
      </c>
      <c r="N7" s="5">
        <f>COUNTIF($F$5:$F$500,M7)</f>
        <v/>
      </c>
      <c r="O7" s="5">
        <f>COUNTIFS($F$5:$F$500,M7,$G$5:$G$500,"Alto")</f>
        <v/>
      </c>
    </row>
    <row r="8">
      <c r="A8" s="6" t="n">
        <v>46260</v>
      </c>
      <c r="B8" s="7" t="n">
        <v>0.4236111111111111</v>
      </c>
      <c r="C8" s="7" t="n">
        <v>0.4722222222222222</v>
      </c>
      <c r="D8" s="7">
        <f>C8-B8</f>
        <v/>
      </c>
      <c r="E8" s="5" t="inlineStr">
        <is>
          <t>Voz</t>
        </is>
      </c>
      <c r="F8" s="5" t="inlineStr">
        <is>
          <t>Procedimento</t>
        </is>
      </c>
      <c r="G8" s="5" t="inlineStr">
        <is>
          <t>Baixo</t>
        </is>
      </c>
      <c r="H8" s="8" t="inlineStr">
        <is>
          <t>Mudança na regra de reembolso de bagagem</t>
        </is>
      </c>
      <c r="I8" s="8" t="inlineStr">
        <is>
          <t>Comunicado em todos os times; Manche atualizado</t>
        </is>
      </c>
      <c r="J8" s="5" t="inlineStr">
        <is>
          <t>Coordenação</t>
        </is>
      </c>
      <c r="K8" s="5" t="inlineStr">
        <is>
          <t>Encerrado</t>
        </is>
      </c>
    </row>
    <row r="9">
      <c r="A9" s="6" t="n">
        <v>46266</v>
      </c>
      <c r="B9" s="7" t="n">
        <v>0.6041666666666666</v>
      </c>
      <c r="C9" s="7" t="n">
        <v>0.6284722222222222</v>
      </c>
      <c r="D9" s="7">
        <f>C9-B9</f>
        <v/>
      </c>
      <c r="E9" s="5" t="inlineStr">
        <is>
          <t>Voz</t>
        </is>
      </c>
      <c r="F9" s="5" t="inlineStr">
        <is>
          <t>Infra</t>
        </is>
      </c>
      <c r="G9" s="5" t="inlineStr">
        <is>
          <t>Alto</t>
        </is>
      </c>
      <c r="H9" s="8" t="inlineStr">
        <is>
          <t>Queda de link no site presencial, 20 min sem rede</t>
        </is>
      </c>
      <c r="I9" s="8" t="inlineStr">
        <is>
          <t>Home office seguiu normal; agentes presenciais em pausa</t>
        </is>
      </c>
      <c r="J9" s="5" t="inlineStr">
        <is>
          <t>Coordenação</t>
        </is>
      </c>
      <c r="K9" s="5" t="inlineStr">
        <is>
          <t>Encerrado</t>
        </is>
      </c>
    </row>
    <row r="10">
      <c r="A10" s="6" t="n">
        <v>46269</v>
      </c>
      <c r="B10" s="7" t="n">
        <v>0.6736111111111112</v>
      </c>
      <c r="C10" s="7" t="n">
        <v>0.6979166666666666</v>
      </c>
      <c r="D10" s="7">
        <f>C10-B10</f>
        <v/>
      </c>
      <c r="E10" s="5" t="inlineStr">
        <is>
          <t>Voz</t>
        </is>
      </c>
      <c r="F10" s="5" t="inlineStr">
        <is>
          <t>Ferramenta</t>
        </is>
      </c>
      <c r="G10" s="5" t="inlineStr">
        <is>
          <t>Baixo</t>
        </is>
      </c>
      <c r="H10" s="8" t="inlineStr">
        <is>
          <t>Zendesk lento, macros demorando pra carregar</t>
        </is>
      </c>
      <c r="I10" s="8" t="inlineStr">
        <is>
          <t>Monitorado; normalizou sozinho</t>
        </is>
      </c>
      <c r="J10" s="5" t="inlineStr">
        <is>
          <t>Analista</t>
        </is>
      </c>
      <c r="K10" s="5" t="inlineStr">
        <is>
          <t>Encerrado</t>
        </is>
      </c>
    </row>
    <row r="11">
      <c r="A11" s="6" t="n">
        <v>46272</v>
      </c>
      <c r="B11" s="7" t="n">
        <v>0.5902777777777778</v>
      </c>
      <c r="C11" s="7" t="n">
        <v>0.6145833333333334</v>
      </c>
      <c r="D11" s="7">
        <f>C11-B11</f>
        <v/>
      </c>
      <c r="E11" s="5" t="inlineStr">
        <is>
          <t>Voz</t>
        </is>
      </c>
      <c r="F11" s="5" t="inlineStr">
        <is>
          <t>Sistema fora</t>
        </is>
      </c>
      <c r="G11" s="5" t="inlineStr">
        <is>
          <t>Médio</t>
        </is>
      </c>
      <c r="H11" s="8" t="inlineStr">
        <is>
          <t>Amadeus com intermitência na emissão internacional</t>
        </is>
      </c>
      <c r="I11" s="8" t="inlineStr">
        <is>
          <t>Casos represados em fila própria pra emissão depois</t>
        </is>
      </c>
      <c r="J11" s="5" t="inlineStr">
        <is>
          <t>TI</t>
        </is>
      </c>
      <c r="K11" s="5" t="inlineStr">
        <is>
          <t>Encerrado</t>
        </is>
      </c>
    </row>
    <row r="12">
      <c r="A12" s="6" t="n">
        <v>46274</v>
      </c>
      <c r="B12" s="7" t="n">
        <v>0.4375</v>
      </c>
      <c r="C12" s="7" t="n">
        <v>0.4618055555555556</v>
      </c>
      <c r="D12" s="7">
        <f>C12-B12</f>
        <v/>
      </c>
      <c r="E12" s="5" t="inlineStr">
        <is>
          <t>Voz</t>
        </is>
      </c>
      <c r="F12" s="5" t="inlineStr">
        <is>
          <t>Fila represada</t>
        </is>
      </c>
      <c r="G12" s="5" t="inlineStr">
        <is>
          <t>Baixo</t>
        </is>
      </c>
      <c r="H12" s="8" t="inlineStr">
        <is>
          <t>Voz com TME acima de 3 min no início do turno da tarde</t>
        </is>
      </c>
      <c r="I12" s="8" t="inlineStr">
        <is>
          <t>Ajuste de pausa; normalizou em 40 min</t>
        </is>
      </c>
      <c r="J12" s="5" t="inlineStr">
        <is>
          <t>Analista</t>
        </is>
      </c>
      <c r="K12" s="5" t="inlineStr">
        <is>
          <t>Encerrado</t>
        </is>
      </c>
    </row>
    <row r="13">
      <c r="A13" s="6" t="n">
        <v>46278</v>
      </c>
      <c r="B13" s="7" t="n">
        <v>0.4444444444444444</v>
      </c>
      <c r="C13" s="7" t="n">
        <v>0.5208333333333334</v>
      </c>
      <c r="D13" s="7">
        <f>C13-B13</f>
        <v/>
      </c>
      <c r="E13" s="5" t="inlineStr">
        <is>
          <t>Chat</t>
        </is>
      </c>
      <c r="F13" s="5" t="inlineStr">
        <is>
          <t>Campanha</t>
        </is>
      </c>
      <c r="G13" s="5" t="inlineStr">
        <is>
          <t>Baixo</t>
        </is>
      </c>
      <c r="H13" s="8" t="inlineStr">
        <is>
          <t>Resgate de passagens com desconto, pico no chat</t>
        </is>
      </c>
      <c r="I13" s="8" t="inlineStr">
        <is>
          <t>Nada a fazer; dentro da capacidade</t>
        </is>
      </c>
      <c r="J13" s="5" t="inlineStr">
        <is>
          <t>Analista</t>
        </is>
      </c>
      <c r="K13" s="5" t="inlineStr">
        <is>
          <t>Encerrado</t>
        </is>
      </c>
    </row>
    <row r="14">
      <c r="A14" s="6" t="n">
        <v>46282</v>
      </c>
      <c r="B14" s="7" t="n">
        <v>0.4305555555555556</v>
      </c>
      <c r="C14" s="7" t="n">
        <v>0.4791666666666667</v>
      </c>
      <c r="D14" s="7">
        <f>C14-B14</f>
        <v/>
      </c>
      <c r="E14" s="5" t="inlineStr">
        <is>
          <t>Chat e Voz</t>
        </is>
      </c>
      <c r="F14" s="5" t="inlineStr">
        <is>
          <t>Procedimento</t>
        </is>
      </c>
      <c r="G14" s="5" t="inlineStr">
        <is>
          <t>Médio</t>
        </is>
      </c>
      <c r="H14" s="8" t="inlineStr">
        <is>
          <t>Novo fluxo de cancelamento com retenção obrigatória</t>
        </is>
      </c>
      <c r="I14" s="8" t="inlineStr">
        <is>
          <t>Treinamento rápido por supervisão; esteira ajustada</t>
        </is>
      </c>
      <c r="J14" s="5" t="inlineStr">
        <is>
          <t>Supervisão</t>
        </is>
      </c>
      <c r="K14" s="5" t="inlineStr">
        <is>
          <t>Em acompanhamento</t>
        </is>
      </c>
    </row>
    <row r="15">
      <c r="A15" s="6" t="n">
        <v>46287</v>
      </c>
      <c r="B15" s="7" t="n">
        <v>0.6319444444444444</v>
      </c>
      <c r="C15" s="7" t="n">
        <v>0.6458333333333334</v>
      </c>
      <c r="D15" s="7">
        <f>C15-B15</f>
        <v/>
      </c>
      <c r="E15" s="5" t="inlineStr">
        <is>
          <t>Chat e Voz</t>
        </is>
      </c>
      <c r="F15" s="5" t="inlineStr">
        <is>
          <t>Sistema fora</t>
        </is>
      </c>
      <c r="G15" s="5" t="inlineStr">
        <is>
          <t>Alto</t>
        </is>
      </c>
      <c r="H15" s="8" t="inlineStr">
        <is>
          <t>Portal Smiles fora do ar por 1 h 10, cliente sem acesso ao extrato</t>
        </is>
      </c>
      <c r="I15" s="8" t="inlineStr">
        <is>
          <t>Script de contenção; volume de Voz 25% acima</t>
        </is>
      </c>
      <c r="J15" s="5" t="inlineStr">
        <is>
          <t>Coordenação</t>
        </is>
      </c>
      <c r="K15" s="5" t="inlineStr">
        <is>
          <t>Encerrado</t>
        </is>
      </c>
    </row>
    <row r="16">
      <c r="A16" s="6" t="n">
        <v>46292</v>
      </c>
      <c r="B16" s="7" t="n">
        <v>0.3611111111111111</v>
      </c>
      <c r="C16" s="7" t="n">
        <v>0.4097222222222222</v>
      </c>
      <c r="D16" s="7">
        <f>C16-B16</f>
        <v/>
      </c>
      <c r="E16" s="5" t="inlineStr">
        <is>
          <t>Chat e Voz</t>
        </is>
      </c>
      <c r="F16" s="5" t="inlineStr">
        <is>
          <t>Ferramenta</t>
        </is>
      </c>
      <c r="G16" s="5" t="inlineStr">
        <is>
          <t>Baixo</t>
        </is>
      </c>
      <c r="H16" s="8" t="inlineStr">
        <is>
          <t>Planilha ABS – Crc travada por edição simultânea</t>
        </is>
      </c>
      <c r="I16" s="8" t="inlineStr">
        <is>
          <t>Liberada; orientação de salvar e fechar</t>
        </is>
      </c>
      <c r="J16" s="5" t="inlineStr">
        <is>
          <t>TI</t>
        </is>
      </c>
      <c r="K16" s="5" t="inlineStr">
        <is>
          <t>Encerrado</t>
        </is>
      </c>
    </row>
  </sheetData>
  <conditionalFormatting sqref="G5:G36">
    <cfRule type="cellIs" priority="1" operator="equal" dxfId="0">
      <formula>"Alto"</formula>
    </cfRule>
    <cfRule type="cellIs" priority="2" operator="equal" dxfId="1">
      <formula>"Médio"</formula>
    </cfRule>
    <cfRule type="cellIs" priority="3" operator="equal" dxfId="2">
      <formula>"Baixo"</formula>
    </cfRule>
  </conditionalFormatting>
  <conditionalFormatting sqref="K5:K36">
    <cfRule type="cellIs" priority="4" operator="equal" dxfId="3">
      <formula>"Em acompanhamento"</formula>
    </cfRule>
  </conditionalFormatting>
  <dataValidations count="1">
    <dataValidation sqref="G5:G36" showDropDown="0" showInputMessage="0" showErrorMessage="0" allowBlank="0" type="list">
      <formula1>"Baixo,Médio,Alto"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8" customWidth="1" min="4" max="4"/>
    <col width="13" customWidth="1" min="5" max="5"/>
    <col width="15" customWidth="1" min="6" max="6"/>
    <col width="15" customWidth="1" min="7" max="7"/>
    <col width="18" customWidth="1" min="8" max="8"/>
    <col width="11" customWidth="1" min="9" max="9"/>
    <col width="13" customWidth="1" min="10" max="10"/>
    <col width="2" customWidth="1" min="11" max="11"/>
    <col width="16" customWidth="1" min="12" max="12"/>
  </cols>
  <sheetData>
    <row r="1">
      <c r="A1" s="1" t="inlineStr">
        <is>
          <t>Controle de Acessos · Amadeus, Sabre e LinkedIn Learning</t>
        </is>
      </c>
      <c r="L1" s="2" t="inlineStr">
        <is>
          <t>RESUMO</t>
        </is>
      </c>
      <c r="M1" s="2" t="inlineStr">
        <is>
          <t>AMADEUS</t>
        </is>
      </c>
      <c r="N1" s="2" t="inlineStr">
        <is>
          <t>SABRE</t>
        </is>
      </c>
      <c r="O1" s="2" t="inlineStr">
        <is>
          <t>LINKEDIN</t>
        </is>
      </c>
    </row>
    <row r="2">
      <c r="A2" s="3" t="inlineStr">
        <is>
          <t>Quem tem, quem não tem, quem precisa de chamado. Cruzamento da lista de cada sistema com o MOP.</t>
        </is>
      </c>
      <c r="L2" s="4" t="inlineStr">
        <is>
          <t>Liberado</t>
        </is>
      </c>
      <c r="M2" s="5">
        <f>COUNTIF($F$5:$F$157,L2)</f>
        <v/>
      </c>
      <c r="N2" s="5">
        <f>COUNTIF($G$5:$G$157,L2)</f>
        <v/>
      </c>
      <c r="O2" s="5">
        <f>COUNTIF($H$5:$H$157,L2)</f>
        <v/>
      </c>
    </row>
    <row r="3">
      <c r="L3" s="4" t="inlineStr">
        <is>
          <t>Pendente</t>
        </is>
      </c>
      <c r="M3" s="5">
        <f>COUNTIF($F$5:$F$157,L3)</f>
        <v/>
      </c>
      <c r="N3" s="5">
        <f>COUNTIF($G$5:$G$157,L3)</f>
        <v/>
      </c>
      <c r="O3" s="5">
        <f>COUNTIF($H$5:$H$157,L3)</f>
        <v/>
      </c>
    </row>
    <row r="4">
      <c r="A4" s="2" t="inlineStr">
        <is>
          <t>OPERADOR</t>
        </is>
      </c>
      <c r="B4" s="2" t="inlineStr">
        <is>
          <t>SUPERVISOR</t>
        </is>
      </c>
      <c r="C4" s="2" t="inlineStr">
        <is>
          <t>FRENTE</t>
        </is>
      </c>
      <c r="D4" s="2" t="inlineStr">
        <is>
          <t>TURNO</t>
        </is>
      </c>
      <c r="E4" s="2" t="inlineStr">
        <is>
          <t>STATUS</t>
        </is>
      </c>
      <c r="F4" s="2" t="inlineStr">
        <is>
          <t>AMADEUS</t>
        </is>
      </c>
      <c r="G4" s="2" t="inlineStr">
        <is>
          <t>SABRE</t>
        </is>
      </c>
      <c r="H4" s="2" t="inlineStr">
        <is>
          <t>LINKEDIN LEARNING</t>
        </is>
      </c>
      <c r="I4" s="2" t="inlineStr">
        <is>
          <t>PENDÊNCIAS</t>
        </is>
      </c>
      <c r="J4" s="2" t="inlineStr">
        <is>
          <t>CHAMADO</t>
        </is>
      </c>
      <c r="L4" s="4" t="inlineStr">
        <is>
          <t>Sem acesso</t>
        </is>
      </c>
      <c r="M4" s="5">
        <f>COUNTIF($F$5:$F$157,L4)</f>
        <v/>
      </c>
      <c r="N4" s="5">
        <f>COUNTIF($G$5:$G$157,L4)</f>
        <v/>
      </c>
      <c r="O4" s="5">
        <f>COUNTIF($H$5:$H$157,L4)</f>
        <v/>
      </c>
    </row>
    <row r="5">
      <c r="A5" s="8" t="inlineStr">
        <is>
          <t>Camila Santos</t>
        </is>
      </c>
      <c r="B5" s="8" t="inlineStr">
        <is>
          <t>Bruna Almeida</t>
        </is>
      </c>
      <c r="C5" s="5" t="inlineStr">
        <is>
          <t>Chat</t>
        </is>
      </c>
      <c r="D5" s="5" t="inlineStr">
        <is>
          <t>Tarde</t>
        </is>
      </c>
      <c r="E5" s="5" t="inlineStr">
        <is>
          <t>ATIVO(A)</t>
        </is>
      </c>
      <c r="F5" s="5" t="inlineStr">
        <is>
          <t>Chamado aberto</t>
        </is>
      </c>
      <c r="G5" s="5" t="inlineStr">
        <is>
          <t>Liberado</t>
        </is>
      </c>
      <c r="H5" s="5" t="inlineStr">
        <is>
          <t>Ativado</t>
        </is>
      </c>
      <c r="I5" s="5">
        <f>COUNTIF(F5:G5,"Pendente")+COUNTIF(F5:G5,"Sem acesso")+COUNTIF(H5,"Não ativado")</f>
        <v/>
      </c>
      <c r="J5" s="5">
        <f>IF(OR(F5="Chamado aberto",G5="Chamado aberto"),"INC-"&amp;TEXT(224802,"0"),"-")</f>
        <v/>
      </c>
      <c r="L5" s="4" t="inlineStr">
        <is>
          <t>Chamado aberto</t>
        </is>
      </c>
      <c r="M5" s="5">
        <f>COUNTIF($F$5:$F$157,L5)</f>
        <v/>
      </c>
      <c r="N5" s="5">
        <f>COUNTIF($G$5:$G$157,L5)</f>
        <v/>
      </c>
      <c r="O5" s="5">
        <f>COUNTIF($H$5:$H$157,L5)</f>
        <v/>
      </c>
    </row>
    <row r="6">
      <c r="A6" s="8" t="inlineStr">
        <is>
          <t>Caua Assunção</t>
        </is>
      </c>
      <c r="B6" s="8" t="inlineStr">
        <is>
          <t>Bruna Almeida</t>
        </is>
      </c>
      <c r="C6" s="5" t="inlineStr">
        <is>
          <t>Voz</t>
        </is>
      </c>
      <c r="D6" s="5" t="inlineStr">
        <is>
          <t>Manhã</t>
        </is>
      </c>
      <c r="E6" s="5" t="inlineStr">
        <is>
          <t>ATIVO(A)</t>
        </is>
      </c>
      <c r="F6" s="5" t="inlineStr">
        <is>
          <t>Liberado</t>
        </is>
      </c>
      <c r="G6" s="5" t="inlineStr">
        <is>
          <t>Pendente</t>
        </is>
      </c>
      <c r="H6" s="5" t="inlineStr">
        <is>
          <t>Não ativado</t>
        </is>
      </c>
      <c r="I6" s="5">
        <f>COUNTIF(F6:G6,"Pendente")+COUNTIF(F6:G6,"Sem acesso")+COUNTIF(H6,"Não ativado")</f>
        <v/>
      </c>
      <c r="J6" s="5">
        <f>IF(OR(F6="Chamado aberto",G6="Chamado aberto"),"INC-"&amp;TEXT(637391,"0"),"-")</f>
        <v/>
      </c>
      <c r="L6" s="4" t="inlineStr">
        <is>
          <t>Ativado</t>
        </is>
      </c>
      <c r="M6" s="5">
        <f>COUNTIF($F$5:$F$157,L6)</f>
        <v/>
      </c>
      <c r="N6" s="5">
        <f>COUNTIF($G$5:$G$157,L6)</f>
        <v/>
      </c>
      <c r="O6" s="5">
        <f>COUNTIF($H$5:$H$157,L6)</f>
        <v/>
      </c>
    </row>
    <row r="7">
      <c r="A7" s="8" t="inlineStr">
        <is>
          <t>Cicera Dias</t>
        </is>
      </c>
      <c r="B7" s="8" t="inlineStr">
        <is>
          <t>Bruna Almeida</t>
        </is>
      </c>
      <c r="C7" s="5" t="inlineStr">
        <is>
          <t>Chat</t>
        </is>
      </c>
      <c r="D7" s="5" t="inlineStr">
        <is>
          <t>Tarde</t>
        </is>
      </c>
      <c r="E7" s="5" t="inlineStr">
        <is>
          <t>ATIVO(A)</t>
        </is>
      </c>
      <c r="F7" s="5" t="inlineStr">
        <is>
          <t>Sem acesso</t>
        </is>
      </c>
      <c r="G7" s="5" t="inlineStr">
        <is>
          <t>Liberado</t>
        </is>
      </c>
      <c r="H7" s="5" t="inlineStr">
        <is>
          <t>Trilha pendente</t>
        </is>
      </c>
      <c r="I7" s="5">
        <f>COUNTIF(F7:G7,"Pendente")+COUNTIF(F7:G7,"Sem acesso")+COUNTIF(H7,"Não ativado")</f>
        <v/>
      </c>
      <c r="J7" s="5">
        <f>IF(OR(F7="Chamado aberto",G7="Chamado aberto"),"INC-"&amp;TEXT(213301,"0"),"-")</f>
        <v/>
      </c>
      <c r="L7" s="4" t="inlineStr">
        <is>
          <t>Não ativado</t>
        </is>
      </c>
      <c r="M7" s="5">
        <f>COUNTIF($F$5:$F$157,L7)</f>
        <v/>
      </c>
      <c r="N7" s="5">
        <f>COUNTIF($G$5:$G$157,L7)</f>
        <v/>
      </c>
      <c r="O7" s="5">
        <f>COUNTIF($H$5:$H$157,L7)</f>
        <v/>
      </c>
    </row>
    <row r="8">
      <c r="A8" s="8" t="inlineStr">
        <is>
          <t>Claudia Carvalho</t>
        </is>
      </c>
      <c r="B8" s="8" t="inlineStr">
        <is>
          <t>Bruna Almeida</t>
        </is>
      </c>
      <c r="C8" s="5" t="inlineStr">
        <is>
          <t>Voz</t>
        </is>
      </c>
      <c r="D8" s="5" t="inlineStr">
        <is>
          <t>Tarde</t>
        </is>
      </c>
      <c r="E8" s="5" t="inlineStr">
        <is>
          <t>ATIVO(A)</t>
        </is>
      </c>
      <c r="F8" s="5" t="inlineStr">
        <is>
          <t>Sem acesso</t>
        </is>
      </c>
      <c r="G8" s="5" t="inlineStr">
        <is>
          <t>Chamado aberto</t>
        </is>
      </c>
      <c r="H8" s="5" t="inlineStr">
        <is>
          <t>Não ativado</t>
        </is>
      </c>
      <c r="I8" s="5">
        <f>COUNTIF(F8:G8,"Pendente")+COUNTIF(F8:G8,"Sem acesso")+COUNTIF(H8,"Não ativado")</f>
        <v/>
      </c>
      <c r="J8" s="5">
        <f>IF(OR(F8="Chamado aberto",G8="Chamado aberto"),"INC-"&amp;TEXT(410235,"0"),"-")</f>
        <v/>
      </c>
      <c r="L8" s="4" t="inlineStr">
        <is>
          <t>Trilha pendente</t>
        </is>
      </c>
      <c r="M8" s="5">
        <f>COUNTIF($F$5:$F$157,L8)</f>
        <v/>
      </c>
      <c r="N8" s="5">
        <f>COUNTIF($G$5:$G$157,L8)</f>
        <v/>
      </c>
      <c r="O8" s="5">
        <f>COUNTIF($H$5:$H$157,L8)</f>
        <v/>
      </c>
    </row>
    <row r="9">
      <c r="A9" s="8" t="inlineStr">
        <is>
          <t>Cristian Pinheiro</t>
        </is>
      </c>
      <c r="B9" s="8" t="inlineStr">
        <is>
          <t>Bruna Almeida</t>
        </is>
      </c>
      <c r="C9" s="5" t="inlineStr">
        <is>
          <t>Chat</t>
        </is>
      </c>
      <c r="D9" s="5" t="inlineStr">
        <is>
          <t>Manhã</t>
        </is>
      </c>
      <c r="E9" s="5" t="inlineStr">
        <is>
          <t>ATIVO(A)</t>
        </is>
      </c>
      <c r="F9" s="5" t="inlineStr">
        <is>
          <t>Liberado</t>
        </is>
      </c>
      <c r="G9" s="5" t="inlineStr">
        <is>
          <t>Liberado</t>
        </is>
      </c>
      <c r="H9" s="5" t="inlineStr">
        <is>
          <t>Não ativado</t>
        </is>
      </c>
      <c r="I9" s="5">
        <f>COUNTIF(F9:G9,"Pendente")+COUNTIF(F9:G9,"Sem acesso")+COUNTIF(H9,"Não ativado")</f>
        <v/>
      </c>
      <c r="J9" s="5">
        <f>IF(OR(F9="Chamado aberto",G9="Chamado aberto"),"INC-"&amp;TEXT(637793,"0"),"-")</f>
        <v/>
      </c>
    </row>
    <row r="10">
      <c r="A10" s="8" t="inlineStr">
        <is>
          <t>Davi Fernandes</t>
        </is>
      </c>
      <c r="B10" s="8" t="inlineStr">
        <is>
          <t>Bruna Almeida</t>
        </is>
      </c>
      <c r="C10" s="5" t="inlineStr">
        <is>
          <t>Chat</t>
        </is>
      </c>
      <c r="D10" s="5" t="inlineStr">
        <is>
          <t>Tarde</t>
        </is>
      </c>
      <c r="E10" s="5" t="inlineStr">
        <is>
          <t>ATIVO(A)</t>
        </is>
      </c>
      <c r="F10" s="5" t="inlineStr">
        <is>
          <t>Não se aplica</t>
        </is>
      </c>
      <c r="G10" s="5" t="inlineStr">
        <is>
          <t>Liberado</t>
        </is>
      </c>
      <c r="H10" s="5" t="inlineStr">
        <is>
          <t>Não ativado</t>
        </is>
      </c>
      <c r="I10" s="5">
        <f>COUNTIF(F10:G10,"Pendente")+COUNTIF(F10:G10,"Sem acesso")+COUNTIF(H10,"Não ativado")</f>
        <v/>
      </c>
      <c r="J10" s="5">
        <f>IF(OR(F10="Chamado aberto",G10="Chamado aberto"),"INC-"&amp;TEXT(389067,"0"),"-")</f>
        <v/>
      </c>
    </row>
    <row r="11">
      <c r="A11" s="8" t="inlineStr">
        <is>
          <t>Deborah Castro</t>
        </is>
      </c>
      <c r="B11" s="8" t="inlineStr">
        <is>
          <t>Bruna Almeida</t>
        </is>
      </c>
      <c r="C11" s="5" t="inlineStr">
        <is>
          <t>Voz</t>
        </is>
      </c>
      <c r="D11" s="5" t="inlineStr">
        <is>
          <t>Manhã</t>
        </is>
      </c>
      <c r="E11" s="5" t="inlineStr">
        <is>
          <t>ATIVO(A)</t>
        </is>
      </c>
      <c r="F11" s="5" t="inlineStr">
        <is>
          <t>Chamado aberto</t>
        </is>
      </c>
      <c r="G11" s="5" t="inlineStr">
        <is>
          <t>Sem acesso</t>
        </is>
      </c>
      <c r="H11" s="5" t="inlineStr">
        <is>
          <t>Ativado</t>
        </is>
      </c>
      <c r="I11" s="5">
        <f>COUNTIF(F11:G11,"Pendente")+COUNTIF(F11:G11,"Sem acesso")+COUNTIF(H11,"Não ativado")</f>
        <v/>
      </c>
      <c r="J11" s="5">
        <f>IF(OR(F11="Chamado aberto",G11="Chamado aberto"),"INC-"&amp;TEXT(427627,"0"),"-")</f>
        <v/>
      </c>
    </row>
    <row r="12">
      <c r="A12" s="8" t="inlineStr">
        <is>
          <t>Fernanda Cunha</t>
        </is>
      </c>
      <c r="B12" s="8" t="inlineStr">
        <is>
          <t>Bruna Almeida</t>
        </is>
      </c>
      <c r="C12" s="5" t="inlineStr">
        <is>
          <t>Chat</t>
        </is>
      </c>
      <c r="D12" s="5" t="inlineStr">
        <is>
          <t>Tarde</t>
        </is>
      </c>
      <c r="E12" s="5" t="inlineStr">
        <is>
          <t>AVISO PRÉVIO</t>
        </is>
      </c>
      <c r="F12" s="5" t="inlineStr">
        <is>
          <t>Não se aplica</t>
        </is>
      </c>
      <c r="G12" s="5" t="inlineStr">
        <is>
          <t>Liberado</t>
        </is>
      </c>
      <c r="H12" s="5" t="inlineStr">
        <is>
          <t>Ativado</t>
        </is>
      </c>
      <c r="I12" s="5">
        <f>COUNTIF(F12:G12,"Pendente")+COUNTIF(F12:G12,"Sem acesso")+COUNTIF(H12,"Não ativado")</f>
        <v/>
      </c>
      <c r="J12" s="5">
        <f>IF(OR(F12="Chamado aberto",G12="Chamado aberto"),"INC-"&amp;TEXT(937574,"0"),"-")</f>
        <v/>
      </c>
    </row>
    <row r="13">
      <c r="A13" s="8" t="inlineStr">
        <is>
          <t>Giovana Santana</t>
        </is>
      </c>
      <c r="B13" s="8" t="inlineStr">
        <is>
          <t>Bruna Almeida</t>
        </is>
      </c>
      <c r="C13" s="5" t="inlineStr">
        <is>
          <t>Voz</t>
        </is>
      </c>
      <c r="D13" s="5" t="inlineStr">
        <is>
          <t>Tarde</t>
        </is>
      </c>
      <c r="E13" s="5" t="inlineStr">
        <is>
          <t>ATIVO(A)</t>
        </is>
      </c>
      <c r="F13" s="5" t="inlineStr">
        <is>
          <t>Liberado</t>
        </is>
      </c>
      <c r="G13" s="5" t="inlineStr">
        <is>
          <t>Chamado aberto</t>
        </is>
      </c>
      <c r="H13" s="5" t="inlineStr">
        <is>
          <t>Ativado</t>
        </is>
      </c>
      <c r="I13" s="5">
        <f>COUNTIF(F13:G13,"Pendente")+COUNTIF(F13:G13,"Sem acesso")+COUNTIF(H13,"Não ativado")</f>
        <v/>
      </c>
      <c r="J13" s="5">
        <f>IF(OR(F13="Chamado aberto",G13="Chamado aberto"),"INC-"&amp;TEXT(856164,"0"),"-")</f>
        <v/>
      </c>
    </row>
    <row r="14">
      <c r="A14" s="8" t="inlineStr">
        <is>
          <t>Isabelle Cruz</t>
        </is>
      </c>
      <c r="B14" s="8" t="inlineStr">
        <is>
          <t>Bruna Almeida</t>
        </is>
      </c>
      <c r="C14" s="5" t="inlineStr">
        <is>
          <t>Voz</t>
        </is>
      </c>
      <c r="D14" s="5" t="inlineStr">
        <is>
          <t>Tarde</t>
        </is>
      </c>
      <c r="E14" s="5" t="inlineStr">
        <is>
          <t>ATIVO(A)</t>
        </is>
      </c>
      <c r="F14" s="5" t="inlineStr">
        <is>
          <t>Chamado aberto</t>
        </is>
      </c>
      <c r="G14" s="5" t="inlineStr">
        <is>
          <t>Liberado</t>
        </is>
      </c>
      <c r="H14" s="5" t="inlineStr">
        <is>
          <t>Trilha pendente</t>
        </is>
      </c>
      <c r="I14" s="5">
        <f>COUNTIF(F14:G14,"Pendente")+COUNTIF(F14:G14,"Sem acesso")+COUNTIF(H14,"Não ativado")</f>
        <v/>
      </c>
      <c r="J14" s="5">
        <f>IF(OR(F14="Chamado aberto",G14="Chamado aberto"),"INC-"&amp;TEXT(269375,"0"),"-")</f>
        <v/>
      </c>
    </row>
    <row r="15">
      <c r="A15" s="8" t="inlineStr">
        <is>
          <t>Ivin Campos</t>
        </is>
      </c>
      <c r="B15" s="8" t="inlineStr">
        <is>
          <t>Bruna Almeida</t>
        </is>
      </c>
      <c r="C15" s="5" t="inlineStr">
        <is>
          <t>Chat</t>
        </is>
      </c>
      <c r="D15" s="5" t="inlineStr">
        <is>
          <t>Manhã</t>
        </is>
      </c>
      <c r="E15" s="5" t="inlineStr">
        <is>
          <t>ATIVO(A)</t>
        </is>
      </c>
      <c r="F15" s="5" t="inlineStr">
        <is>
          <t>Não se aplica</t>
        </is>
      </c>
      <c r="G15" s="5" t="inlineStr">
        <is>
          <t>Liberado</t>
        </is>
      </c>
      <c r="H15" s="5" t="inlineStr">
        <is>
          <t>Trilha pendente</t>
        </is>
      </c>
      <c r="I15" s="5">
        <f>COUNTIF(F15:G15,"Pendente")+COUNTIF(F15:G15,"Sem acesso")+COUNTIF(H15,"Não ativado")</f>
        <v/>
      </c>
      <c r="J15" s="5">
        <f>IF(OR(F15="Chamado aberto",G15="Chamado aberto"),"INC-"&amp;TEXT(133372,"0"),"-")</f>
        <v/>
      </c>
    </row>
    <row r="16">
      <c r="A16" s="8" t="inlineStr">
        <is>
          <t>Kristian Morais</t>
        </is>
      </c>
      <c r="B16" s="8" t="inlineStr">
        <is>
          <t>Bruna Almeida</t>
        </is>
      </c>
      <c r="C16" s="5" t="inlineStr">
        <is>
          <t>Voz</t>
        </is>
      </c>
      <c r="D16" s="5" t="inlineStr">
        <is>
          <t>Manhã</t>
        </is>
      </c>
      <c r="E16" s="5" t="inlineStr">
        <is>
          <t>ATIVO(A)</t>
        </is>
      </c>
      <c r="F16" s="5" t="inlineStr">
        <is>
          <t>Liberado</t>
        </is>
      </c>
      <c r="G16" s="5" t="inlineStr">
        <is>
          <t>Chamado aberto</t>
        </is>
      </c>
      <c r="H16" s="5" t="inlineStr">
        <is>
          <t>Não ativado</t>
        </is>
      </c>
      <c r="I16" s="5">
        <f>COUNTIF(F16:G16,"Pendente")+COUNTIF(F16:G16,"Sem acesso")+COUNTIF(H16,"Não ativado")</f>
        <v/>
      </c>
      <c r="J16" s="5">
        <f>IF(OR(F16="Chamado aberto",G16="Chamado aberto"),"INC-"&amp;TEXT(966433,"0"),"-")</f>
        <v/>
      </c>
    </row>
    <row r="17">
      <c r="A17" s="8" t="inlineStr">
        <is>
          <t>Marcella Dias</t>
        </is>
      </c>
      <c r="B17" s="8" t="inlineStr">
        <is>
          <t>Bruna Almeida</t>
        </is>
      </c>
      <c r="C17" s="5" t="inlineStr">
        <is>
          <t>Voz</t>
        </is>
      </c>
      <c r="D17" s="5" t="inlineStr">
        <is>
          <t>Tarde</t>
        </is>
      </c>
      <c r="E17" s="5" t="inlineStr">
        <is>
          <t>ATIVO(A)</t>
        </is>
      </c>
      <c r="F17" s="5" t="inlineStr">
        <is>
          <t>Liberado</t>
        </is>
      </c>
      <c r="G17" s="5" t="inlineStr">
        <is>
          <t>Pendente</t>
        </is>
      </c>
      <c r="H17" s="5" t="inlineStr">
        <is>
          <t>Trilha pendente</t>
        </is>
      </c>
      <c r="I17" s="5">
        <f>COUNTIF(F17:G17,"Pendente")+COUNTIF(F17:G17,"Sem acesso")+COUNTIF(H17,"Não ativado")</f>
        <v/>
      </c>
      <c r="J17" s="5">
        <f>IF(OR(F17="Chamado aberto",G17="Chamado aberto"),"INC-"&amp;TEXT(252703,"0"),"-")</f>
        <v/>
      </c>
    </row>
    <row r="18">
      <c r="A18" s="8" t="inlineStr">
        <is>
          <t>Marcos Freitas</t>
        </is>
      </c>
      <c r="B18" s="8" t="inlineStr">
        <is>
          <t>Bruna Almeida</t>
        </is>
      </c>
      <c r="C18" s="5" t="inlineStr">
        <is>
          <t>Voz</t>
        </is>
      </c>
      <c r="D18" s="5" t="inlineStr">
        <is>
          <t>Tarde</t>
        </is>
      </c>
      <c r="E18" s="5" t="inlineStr">
        <is>
          <t>ATIVO(A)</t>
        </is>
      </c>
      <c r="F18" s="5" t="inlineStr">
        <is>
          <t>Liberado</t>
        </is>
      </c>
      <c r="G18" s="5" t="inlineStr">
        <is>
          <t>Chamado aberto</t>
        </is>
      </c>
      <c r="H18" s="5" t="inlineStr">
        <is>
          <t>Ativado</t>
        </is>
      </c>
      <c r="I18" s="5">
        <f>COUNTIF(F18:G18,"Pendente")+COUNTIF(F18:G18,"Sem acesso")+COUNTIF(H18,"Não ativado")</f>
        <v/>
      </c>
      <c r="J18" s="5">
        <f>IF(OR(F18="Chamado aberto",G18="Chamado aberto"),"INC-"&amp;TEXT(940606,"0"),"-")</f>
        <v/>
      </c>
    </row>
    <row r="19">
      <c r="A19" s="8" t="inlineStr">
        <is>
          <t>Maria Silva</t>
        </is>
      </c>
      <c r="B19" s="8" t="inlineStr">
        <is>
          <t>Bruna Almeida</t>
        </is>
      </c>
      <c r="C19" s="5" t="inlineStr">
        <is>
          <t>Voz</t>
        </is>
      </c>
      <c r="D19" s="5" t="inlineStr">
        <is>
          <t>Manhã</t>
        </is>
      </c>
      <c r="E19" s="5" t="inlineStr">
        <is>
          <t>ATIVO(A)</t>
        </is>
      </c>
      <c r="F19" s="5" t="inlineStr">
        <is>
          <t>Pendente</t>
        </is>
      </c>
      <c r="G19" s="5" t="inlineStr">
        <is>
          <t>Liberado</t>
        </is>
      </c>
      <c r="H19" s="5" t="inlineStr">
        <is>
          <t>Ativado</t>
        </is>
      </c>
      <c r="I19" s="5">
        <f>COUNTIF(F19:G19,"Pendente")+COUNTIF(F19:G19,"Sem acesso")+COUNTIF(H19,"Não ativado")</f>
        <v/>
      </c>
      <c r="J19" s="5">
        <f>IF(OR(F19="Chamado aberto",G19="Chamado aberto"),"INC-"&amp;TEXT(236914,"0"),"-")</f>
        <v/>
      </c>
    </row>
    <row r="20">
      <c r="A20" s="8" t="inlineStr">
        <is>
          <t>Nicole Nunes</t>
        </is>
      </c>
      <c r="B20" s="8" t="inlineStr">
        <is>
          <t>Bruna Almeida</t>
        </is>
      </c>
      <c r="C20" s="5" t="inlineStr">
        <is>
          <t>Voz</t>
        </is>
      </c>
      <c r="D20" s="5" t="inlineStr">
        <is>
          <t>Tarde</t>
        </is>
      </c>
      <c r="E20" s="5" t="inlineStr">
        <is>
          <t>ATIVO(A)</t>
        </is>
      </c>
      <c r="F20" s="5" t="inlineStr">
        <is>
          <t>Chamado aberto</t>
        </is>
      </c>
      <c r="G20" s="5" t="inlineStr">
        <is>
          <t>Sem acesso</t>
        </is>
      </c>
      <c r="H20" s="5" t="inlineStr">
        <is>
          <t>Ativado</t>
        </is>
      </c>
      <c r="I20" s="5">
        <f>COUNTIF(F20:G20,"Pendente")+COUNTIF(F20:G20,"Sem acesso")+COUNTIF(H20,"Não ativado")</f>
        <v/>
      </c>
      <c r="J20" s="5">
        <f>IF(OR(F20="Chamado aberto",G20="Chamado aberto"),"INC-"&amp;TEXT(761021,"0"),"-")</f>
        <v/>
      </c>
    </row>
    <row r="21">
      <c r="A21" s="8" t="inlineStr">
        <is>
          <t>Rauanna Santana</t>
        </is>
      </c>
      <c r="B21" s="8" t="inlineStr">
        <is>
          <t>Bruna Almeida</t>
        </is>
      </c>
      <c r="C21" s="5" t="inlineStr">
        <is>
          <t>Voz</t>
        </is>
      </c>
      <c r="D21" s="5" t="inlineStr">
        <is>
          <t>Tarde</t>
        </is>
      </c>
      <c r="E21" s="5" t="inlineStr">
        <is>
          <t>ATIVO(A)</t>
        </is>
      </c>
      <c r="F21" s="5" t="inlineStr">
        <is>
          <t>Pendente</t>
        </is>
      </c>
      <c r="G21" s="5" t="inlineStr">
        <is>
          <t>Liberado</t>
        </is>
      </c>
      <c r="H21" s="5" t="inlineStr">
        <is>
          <t>Ativado</t>
        </is>
      </c>
      <c r="I21" s="5">
        <f>COUNTIF(F21:G21,"Pendente")+COUNTIF(F21:G21,"Sem acesso")+COUNTIF(H21,"Não ativado")</f>
        <v/>
      </c>
      <c r="J21" s="5">
        <f>IF(OR(F21="Chamado aberto",G21="Chamado aberto"),"INC-"&amp;TEXT(555664,"0"),"-")</f>
        <v/>
      </c>
    </row>
    <row r="22">
      <c r="A22" s="8" t="inlineStr">
        <is>
          <t>Thomas Barros</t>
        </is>
      </c>
      <c r="B22" s="8" t="inlineStr">
        <is>
          <t>Bruna Almeida</t>
        </is>
      </c>
      <c r="C22" s="5" t="inlineStr">
        <is>
          <t>Chat</t>
        </is>
      </c>
      <c r="D22" s="5" t="inlineStr">
        <is>
          <t>Manhã</t>
        </is>
      </c>
      <c r="E22" s="5" t="inlineStr">
        <is>
          <t>ATIVO(A)</t>
        </is>
      </c>
      <c r="F22" s="5" t="inlineStr">
        <is>
          <t>Liberado</t>
        </is>
      </c>
      <c r="G22" s="5" t="inlineStr">
        <is>
          <t>Pendente</t>
        </is>
      </c>
      <c r="H22" s="5" t="inlineStr">
        <is>
          <t>Não ativado</t>
        </is>
      </c>
      <c r="I22" s="5">
        <f>COUNTIF(F22:G22,"Pendente")+COUNTIF(F22:G22,"Sem acesso")+COUNTIF(H22,"Não ativado")</f>
        <v/>
      </c>
      <c r="J22" s="5">
        <f>IF(OR(F22="Chamado aberto",G22="Chamado aberto"),"INC-"&amp;TEXT(248061,"0"),"-")</f>
        <v/>
      </c>
    </row>
    <row r="23">
      <c r="A23" s="8" t="inlineStr">
        <is>
          <t>Victor Anjos</t>
        </is>
      </c>
      <c r="B23" s="8" t="inlineStr">
        <is>
          <t>Bruna Almeida</t>
        </is>
      </c>
      <c r="C23" s="5" t="inlineStr">
        <is>
          <t>Voz</t>
        </is>
      </c>
      <c r="D23" s="5" t="inlineStr">
        <is>
          <t>Tarde</t>
        </is>
      </c>
      <c r="E23" s="5" t="inlineStr">
        <is>
          <t>ATIVO(A)</t>
        </is>
      </c>
      <c r="F23" s="5" t="inlineStr">
        <is>
          <t>Pendente</t>
        </is>
      </c>
      <c r="G23" s="5" t="inlineStr">
        <is>
          <t>Sem acesso</t>
        </is>
      </c>
      <c r="H23" s="5" t="inlineStr">
        <is>
          <t>Ativado</t>
        </is>
      </c>
      <c r="I23" s="5">
        <f>COUNTIF(F23:G23,"Pendente")+COUNTIF(F23:G23,"Sem acesso")+COUNTIF(H23,"Não ativado")</f>
        <v/>
      </c>
      <c r="J23" s="5">
        <f>IF(OR(F23="Chamado aberto",G23="Chamado aberto"),"INC-"&amp;TEXT(647560,"0"),"-")</f>
        <v/>
      </c>
    </row>
    <row r="24">
      <c r="A24" s="8" t="inlineStr">
        <is>
          <t>Wesley Conceição</t>
        </is>
      </c>
      <c r="B24" s="8" t="inlineStr">
        <is>
          <t>Bruna Almeida</t>
        </is>
      </c>
      <c r="C24" s="5" t="inlineStr">
        <is>
          <t>Chat</t>
        </is>
      </c>
      <c r="D24" s="5" t="inlineStr">
        <is>
          <t>Manhã</t>
        </is>
      </c>
      <c r="E24" s="5" t="inlineStr">
        <is>
          <t>ATIVO(A)</t>
        </is>
      </c>
      <c r="F24" s="5" t="inlineStr">
        <is>
          <t>Pendente</t>
        </is>
      </c>
      <c r="G24" s="5" t="inlineStr">
        <is>
          <t>Chamado aberto</t>
        </is>
      </c>
      <c r="H24" s="5" t="inlineStr">
        <is>
          <t>Não ativado</t>
        </is>
      </c>
      <c r="I24" s="5">
        <f>COUNTIF(F24:G24,"Pendente")+COUNTIF(F24:G24,"Sem acesso")+COUNTIF(H24,"Não ativado")</f>
        <v/>
      </c>
      <c r="J24" s="5">
        <f>IF(OR(F24="Chamado aberto",G24="Chamado aberto"),"INC-"&amp;TEXT(602312,"0"),"-")</f>
        <v/>
      </c>
    </row>
    <row r="25">
      <c r="A25" s="8" t="inlineStr">
        <is>
          <t>Adriele Cruz</t>
        </is>
      </c>
      <c r="B25" s="8" t="inlineStr">
        <is>
          <t>Emir Anjos</t>
        </is>
      </c>
      <c r="C25" s="5" t="inlineStr">
        <is>
          <t>Voz</t>
        </is>
      </c>
      <c r="D25" s="5" t="inlineStr">
        <is>
          <t>Manhã</t>
        </is>
      </c>
      <c r="E25" s="5" t="inlineStr">
        <is>
          <t>AVISO PRÉVIO</t>
        </is>
      </c>
      <c r="F25" s="5" t="inlineStr">
        <is>
          <t>Liberado</t>
        </is>
      </c>
      <c r="G25" s="5" t="inlineStr">
        <is>
          <t>Liberado</t>
        </is>
      </c>
      <c r="H25" s="5" t="inlineStr">
        <is>
          <t>Trilha pendente</t>
        </is>
      </c>
      <c r="I25" s="5">
        <f>COUNTIF(F25:G25,"Pendente")+COUNTIF(F25:G25,"Sem acesso")+COUNTIF(H25,"Não ativado")</f>
        <v/>
      </c>
      <c r="J25" s="5">
        <f>IF(OR(F25="Chamado aberto",G25="Chamado aberto"),"INC-"&amp;TEXT(523403,"0"),"-")</f>
        <v/>
      </c>
    </row>
    <row r="26">
      <c r="A26" s="8" t="inlineStr">
        <is>
          <t>Bruno Freitas</t>
        </is>
      </c>
      <c r="B26" s="8" t="inlineStr">
        <is>
          <t>Emir Anjos</t>
        </is>
      </c>
      <c r="C26" s="5" t="inlineStr">
        <is>
          <t>Voz</t>
        </is>
      </c>
      <c r="D26" s="5" t="inlineStr">
        <is>
          <t>Manhã</t>
        </is>
      </c>
      <c r="E26" s="5" t="inlineStr">
        <is>
          <t>ATIVO(A)</t>
        </is>
      </c>
      <c r="F26" s="5" t="inlineStr">
        <is>
          <t>Liberado</t>
        </is>
      </c>
      <c r="G26" s="5" t="inlineStr">
        <is>
          <t>Liberado</t>
        </is>
      </c>
      <c r="H26" s="5" t="inlineStr">
        <is>
          <t>Trilha pendente</t>
        </is>
      </c>
      <c r="I26" s="5">
        <f>COUNTIF(F26:G26,"Pendente")+COUNTIF(F26:G26,"Sem acesso")+COUNTIF(H26,"Não ativado")</f>
        <v/>
      </c>
      <c r="J26" s="5">
        <f>IF(OR(F26="Chamado aberto",G26="Chamado aberto"),"INC-"&amp;TEXT(961987,"0"),"-")</f>
        <v/>
      </c>
    </row>
    <row r="27">
      <c r="A27" s="8" t="inlineStr">
        <is>
          <t>Carlos Nascimento</t>
        </is>
      </c>
      <c r="B27" s="8" t="inlineStr">
        <is>
          <t>Emir Anjos</t>
        </is>
      </c>
      <c r="C27" s="5" t="inlineStr">
        <is>
          <t>Chat</t>
        </is>
      </c>
      <c r="D27" s="5" t="inlineStr">
        <is>
          <t>Tarde</t>
        </is>
      </c>
      <c r="E27" s="5" t="inlineStr">
        <is>
          <t>ATIVO(A)</t>
        </is>
      </c>
      <c r="F27" s="5" t="inlineStr">
        <is>
          <t>Não se aplica</t>
        </is>
      </c>
      <c r="G27" s="5" t="inlineStr">
        <is>
          <t>Liberado</t>
        </is>
      </c>
      <c r="H27" s="5" t="inlineStr">
        <is>
          <t>Trilha pendente</t>
        </is>
      </c>
      <c r="I27" s="5">
        <f>COUNTIF(F27:G27,"Pendente")+COUNTIF(F27:G27,"Sem acesso")+COUNTIF(H27,"Não ativado")</f>
        <v/>
      </c>
      <c r="J27" s="5">
        <f>IF(OR(F27="Chamado aberto",G27="Chamado aberto"),"INC-"&amp;TEXT(454920,"0"),"-")</f>
        <v/>
      </c>
    </row>
    <row r="28">
      <c r="A28" s="8" t="inlineStr">
        <is>
          <t>Claudio Jesus</t>
        </is>
      </c>
      <c r="B28" s="8" t="inlineStr">
        <is>
          <t>Emir Anjos</t>
        </is>
      </c>
      <c r="C28" s="5" t="inlineStr">
        <is>
          <t>Voz</t>
        </is>
      </c>
      <c r="D28" s="5" t="inlineStr">
        <is>
          <t>Manhã</t>
        </is>
      </c>
      <c r="E28" s="5" t="inlineStr">
        <is>
          <t>ATIVO(A)</t>
        </is>
      </c>
      <c r="F28" s="5" t="inlineStr">
        <is>
          <t>Liberado</t>
        </is>
      </c>
      <c r="G28" s="5" t="inlineStr">
        <is>
          <t>Liberado</t>
        </is>
      </c>
      <c r="H28" s="5" t="inlineStr">
        <is>
          <t>Trilha pendente</t>
        </is>
      </c>
      <c r="I28" s="5">
        <f>COUNTIF(F28:G28,"Pendente")+COUNTIF(F28:G28,"Sem acesso")+COUNTIF(H28,"Não ativado")</f>
        <v/>
      </c>
      <c r="J28" s="5">
        <f>IF(OR(F28="Chamado aberto",G28="Chamado aberto"),"INC-"&amp;TEXT(385537,"0"),"-")</f>
        <v/>
      </c>
    </row>
    <row r="29">
      <c r="A29" s="8" t="inlineStr">
        <is>
          <t>Edilene Ribeiro</t>
        </is>
      </c>
      <c r="B29" s="8" t="inlineStr">
        <is>
          <t>Emir Anjos</t>
        </is>
      </c>
      <c r="C29" s="5" t="inlineStr">
        <is>
          <t>Voz</t>
        </is>
      </c>
      <c r="D29" s="5" t="inlineStr">
        <is>
          <t>Tarde</t>
        </is>
      </c>
      <c r="E29" s="5" t="inlineStr">
        <is>
          <t>ATIVO(A)</t>
        </is>
      </c>
      <c r="F29" s="5" t="inlineStr">
        <is>
          <t>Sem acesso</t>
        </is>
      </c>
      <c r="G29" s="5" t="inlineStr">
        <is>
          <t>Sem acesso</t>
        </is>
      </c>
      <c r="H29" s="5" t="inlineStr">
        <is>
          <t>Não ativado</t>
        </is>
      </c>
      <c r="I29" s="5">
        <f>COUNTIF(F29:G29,"Pendente")+COUNTIF(F29:G29,"Sem acesso")+COUNTIF(H29,"Não ativado")</f>
        <v/>
      </c>
      <c r="J29" s="5">
        <f>IF(OR(F29="Chamado aberto",G29="Chamado aberto"),"INC-"&amp;TEXT(166174,"0"),"-")</f>
        <v/>
      </c>
    </row>
    <row r="30">
      <c r="A30" s="8" t="inlineStr">
        <is>
          <t>Evely Macedo</t>
        </is>
      </c>
      <c r="B30" s="8" t="inlineStr">
        <is>
          <t>Emir Anjos</t>
        </is>
      </c>
      <c r="C30" s="5" t="inlineStr">
        <is>
          <t>Voz</t>
        </is>
      </c>
      <c r="D30" s="5" t="inlineStr">
        <is>
          <t>Tarde</t>
        </is>
      </c>
      <c r="E30" s="5" t="inlineStr">
        <is>
          <t>ATIVO(A)</t>
        </is>
      </c>
      <c r="F30" s="5" t="inlineStr">
        <is>
          <t>Liberado</t>
        </is>
      </c>
      <c r="G30" s="5" t="inlineStr">
        <is>
          <t>Chamado aberto</t>
        </is>
      </c>
      <c r="H30" s="5" t="inlineStr">
        <is>
          <t>Ativado</t>
        </is>
      </c>
      <c r="I30" s="5">
        <f>COUNTIF(F30:G30,"Pendente")+COUNTIF(F30:G30,"Sem acesso")+COUNTIF(H30,"Não ativado")</f>
        <v/>
      </c>
      <c r="J30" s="5">
        <f>IF(OR(F30="Chamado aberto",G30="Chamado aberto"),"INC-"&amp;TEXT(896538,"0"),"-")</f>
        <v/>
      </c>
    </row>
    <row r="31">
      <c r="A31" s="8" t="inlineStr">
        <is>
          <t>Fernando Costa</t>
        </is>
      </c>
      <c r="B31" s="8" t="inlineStr">
        <is>
          <t>Emir Anjos</t>
        </is>
      </c>
      <c r="C31" s="5" t="inlineStr">
        <is>
          <t>Voz</t>
        </is>
      </c>
      <c r="D31" s="5" t="inlineStr">
        <is>
          <t>Manhã</t>
        </is>
      </c>
      <c r="E31" s="5" t="inlineStr">
        <is>
          <t>ATIVO(A)</t>
        </is>
      </c>
      <c r="F31" s="5" t="inlineStr">
        <is>
          <t>Liberado</t>
        </is>
      </c>
      <c r="G31" s="5" t="inlineStr">
        <is>
          <t>Liberado</t>
        </is>
      </c>
      <c r="H31" s="5" t="inlineStr">
        <is>
          <t>Não ativado</t>
        </is>
      </c>
      <c r="I31" s="5">
        <f>COUNTIF(F31:G31,"Pendente")+COUNTIF(F31:G31,"Sem acesso")+COUNTIF(H31,"Não ativado")</f>
        <v/>
      </c>
      <c r="J31" s="5">
        <f>IF(OR(F31="Chamado aberto",G31="Chamado aberto"),"INC-"&amp;TEXT(975804,"0"),"-")</f>
        <v/>
      </c>
    </row>
    <row r="32">
      <c r="A32" s="8" t="inlineStr">
        <is>
          <t>Francisco Alves</t>
        </is>
      </c>
      <c r="B32" s="8" t="inlineStr">
        <is>
          <t>Emir Anjos</t>
        </is>
      </c>
      <c r="C32" s="5" t="inlineStr">
        <is>
          <t>Voz</t>
        </is>
      </c>
      <c r="D32" s="5" t="inlineStr">
        <is>
          <t>Manhã</t>
        </is>
      </c>
      <c r="E32" s="5" t="inlineStr">
        <is>
          <t>ATIVO(A)</t>
        </is>
      </c>
      <c r="F32" s="5" t="inlineStr">
        <is>
          <t>Pendente</t>
        </is>
      </c>
      <c r="G32" s="5" t="inlineStr">
        <is>
          <t>Liberado</t>
        </is>
      </c>
      <c r="H32" s="5" t="inlineStr">
        <is>
          <t>Não ativado</t>
        </is>
      </c>
      <c r="I32" s="5">
        <f>COUNTIF(F32:G32,"Pendente")+COUNTIF(F32:G32,"Sem acesso")+COUNTIF(H32,"Não ativado")</f>
        <v/>
      </c>
      <c r="J32" s="5">
        <f>IF(OR(F32="Chamado aberto",G32="Chamado aberto"),"INC-"&amp;TEXT(456592,"0"),"-")</f>
        <v/>
      </c>
    </row>
    <row r="33">
      <c r="A33" s="8" t="inlineStr">
        <is>
          <t>Ian Nascimento</t>
        </is>
      </c>
      <c r="B33" s="8" t="inlineStr">
        <is>
          <t>Emir Anjos</t>
        </is>
      </c>
      <c r="C33" s="5" t="inlineStr">
        <is>
          <t>Voz</t>
        </is>
      </c>
      <c r="D33" s="5" t="inlineStr">
        <is>
          <t>Manhã</t>
        </is>
      </c>
      <c r="E33" s="5" t="inlineStr">
        <is>
          <t>ATIVO(A)</t>
        </is>
      </c>
      <c r="F33" s="5" t="inlineStr">
        <is>
          <t>Chamado aberto</t>
        </is>
      </c>
      <c r="G33" s="5" t="inlineStr">
        <is>
          <t>Liberado</t>
        </is>
      </c>
      <c r="H33" s="5" t="inlineStr">
        <is>
          <t>Ativado</t>
        </is>
      </c>
      <c r="I33" s="5">
        <f>COUNTIF(F33:G33,"Pendente")+COUNTIF(F33:G33,"Sem acesso")+COUNTIF(H33,"Não ativado")</f>
        <v/>
      </c>
      <c r="J33" s="5">
        <f>IF(OR(F33="Chamado aberto",G33="Chamado aberto"),"INC-"&amp;TEXT(597343,"0"),"-")</f>
        <v/>
      </c>
    </row>
    <row r="34">
      <c r="A34" s="8" t="inlineStr">
        <is>
          <t>Isabela Cruz</t>
        </is>
      </c>
      <c r="B34" s="8" t="inlineStr">
        <is>
          <t>Emir Anjos</t>
        </is>
      </c>
      <c r="C34" s="5" t="inlineStr">
        <is>
          <t>Voz</t>
        </is>
      </c>
      <c r="D34" s="5" t="inlineStr">
        <is>
          <t>Tarde</t>
        </is>
      </c>
      <c r="E34" s="5" t="inlineStr">
        <is>
          <t>ATIVO(A)</t>
        </is>
      </c>
      <c r="F34" s="5" t="inlineStr">
        <is>
          <t>Sem acesso</t>
        </is>
      </c>
      <c r="G34" s="5" t="inlineStr">
        <is>
          <t>Liberado</t>
        </is>
      </c>
      <c r="H34" s="5" t="inlineStr">
        <is>
          <t>Não ativado</t>
        </is>
      </c>
      <c r="I34" s="5">
        <f>COUNTIF(F34:G34,"Pendente")+COUNTIF(F34:G34,"Sem acesso")+COUNTIF(H34,"Não ativado")</f>
        <v/>
      </c>
      <c r="J34" s="5">
        <f>IF(OR(F34="Chamado aberto",G34="Chamado aberto"),"INC-"&amp;TEXT(804268,"0"),"-")</f>
        <v/>
      </c>
    </row>
    <row r="35">
      <c r="A35" s="8" t="inlineStr">
        <is>
          <t>Isabelly Lopes</t>
        </is>
      </c>
      <c r="B35" s="8" t="inlineStr">
        <is>
          <t>Emir Anjos</t>
        </is>
      </c>
      <c r="C35" s="5" t="inlineStr">
        <is>
          <t>Chat</t>
        </is>
      </c>
      <c r="D35" s="5" t="inlineStr">
        <is>
          <t>Tarde</t>
        </is>
      </c>
      <c r="E35" s="5" t="inlineStr">
        <is>
          <t>ATIVO(A)</t>
        </is>
      </c>
      <c r="F35" s="5" t="inlineStr">
        <is>
          <t>Liberado</t>
        </is>
      </c>
      <c r="G35" s="5" t="inlineStr">
        <is>
          <t>Sem acesso</t>
        </is>
      </c>
      <c r="H35" s="5" t="inlineStr">
        <is>
          <t>Não ativado</t>
        </is>
      </c>
      <c r="I35" s="5">
        <f>COUNTIF(F35:G35,"Pendente")+COUNTIF(F35:G35,"Sem acesso")+COUNTIF(H35,"Não ativado")</f>
        <v/>
      </c>
      <c r="J35" s="5">
        <f>IF(OR(F35="Chamado aberto",G35="Chamado aberto"),"INC-"&amp;TEXT(464783,"0"),"-")</f>
        <v/>
      </c>
    </row>
    <row r="36">
      <c r="A36" s="8" t="inlineStr">
        <is>
          <t>Karolina Nunes</t>
        </is>
      </c>
      <c r="B36" s="8" t="inlineStr">
        <is>
          <t>Emir Anjos</t>
        </is>
      </c>
      <c r="C36" s="5" t="inlineStr">
        <is>
          <t>Voz</t>
        </is>
      </c>
      <c r="D36" s="5" t="inlineStr">
        <is>
          <t>Tarde</t>
        </is>
      </c>
      <c r="E36" s="5" t="inlineStr">
        <is>
          <t>ATIVO(A)</t>
        </is>
      </c>
      <c r="F36" s="5" t="inlineStr">
        <is>
          <t>Liberado</t>
        </is>
      </c>
      <c r="G36" s="5" t="inlineStr">
        <is>
          <t>Chamado aberto</t>
        </is>
      </c>
      <c r="H36" s="5" t="inlineStr">
        <is>
          <t>Não ativado</t>
        </is>
      </c>
      <c r="I36" s="5">
        <f>COUNTIF(F36:G36,"Pendente")+COUNTIF(F36:G36,"Sem acesso")+COUNTIF(H36,"Não ativado")</f>
        <v/>
      </c>
      <c r="J36" s="5">
        <f>IF(OR(F36="Chamado aberto",G36="Chamado aberto"),"INC-"&amp;TEXT(873668,"0"),"-")</f>
        <v/>
      </c>
    </row>
    <row r="37">
      <c r="A37" s="8" t="inlineStr">
        <is>
          <t>Luana Lopes</t>
        </is>
      </c>
      <c r="B37" s="8" t="inlineStr">
        <is>
          <t>Emir Anjos</t>
        </is>
      </c>
      <c r="C37" s="5" t="inlineStr">
        <is>
          <t>Voz</t>
        </is>
      </c>
      <c r="D37" s="5" t="inlineStr">
        <is>
          <t>Tarde</t>
        </is>
      </c>
      <c r="E37" s="5" t="inlineStr">
        <is>
          <t>ATIVO(A)</t>
        </is>
      </c>
      <c r="F37" s="5" t="inlineStr">
        <is>
          <t>Pendente</t>
        </is>
      </c>
      <c r="G37" s="5" t="inlineStr">
        <is>
          <t>Liberado</t>
        </is>
      </c>
      <c r="H37" s="5" t="inlineStr">
        <is>
          <t>Ativado</t>
        </is>
      </c>
      <c r="I37" s="5">
        <f>COUNTIF(F37:G37,"Pendente")+COUNTIF(F37:G37,"Sem acesso")+COUNTIF(H37,"Não ativado")</f>
        <v/>
      </c>
      <c r="J37" s="5">
        <f>IF(OR(F37="Chamado aberto",G37="Chamado aberto"),"INC-"&amp;TEXT(821773,"0"),"-")</f>
        <v/>
      </c>
    </row>
    <row r="38">
      <c r="A38" s="8" t="inlineStr">
        <is>
          <t>Marcel Cruz</t>
        </is>
      </c>
      <c r="B38" s="8" t="inlineStr">
        <is>
          <t>Emir Anjos</t>
        </is>
      </c>
      <c r="C38" s="5" t="inlineStr">
        <is>
          <t>Chat</t>
        </is>
      </c>
      <c r="D38" s="5" t="inlineStr">
        <is>
          <t>Manhã</t>
        </is>
      </c>
      <c r="E38" s="5" t="inlineStr">
        <is>
          <t>ATIVO(A)</t>
        </is>
      </c>
      <c r="F38" s="5" t="inlineStr">
        <is>
          <t>Liberado</t>
        </is>
      </c>
      <c r="G38" s="5" t="inlineStr">
        <is>
          <t>Liberado</t>
        </is>
      </c>
      <c r="H38" s="5" t="inlineStr">
        <is>
          <t>Ativado</t>
        </is>
      </c>
      <c r="I38" s="5">
        <f>COUNTIF(F38:G38,"Pendente")+COUNTIF(F38:G38,"Sem acesso")+COUNTIF(H38,"Não ativado")</f>
        <v/>
      </c>
      <c r="J38" s="5">
        <f>IF(OR(F38="Chamado aberto",G38="Chamado aberto"),"INC-"&amp;TEXT(655053,"0"),"-")</f>
        <v/>
      </c>
    </row>
    <row r="39">
      <c r="A39" s="8" t="inlineStr">
        <is>
          <t>Mateus Reis</t>
        </is>
      </c>
      <c r="B39" s="8" t="inlineStr">
        <is>
          <t>Emir Anjos</t>
        </is>
      </c>
      <c r="C39" s="5" t="inlineStr">
        <is>
          <t>Voz</t>
        </is>
      </c>
      <c r="D39" s="5" t="inlineStr">
        <is>
          <t>Manhã</t>
        </is>
      </c>
      <c r="E39" s="5" t="inlineStr">
        <is>
          <t>ATIVO(A)</t>
        </is>
      </c>
      <c r="F39" s="5" t="inlineStr">
        <is>
          <t>Liberado</t>
        </is>
      </c>
      <c r="G39" s="5" t="inlineStr">
        <is>
          <t>Liberado</t>
        </is>
      </c>
      <c r="H39" s="5" t="inlineStr">
        <is>
          <t>Não ativado</t>
        </is>
      </c>
      <c r="I39" s="5">
        <f>COUNTIF(F39:G39,"Pendente")+COUNTIF(F39:G39,"Sem acesso")+COUNTIF(H39,"Não ativado")</f>
        <v/>
      </c>
      <c r="J39" s="5">
        <f>IF(OR(F39="Chamado aberto",G39="Chamado aberto"),"INC-"&amp;TEXT(995331,"0"),"-")</f>
        <v/>
      </c>
    </row>
    <row r="40">
      <c r="A40" s="8" t="inlineStr">
        <is>
          <t>Milton Conceição</t>
        </is>
      </c>
      <c r="B40" s="8" t="inlineStr">
        <is>
          <t>Emir Anjos</t>
        </is>
      </c>
      <c r="C40" s="5" t="inlineStr">
        <is>
          <t>Voz</t>
        </is>
      </c>
      <c r="D40" s="5" t="inlineStr">
        <is>
          <t>Manhã</t>
        </is>
      </c>
      <c r="E40" s="5" t="inlineStr">
        <is>
          <t>ATIVO(A)</t>
        </is>
      </c>
      <c r="F40" s="5" t="inlineStr">
        <is>
          <t>Pendente</t>
        </is>
      </c>
      <c r="G40" s="5" t="inlineStr">
        <is>
          <t>Liberado</t>
        </is>
      </c>
      <c r="H40" s="5" t="inlineStr">
        <is>
          <t>Ativado</t>
        </is>
      </c>
      <c r="I40" s="5">
        <f>COUNTIF(F40:G40,"Pendente")+COUNTIF(F40:G40,"Sem acesso")+COUNTIF(H40,"Não ativado")</f>
        <v/>
      </c>
      <c r="J40" s="5">
        <f>IF(OR(F40="Chamado aberto",G40="Chamado aberto"),"INC-"&amp;TEXT(854645,"0"),"-")</f>
        <v/>
      </c>
    </row>
    <row r="41">
      <c r="A41" s="8" t="inlineStr">
        <is>
          <t>Nicolly Cunha</t>
        </is>
      </c>
      <c r="B41" s="8" t="inlineStr">
        <is>
          <t>Emir Anjos</t>
        </is>
      </c>
      <c r="C41" s="5" t="inlineStr">
        <is>
          <t>Chat</t>
        </is>
      </c>
      <c r="D41" s="5" t="inlineStr">
        <is>
          <t>Manhã</t>
        </is>
      </c>
      <c r="E41" s="5" t="inlineStr">
        <is>
          <t>ATIVO(A)</t>
        </is>
      </c>
      <c r="F41" s="5" t="inlineStr">
        <is>
          <t>Não se aplica</t>
        </is>
      </c>
      <c r="G41" s="5" t="inlineStr">
        <is>
          <t>Pendente</t>
        </is>
      </c>
      <c r="H41" s="5" t="inlineStr">
        <is>
          <t>Ativado</t>
        </is>
      </c>
      <c r="I41" s="5">
        <f>COUNTIF(F41:G41,"Pendente")+COUNTIF(F41:G41,"Sem acesso")+COUNTIF(H41,"Não ativado")</f>
        <v/>
      </c>
      <c r="J41" s="5">
        <f>IF(OR(F41="Chamado aberto",G41="Chamado aberto"),"INC-"&amp;TEXT(746741,"0"),"-")</f>
        <v/>
      </c>
    </row>
    <row r="42">
      <c r="A42" s="8" t="inlineStr">
        <is>
          <t>Nicoly Freitas</t>
        </is>
      </c>
      <c r="B42" s="8" t="inlineStr">
        <is>
          <t>Emir Anjos</t>
        </is>
      </c>
      <c r="C42" s="5" t="inlineStr">
        <is>
          <t>Voz</t>
        </is>
      </c>
      <c r="D42" s="5" t="inlineStr">
        <is>
          <t>Tarde</t>
        </is>
      </c>
      <c r="E42" s="5" t="inlineStr">
        <is>
          <t>ATIVO(A)</t>
        </is>
      </c>
      <c r="F42" s="5" t="inlineStr">
        <is>
          <t>Sem acesso</t>
        </is>
      </c>
      <c r="G42" s="5" t="inlineStr">
        <is>
          <t>Sem acesso</t>
        </is>
      </c>
      <c r="H42" s="5" t="inlineStr">
        <is>
          <t>Trilha pendente</t>
        </is>
      </c>
      <c r="I42" s="5">
        <f>COUNTIF(F42:G42,"Pendente")+COUNTIF(F42:G42,"Sem acesso")+COUNTIF(H42,"Não ativado")</f>
        <v/>
      </c>
      <c r="J42" s="5">
        <f>IF(OR(F42="Chamado aberto",G42="Chamado aberto"),"INC-"&amp;TEXT(417368,"0"),"-")</f>
        <v/>
      </c>
    </row>
    <row r="43">
      <c r="A43" s="8" t="inlineStr">
        <is>
          <t>Nivaldo Barros</t>
        </is>
      </c>
      <c r="B43" s="8" t="inlineStr">
        <is>
          <t>Emir Anjos</t>
        </is>
      </c>
      <c r="C43" s="5" t="inlineStr">
        <is>
          <t>Chat</t>
        </is>
      </c>
      <c r="D43" s="5" t="inlineStr">
        <is>
          <t>Tarde</t>
        </is>
      </c>
      <c r="E43" s="5" t="inlineStr">
        <is>
          <t>ATIVO(A)</t>
        </is>
      </c>
      <c r="F43" s="5" t="inlineStr">
        <is>
          <t>Não se aplica</t>
        </is>
      </c>
      <c r="G43" s="5" t="inlineStr">
        <is>
          <t>Chamado aberto</t>
        </is>
      </c>
      <c r="H43" s="5" t="inlineStr">
        <is>
          <t>Não ativado</t>
        </is>
      </c>
      <c r="I43" s="5">
        <f>COUNTIF(F43:G43,"Pendente")+COUNTIF(F43:G43,"Sem acesso")+COUNTIF(H43,"Não ativado")</f>
        <v/>
      </c>
      <c r="J43" s="5">
        <f>IF(OR(F43="Chamado aberto",G43="Chamado aberto"),"INC-"&amp;TEXT(855409,"0"),"-")</f>
        <v/>
      </c>
    </row>
    <row r="44">
      <c r="A44" s="8" t="inlineStr">
        <is>
          <t>Paola Moraes</t>
        </is>
      </c>
      <c r="B44" s="8" t="inlineStr">
        <is>
          <t>Emir Anjos</t>
        </is>
      </c>
      <c r="C44" s="5" t="inlineStr">
        <is>
          <t>Voz</t>
        </is>
      </c>
      <c r="D44" s="5" t="inlineStr">
        <is>
          <t>Manhã</t>
        </is>
      </c>
      <c r="E44" s="5" t="inlineStr">
        <is>
          <t>ATIVO(A)</t>
        </is>
      </c>
      <c r="F44" s="5" t="inlineStr">
        <is>
          <t>Liberado</t>
        </is>
      </c>
      <c r="G44" s="5" t="inlineStr">
        <is>
          <t>Liberado</t>
        </is>
      </c>
      <c r="H44" s="5" t="inlineStr">
        <is>
          <t>Ativado</t>
        </is>
      </c>
      <c r="I44" s="5">
        <f>COUNTIF(F44:G44,"Pendente")+COUNTIF(F44:G44,"Sem acesso")+COUNTIF(H44,"Não ativado")</f>
        <v/>
      </c>
      <c r="J44" s="5">
        <f>IF(OR(F44="Chamado aberto",G44="Chamado aberto"),"INC-"&amp;TEXT(714935,"0"),"-")</f>
        <v/>
      </c>
    </row>
    <row r="45">
      <c r="A45" s="8" t="inlineStr">
        <is>
          <t>Sarah Dias</t>
        </is>
      </c>
      <c r="B45" s="8" t="inlineStr">
        <is>
          <t>Emir Anjos</t>
        </is>
      </c>
      <c r="C45" s="5" t="inlineStr">
        <is>
          <t>Voz</t>
        </is>
      </c>
      <c r="D45" s="5" t="inlineStr">
        <is>
          <t>Tarde</t>
        </is>
      </c>
      <c r="E45" s="5" t="inlineStr">
        <is>
          <t>ATIVO(A)</t>
        </is>
      </c>
      <c r="F45" s="5" t="inlineStr">
        <is>
          <t>Pendente</t>
        </is>
      </c>
      <c r="G45" s="5" t="inlineStr">
        <is>
          <t>Sem acesso</t>
        </is>
      </c>
      <c r="H45" s="5" t="inlineStr">
        <is>
          <t>Ativado</t>
        </is>
      </c>
      <c r="I45" s="5">
        <f>COUNTIF(F45:G45,"Pendente")+COUNTIF(F45:G45,"Sem acesso")+COUNTIF(H45,"Não ativado")</f>
        <v/>
      </c>
      <c r="J45" s="5">
        <f>IF(OR(F45="Chamado aberto",G45="Chamado aberto"),"INC-"&amp;TEXT(329678,"0"),"-")</f>
        <v/>
      </c>
    </row>
    <row r="46">
      <c r="A46" s="8" t="inlineStr">
        <is>
          <t>Thayna Alves</t>
        </is>
      </c>
      <c r="B46" s="8" t="inlineStr">
        <is>
          <t>Emir Anjos</t>
        </is>
      </c>
      <c r="C46" s="5" t="inlineStr">
        <is>
          <t>Chat</t>
        </is>
      </c>
      <c r="D46" s="5" t="inlineStr">
        <is>
          <t>Tarde</t>
        </is>
      </c>
      <c r="E46" s="5" t="inlineStr">
        <is>
          <t>ATIVO(A)</t>
        </is>
      </c>
      <c r="F46" s="5" t="inlineStr">
        <is>
          <t>Não se aplica</t>
        </is>
      </c>
      <c r="G46" s="5" t="inlineStr">
        <is>
          <t>Liberado</t>
        </is>
      </c>
      <c r="H46" s="5" t="inlineStr">
        <is>
          <t>Ativado</t>
        </is>
      </c>
      <c r="I46" s="5">
        <f>COUNTIF(F46:G46,"Pendente")+COUNTIF(F46:G46,"Sem acesso")+COUNTIF(H46,"Não ativado")</f>
        <v/>
      </c>
      <c r="J46" s="5">
        <f>IF(OR(F46="Chamado aberto",G46="Chamado aberto"),"INC-"&amp;TEXT(594493,"0"),"-")</f>
        <v/>
      </c>
    </row>
    <row r="47">
      <c r="A47" s="8" t="inlineStr">
        <is>
          <t>Vanyelle Vieira</t>
        </is>
      </c>
      <c r="B47" s="8" t="inlineStr">
        <is>
          <t>Emir Anjos</t>
        </is>
      </c>
      <c r="C47" s="5" t="inlineStr">
        <is>
          <t>Chat</t>
        </is>
      </c>
      <c r="D47" s="5" t="inlineStr">
        <is>
          <t>Manhã</t>
        </is>
      </c>
      <c r="E47" s="5" t="inlineStr">
        <is>
          <t>ATIVO(A)</t>
        </is>
      </c>
      <c r="F47" s="5" t="inlineStr">
        <is>
          <t>Não se aplica</t>
        </is>
      </c>
      <c r="G47" s="5" t="inlineStr">
        <is>
          <t>Liberado</t>
        </is>
      </c>
      <c r="H47" s="5" t="inlineStr">
        <is>
          <t>Ativado</t>
        </is>
      </c>
      <c r="I47" s="5">
        <f>COUNTIF(F47:G47,"Pendente")+COUNTIF(F47:G47,"Sem acesso")+COUNTIF(H47,"Não ativado")</f>
        <v/>
      </c>
      <c r="J47" s="5">
        <f>IF(OR(F47="Chamado aberto",G47="Chamado aberto"),"INC-"&amp;TEXT(240013,"0"),"-")</f>
        <v/>
      </c>
    </row>
    <row r="48">
      <c r="A48" s="8" t="inlineStr">
        <is>
          <t>Vinicius Lima</t>
        </is>
      </c>
      <c r="B48" s="8" t="inlineStr">
        <is>
          <t>Emir Anjos</t>
        </is>
      </c>
      <c r="C48" s="5" t="inlineStr">
        <is>
          <t>Chat</t>
        </is>
      </c>
      <c r="D48" s="5" t="inlineStr">
        <is>
          <t>Manhã</t>
        </is>
      </c>
      <c r="E48" s="5" t="inlineStr">
        <is>
          <t>ATIVO(A)</t>
        </is>
      </c>
      <c r="F48" s="5" t="inlineStr">
        <is>
          <t>Liberado</t>
        </is>
      </c>
      <c r="G48" s="5" t="inlineStr">
        <is>
          <t>Pendente</t>
        </is>
      </c>
      <c r="H48" s="5" t="inlineStr">
        <is>
          <t>Ativado</t>
        </is>
      </c>
      <c r="I48" s="5">
        <f>COUNTIF(F48:G48,"Pendente")+COUNTIF(F48:G48,"Sem acesso")+COUNTIF(H48,"Não ativado")</f>
        <v/>
      </c>
      <c r="J48" s="5">
        <f>IF(OR(F48="Chamado aberto",G48="Chamado aberto"),"INC-"&amp;TEXT(674955,"0"),"-")</f>
        <v/>
      </c>
    </row>
    <row r="49">
      <c r="A49" s="8" t="inlineStr">
        <is>
          <t>Yara Moraes</t>
        </is>
      </c>
      <c r="B49" s="8" t="inlineStr">
        <is>
          <t>Emir Anjos</t>
        </is>
      </c>
      <c r="C49" s="5" t="inlineStr">
        <is>
          <t>Chat</t>
        </is>
      </c>
      <c r="D49" s="5" t="inlineStr">
        <is>
          <t>Tarde</t>
        </is>
      </c>
      <c r="E49" s="5" t="inlineStr">
        <is>
          <t>ATIVO(A)</t>
        </is>
      </c>
      <c r="F49" s="5" t="inlineStr">
        <is>
          <t>Pendente</t>
        </is>
      </c>
      <c r="G49" s="5" t="inlineStr">
        <is>
          <t>Liberado</t>
        </is>
      </c>
      <c r="H49" s="5" t="inlineStr">
        <is>
          <t>Trilha pendente</t>
        </is>
      </c>
      <c r="I49" s="5">
        <f>COUNTIF(F49:G49,"Pendente")+COUNTIF(F49:G49,"Sem acesso")+COUNTIF(H49,"Não ativado")</f>
        <v/>
      </c>
      <c r="J49" s="5">
        <f>IF(OR(F49="Chamado aberto",G49="Chamado aberto"),"INC-"&amp;TEXT(794706,"0"),"-")</f>
        <v/>
      </c>
    </row>
    <row r="50">
      <c r="A50" s="8" t="inlineStr">
        <is>
          <t>Antonia Azevedo</t>
        </is>
      </c>
      <c r="B50" s="8" t="inlineStr">
        <is>
          <t>Francisco Nascimento</t>
        </is>
      </c>
      <c r="C50" s="5" t="inlineStr">
        <is>
          <t>Voz</t>
        </is>
      </c>
      <c r="D50" s="5" t="inlineStr">
        <is>
          <t>Tarde</t>
        </is>
      </c>
      <c r="E50" s="5" t="inlineStr">
        <is>
          <t>ATIVO(A)</t>
        </is>
      </c>
      <c r="F50" s="5" t="inlineStr">
        <is>
          <t>Sem acesso</t>
        </is>
      </c>
      <c r="G50" s="5" t="inlineStr">
        <is>
          <t>Liberado</t>
        </is>
      </c>
      <c r="H50" s="5" t="inlineStr">
        <is>
          <t>Ativado</t>
        </is>
      </c>
      <c r="I50" s="5">
        <f>COUNTIF(F50:G50,"Pendente")+COUNTIF(F50:G50,"Sem acesso")+COUNTIF(H50,"Não ativado")</f>
        <v/>
      </c>
      <c r="J50" s="5">
        <f>IF(OR(F50="Chamado aberto",G50="Chamado aberto"),"INC-"&amp;TEXT(349400,"0"),"-")</f>
        <v/>
      </c>
    </row>
    <row r="51">
      <c r="A51" s="8" t="inlineStr">
        <is>
          <t>Flavio Moraes</t>
        </is>
      </c>
      <c r="B51" s="8" t="inlineStr">
        <is>
          <t>Francisco Nascimento</t>
        </is>
      </c>
      <c r="C51" s="5" t="inlineStr">
        <is>
          <t>Voz</t>
        </is>
      </c>
      <c r="D51" s="5" t="inlineStr">
        <is>
          <t>Manhã</t>
        </is>
      </c>
      <c r="E51" s="5" t="inlineStr">
        <is>
          <t>ATIVO(A)</t>
        </is>
      </c>
      <c r="F51" s="5" t="inlineStr">
        <is>
          <t>Chamado aberto</t>
        </is>
      </c>
      <c r="G51" s="5" t="inlineStr">
        <is>
          <t>Liberado</t>
        </is>
      </c>
      <c r="H51" s="5" t="inlineStr">
        <is>
          <t>Ativado</t>
        </is>
      </c>
      <c r="I51" s="5">
        <f>COUNTIF(F51:G51,"Pendente")+COUNTIF(F51:G51,"Sem acesso")+COUNTIF(H51,"Não ativado")</f>
        <v/>
      </c>
      <c r="J51" s="5">
        <f>IF(OR(F51="Chamado aberto",G51="Chamado aberto"),"INC-"&amp;TEXT(467547,"0"),"-")</f>
        <v/>
      </c>
    </row>
    <row r="52">
      <c r="A52" s="8" t="inlineStr">
        <is>
          <t>Gabriela Teixeira</t>
        </is>
      </c>
      <c r="B52" s="8" t="inlineStr">
        <is>
          <t>Francisco Nascimento</t>
        </is>
      </c>
      <c r="C52" s="5" t="inlineStr">
        <is>
          <t>Voz</t>
        </is>
      </c>
      <c r="D52" s="5" t="inlineStr">
        <is>
          <t>Manhã</t>
        </is>
      </c>
      <c r="E52" s="5" t="inlineStr">
        <is>
          <t>ATIVO(A)</t>
        </is>
      </c>
      <c r="F52" s="5" t="inlineStr">
        <is>
          <t>Pendente</t>
        </is>
      </c>
      <c r="G52" s="5" t="inlineStr">
        <is>
          <t>Liberado</t>
        </is>
      </c>
      <c r="H52" s="5" t="inlineStr">
        <is>
          <t>Trilha pendente</t>
        </is>
      </c>
      <c r="I52" s="5">
        <f>COUNTIF(F52:G52,"Pendente")+COUNTIF(F52:G52,"Sem acesso")+COUNTIF(H52,"Não ativado")</f>
        <v/>
      </c>
      <c r="J52" s="5">
        <f>IF(OR(F52="Chamado aberto",G52="Chamado aberto"),"INC-"&amp;TEXT(220664,"0"),"-")</f>
        <v/>
      </c>
    </row>
    <row r="53">
      <c r="A53" s="8" t="inlineStr">
        <is>
          <t>Geovana Lima</t>
        </is>
      </c>
      <c r="B53" s="8" t="inlineStr">
        <is>
          <t>Francisco Nascimento</t>
        </is>
      </c>
      <c r="C53" s="5" t="inlineStr">
        <is>
          <t>Voz</t>
        </is>
      </c>
      <c r="D53" s="5" t="inlineStr">
        <is>
          <t>Manhã</t>
        </is>
      </c>
      <c r="E53" s="5" t="inlineStr">
        <is>
          <t>ATIVO(A)</t>
        </is>
      </c>
      <c r="F53" s="5" t="inlineStr">
        <is>
          <t>Chamado aberto</t>
        </is>
      </c>
      <c r="G53" s="5" t="inlineStr">
        <is>
          <t>Sem acesso</t>
        </is>
      </c>
      <c r="H53" s="5" t="inlineStr">
        <is>
          <t>Não ativado</t>
        </is>
      </c>
      <c r="I53" s="5">
        <f>COUNTIF(F53:G53,"Pendente")+COUNTIF(F53:G53,"Sem acesso")+COUNTIF(H53,"Não ativado")</f>
        <v/>
      </c>
      <c r="J53" s="5">
        <f>IF(OR(F53="Chamado aberto",G53="Chamado aberto"),"INC-"&amp;TEXT(137813,"0"),"-")</f>
        <v/>
      </c>
    </row>
    <row r="54">
      <c r="A54" s="8" t="inlineStr">
        <is>
          <t>Higor Vieira</t>
        </is>
      </c>
      <c r="B54" s="8" t="inlineStr">
        <is>
          <t>Francisco Nascimento</t>
        </is>
      </c>
      <c r="C54" s="5" t="inlineStr">
        <is>
          <t>Chat</t>
        </is>
      </c>
      <c r="D54" s="5" t="inlineStr">
        <is>
          <t>Tarde</t>
        </is>
      </c>
      <c r="E54" s="5" t="inlineStr">
        <is>
          <t>ATIVO(A)</t>
        </is>
      </c>
      <c r="F54" s="5" t="inlineStr">
        <is>
          <t>Não se aplica</t>
        </is>
      </c>
      <c r="G54" s="5" t="inlineStr">
        <is>
          <t>Liberado</t>
        </is>
      </c>
      <c r="H54" s="5" t="inlineStr">
        <is>
          <t>Ativado</t>
        </is>
      </c>
      <c r="I54" s="5">
        <f>COUNTIF(F54:G54,"Pendente")+COUNTIF(F54:G54,"Sem acesso")+COUNTIF(H54,"Não ativado")</f>
        <v/>
      </c>
      <c r="J54" s="5">
        <f>IF(OR(F54="Chamado aberto",G54="Chamado aberto"),"INC-"&amp;TEXT(409624,"0"),"-")</f>
        <v/>
      </c>
    </row>
    <row r="55">
      <c r="A55" s="8" t="inlineStr">
        <is>
          <t>Jheniffer Anjos</t>
        </is>
      </c>
      <c r="B55" s="8" t="inlineStr">
        <is>
          <t>Francisco Nascimento</t>
        </is>
      </c>
      <c r="C55" s="5" t="inlineStr">
        <is>
          <t>Chat</t>
        </is>
      </c>
      <c r="D55" s="5" t="inlineStr">
        <is>
          <t>Tarde</t>
        </is>
      </c>
      <c r="E55" s="5" t="inlineStr">
        <is>
          <t>ATIVO(A)</t>
        </is>
      </c>
      <c r="F55" s="5" t="inlineStr">
        <is>
          <t>Não se aplica</t>
        </is>
      </c>
      <c r="G55" s="5" t="inlineStr">
        <is>
          <t>Liberado</t>
        </is>
      </c>
      <c r="H55" s="5" t="inlineStr">
        <is>
          <t>Não ativado</t>
        </is>
      </c>
      <c r="I55" s="5">
        <f>COUNTIF(F55:G55,"Pendente")+COUNTIF(F55:G55,"Sem acesso")+COUNTIF(H55,"Não ativado")</f>
        <v/>
      </c>
      <c r="J55" s="5">
        <f>IF(OR(F55="Chamado aberto",G55="Chamado aberto"),"INC-"&amp;TEXT(468698,"0"),"-")</f>
        <v/>
      </c>
    </row>
    <row r="56">
      <c r="A56" s="8" t="inlineStr">
        <is>
          <t>Juliana Ribeiro</t>
        </is>
      </c>
      <c r="B56" s="8" t="inlineStr">
        <is>
          <t>Francisco Nascimento</t>
        </is>
      </c>
      <c r="C56" s="5" t="inlineStr">
        <is>
          <t>Voz</t>
        </is>
      </c>
      <c r="D56" s="5" t="inlineStr">
        <is>
          <t>Tarde</t>
        </is>
      </c>
      <c r="E56" s="5" t="inlineStr">
        <is>
          <t>ATIVO(A)</t>
        </is>
      </c>
      <c r="F56" s="5" t="inlineStr">
        <is>
          <t>Liberado</t>
        </is>
      </c>
      <c r="G56" s="5" t="inlineStr">
        <is>
          <t>Pendente</t>
        </is>
      </c>
      <c r="H56" s="5" t="inlineStr">
        <is>
          <t>Trilha pendente</t>
        </is>
      </c>
      <c r="I56" s="5">
        <f>COUNTIF(F56:G56,"Pendente")+COUNTIF(F56:G56,"Sem acesso")+COUNTIF(H56,"Não ativado")</f>
        <v/>
      </c>
      <c r="J56" s="5">
        <f>IF(OR(F56="Chamado aberto",G56="Chamado aberto"),"INC-"&amp;TEXT(952481,"0"),"-")</f>
        <v/>
      </c>
    </row>
    <row r="57">
      <c r="A57" s="8" t="inlineStr">
        <is>
          <t>Larissa Nunes</t>
        </is>
      </c>
      <c r="B57" s="8" t="inlineStr">
        <is>
          <t>Francisco Nascimento</t>
        </is>
      </c>
      <c r="C57" s="5" t="inlineStr">
        <is>
          <t>Voz</t>
        </is>
      </c>
      <c r="D57" s="5" t="inlineStr">
        <is>
          <t>Tarde</t>
        </is>
      </c>
      <c r="E57" s="5" t="inlineStr">
        <is>
          <t>ATIVO(A)</t>
        </is>
      </c>
      <c r="F57" s="5" t="inlineStr">
        <is>
          <t>Sem acesso</t>
        </is>
      </c>
      <c r="G57" s="5" t="inlineStr">
        <is>
          <t>Chamado aberto</t>
        </is>
      </c>
      <c r="H57" s="5" t="inlineStr">
        <is>
          <t>Não ativado</t>
        </is>
      </c>
      <c r="I57" s="5">
        <f>COUNTIF(F57:G57,"Pendente")+COUNTIF(F57:G57,"Sem acesso")+COUNTIF(H57,"Não ativado")</f>
        <v/>
      </c>
      <c r="J57" s="5">
        <f>IF(OR(F57="Chamado aberto",G57="Chamado aberto"),"INC-"&amp;TEXT(590180,"0"),"-")</f>
        <v/>
      </c>
    </row>
    <row r="58">
      <c r="A58" s="8" t="inlineStr">
        <is>
          <t>Ligia Vieira</t>
        </is>
      </c>
      <c r="B58" s="8" t="inlineStr">
        <is>
          <t>Francisco Nascimento</t>
        </is>
      </c>
      <c r="C58" s="5" t="inlineStr">
        <is>
          <t>Chat</t>
        </is>
      </c>
      <c r="D58" s="5" t="inlineStr">
        <is>
          <t>Manhã</t>
        </is>
      </c>
      <c r="E58" s="5" t="inlineStr">
        <is>
          <t>ATIVO(A)</t>
        </is>
      </c>
      <c r="F58" s="5" t="inlineStr">
        <is>
          <t>Sem acesso</t>
        </is>
      </c>
      <c r="G58" s="5" t="inlineStr">
        <is>
          <t>Pendente</t>
        </is>
      </c>
      <c r="H58" s="5" t="inlineStr">
        <is>
          <t>Trilha pendente</t>
        </is>
      </c>
      <c r="I58" s="5">
        <f>COUNTIF(F58:G58,"Pendente")+COUNTIF(F58:G58,"Sem acesso")+COUNTIF(H58,"Não ativado")</f>
        <v/>
      </c>
      <c r="J58" s="5">
        <f>IF(OR(F58="Chamado aberto",G58="Chamado aberto"),"INC-"&amp;TEXT(308831,"0"),"-")</f>
        <v/>
      </c>
    </row>
    <row r="59">
      <c r="A59" s="8" t="inlineStr">
        <is>
          <t>Luis Fonseca</t>
        </is>
      </c>
      <c r="B59" s="8" t="inlineStr">
        <is>
          <t>Francisco Nascimento</t>
        </is>
      </c>
      <c r="C59" s="5" t="inlineStr">
        <is>
          <t>Chat</t>
        </is>
      </c>
      <c r="D59" s="5" t="inlineStr">
        <is>
          <t>Tarde</t>
        </is>
      </c>
      <c r="E59" s="5" t="inlineStr">
        <is>
          <t>ATIVO(A)</t>
        </is>
      </c>
      <c r="F59" s="5" t="inlineStr">
        <is>
          <t>Não se aplica</t>
        </is>
      </c>
      <c r="G59" s="5" t="inlineStr">
        <is>
          <t>Sem acesso</t>
        </is>
      </c>
      <c r="H59" s="5" t="inlineStr">
        <is>
          <t>Ativado</t>
        </is>
      </c>
      <c r="I59" s="5">
        <f>COUNTIF(F59:G59,"Pendente")+COUNTIF(F59:G59,"Sem acesso")+COUNTIF(H59,"Não ativado")</f>
        <v/>
      </c>
      <c r="J59" s="5">
        <f>IF(OR(F59="Chamado aberto",G59="Chamado aberto"),"INC-"&amp;TEXT(468171,"0"),"-")</f>
        <v/>
      </c>
    </row>
    <row r="60">
      <c r="A60" s="8" t="inlineStr">
        <is>
          <t>Marcio Reis</t>
        </is>
      </c>
      <c r="B60" s="8" t="inlineStr">
        <is>
          <t>Francisco Nascimento</t>
        </is>
      </c>
      <c r="C60" s="5" t="inlineStr">
        <is>
          <t>Voz</t>
        </is>
      </c>
      <c r="D60" s="5" t="inlineStr">
        <is>
          <t>Tarde</t>
        </is>
      </c>
      <c r="E60" s="5" t="inlineStr">
        <is>
          <t>ATIVO(A)</t>
        </is>
      </c>
      <c r="F60" s="5" t="inlineStr">
        <is>
          <t>Chamado aberto</t>
        </is>
      </c>
      <c r="G60" s="5" t="inlineStr">
        <is>
          <t>Liberado</t>
        </is>
      </c>
      <c r="H60" s="5" t="inlineStr">
        <is>
          <t>Trilha pendente</t>
        </is>
      </c>
      <c r="I60" s="5">
        <f>COUNTIF(F60:G60,"Pendente")+COUNTIF(F60:G60,"Sem acesso")+COUNTIF(H60,"Não ativado")</f>
        <v/>
      </c>
      <c r="J60" s="5">
        <f>IF(OR(F60="Chamado aberto",G60="Chamado aberto"),"INC-"&amp;TEXT(213160,"0"),"-")</f>
        <v/>
      </c>
    </row>
    <row r="61">
      <c r="A61" s="8" t="inlineStr">
        <is>
          <t>Raphael Alves</t>
        </is>
      </c>
      <c r="B61" s="8" t="inlineStr">
        <is>
          <t>Francisco Nascimento</t>
        </is>
      </c>
      <c r="C61" s="5" t="inlineStr">
        <is>
          <t>Chat</t>
        </is>
      </c>
      <c r="D61" s="5" t="inlineStr">
        <is>
          <t>Tarde</t>
        </is>
      </c>
      <c r="E61" s="5" t="inlineStr">
        <is>
          <t>ATIVO(A)</t>
        </is>
      </c>
      <c r="F61" s="5" t="inlineStr">
        <is>
          <t>Sem acesso</t>
        </is>
      </c>
      <c r="G61" s="5" t="inlineStr">
        <is>
          <t>Sem acesso</t>
        </is>
      </c>
      <c r="H61" s="5" t="inlineStr">
        <is>
          <t>Ativado</t>
        </is>
      </c>
      <c r="I61" s="5">
        <f>COUNTIF(F61:G61,"Pendente")+COUNTIF(F61:G61,"Sem acesso")+COUNTIF(H61,"Não ativado")</f>
        <v/>
      </c>
      <c r="J61" s="5">
        <f>IF(OR(F61="Chamado aberto",G61="Chamado aberto"),"INC-"&amp;TEXT(441248,"0"),"-")</f>
        <v/>
      </c>
    </row>
    <row r="62">
      <c r="A62" s="8" t="inlineStr">
        <is>
          <t>Thaissa Freitas</t>
        </is>
      </c>
      <c r="B62" s="8" t="inlineStr">
        <is>
          <t>Francisco Nascimento</t>
        </is>
      </c>
      <c r="C62" s="5" t="inlineStr">
        <is>
          <t>Voz</t>
        </is>
      </c>
      <c r="D62" s="5" t="inlineStr">
        <is>
          <t>Tarde</t>
        </is>
      </c>
      <c r="E62" s="5" t="inlineStr">
        <is>
          <t>ATIVO(A)</t>
        </is>
      </c>
      <c r="F62" s="5" t="inlineStr">
        <is>
          <t>Chamado aberto</t>
        </is>
      </c>
      <c r="G62" s="5" t="inlineStr">
        <is>
          <t>Sem acesso</t>
        </is>
      </c>
      <c r="H62" s="5" t="inlineStr">
        <is>
          <t>Trilha pendente</t>
        </is>
      </c>
      <c r="I62" s="5">
        <f>COUNTIF(F62:G62,"Pendente")+COUNTIF(F62:G62,"Sem acesso")+COUNTIF(H62,"Não ativado")</f>
        <v/>
      </c>
      <c r="J62" s="5">
        <f>IF(OR(F62="Chamado aberto",G62="Chamado aberto"),"INC-"&amp;TEXT(550049,"0"),"-")</f>
        <v/>
      </c>
    </row>
    <row r="63">
      <c r="A63" s="8" t="inlineStr">
        <is>
          <t>Thalyne Dias</t>
        </is>
      </c>
      <c r="B63" s="8" t="inlineStr">
        <is>
          <t>Francisco Nascimento</t>
        </is>
      </c>
      <c r="C63" s="5" t="inlineStr">
        <is>
          <t>Voz</t>
        </is>
      </c>
      <c r="D63" s="5" t="inlineStr">
        <is>
          <t>Manhã</t>
        </is>
      </c>
      <c r="E63" s="5" t="inlineStr">
        <is>
          <t>ATIVO(A)</t>
        </is>
      </c>
      <c r="F63" s="5" t="inlineStr">
        <is>
          <t>Pendente</t>
        </is>
      </c>
      <c r="G63" s="5" t="inlineStr">
        <is>
          <t>Liberado</t>
        </is>
      </c>
      <c r="H63" s="5" t="inlineStr">
        <is>
          <t>Trilha pendente</t>
        </is>
      </c>
      <c r="I63" s="5">
        <f>COUNTIF(F63:G63,"Pendente")+COUNTIF(F63:G63,"Sem acesso")+COUNTIF(H63,"Não ativado")</f>
        <v/>
      </c>
      <c r="J63" s="5">
        <f>IF(OR(F63="Chamado aberto",G63="Chamado aberto"),"INC-"&amp;TEXT(405654,"0"),"-")</f>
        <v/>
      </c>
    </row>
    <row r="64">
      <c r="A64" s="8" t="inlineStr">
        <is>
          <t>Wellington Almeida</t>
        </is>
      </c>
      <c r="B64" s="8" t="inlineStr">
        <is>
          <t>Francisco Nascimento</t>
        </is>
      </c>
      <c r="C64" s="5" t="inlineStr">
        <is>
          <t>Voz</t>
        </is>
      </c>
      <c r="D64" s="5" t="inlineStr">
        <is>
          <t>Tarde</t>
        </is>
      </c>
      <c r="E64" s="5" t="inlineStr">
        <is>
          <t>ATIVO(A)</t>
        </is>
      </c>
      <c r="F64" s="5" t="inlineStr">
        <is>
          <t>Pendente</t>
        </is>
      </c>
      <c r="G64" s="5" t="inlineStr">
        <is>
          <t>Chamado aberto</t>
        </is>
      </c>
      <c r="H64" s="5" t="inlineStr">
        <is>
          <t>Trilha pendente</t>
        </is>
      </c>
      <c r="I64" s="5">
        <f>COUNTIF(F64:G64,"Pendente")+COUNTIF(F64:G64,"Sem acesso")+COUNTIF(H64,"Não ativado")</f>
        <v/>
      </c>
      <c r="J64" s="5">
        <f>IF(OR(F64="Chamado aberto",G64="Chamado aberto"),"INC-"&amp;TEXT(502539,"0"),"-")</f>
        <v/>
      </c>
    </row>
    <row r="65">
      <c r="A65" s="8" t="inlineStr">
        <is>
          <t>Andre Anjos</t>
        </is>
      </c>
      <c r="B65" s="8" t="inlineStr">
        <is>
          <t>Jaqueline Azevedo</t>
        </is>
      </c>
      <c r="C65" s="5" t="inlineStr">
        <is>
          <t>Chat</t>
        </is>
      </c>
      <c r="D65" s="5" t="inlineStr">
        <is>
          <t>Manhã</t>
        </is>
      </c>
      <c r="E65" s="5" t="inlineStr">
        <is>
          <t>ATIVO(A)</t>
        </is>
      </c>
      <c r="F65" s="5" t="inlineStr">
        <is>
          <t>Não se aplica</t>
        </is>
      </c>
      <c r="G65" s="5" t="inlineStr">
        <is>
          <t>Liberado</t>
        </is>
      </c>
      <c r="H65" s="5" t="inlineStr">
        <is>
          <t>Não ativado</t>
        </is>
      </c>
      <c r="I65" s="5">
        <f>COUNTIF(F65:G65,"Pendente")+COUNTIF(F65:G65,"Sem acesso")+COUNTIF(H65,"Não ativado")</f>
        <v/>
      </c>
      <c r="J65" s="5">
        <f>IF(OR(F65="Chamado aberto",G65="Chamado aberto"),"INC-"&amp;TEXT(877022,"0"),"-")</f>
        <v/>
      </c>
    </row>
    <row r="66">
      <c r="A66" s="8" t="inlineStr">
        <is>
          <t>Brenda Nunes</t>
        </is>
      </c>
      <c r="B66" s="8" t="inlineStr">
        <is>
          <t>Jaqueline Azevedo</t>
        </is>
      </c>
      <c r="C66" s="5" t="inlineStr">
        <is>
          <t>Voz</t>
        </is>
      </c>
      <c r="D66" s="5" t="inlineStr">
        <is>
          <t>Manhã</t>
        </is>
      </c>
      <c r="E66" s="5" t="inlineStr">
        <is>
          <t>ATIVO(A)</t>
        </is>
      </c>
      <c r="F66" s="5" t="inlineStr">
        <is>
          <t>Liberado</t>
        </is>
      </c>
      <c r="G66" s="5" t="inlineStr">
        <is>
          <t>Pendente</t>
        </is>
      </c>
      <c r="H66" s="5" t="inlineStr">
        <is>
          <t>Não ativado</t>
        </is>
      </c>
      <c r="I66" s="5">
        <f>COUNTIF(F66:G66,"Pendente")+COUNTIF(F66:G66,"Sem acesso")+COUNTIF(H66,"Não ativado")</f>
        <v/>
      </c>
      <c r="J66" s="5">
        <f>IF(OR(F66="Chamado aberto",G66="Chamado aberto"),"INC-"&amp;TEXT(535674,"0"),"-")</f>
        <v/>
      </c>
    </row>
    <row r="67">
      <c r="A67" s="8" t="inlineStr">
        <is>
          <t>Carolina Macedo</t>
        </is>
      </c>
      <c r="B67" s="8" t="inlineStr">
        <is>
          <t>Jaqueline Azevedo</t>
        </is>
      </c>
      <c r="C67" s="5" t="inlineStr">
        <is>
          <t>Voz</t>
        </is>
      </c>
      <c r="D67" s="5" t="inlineStr">
        <is>
          <t>Manhã</t>
        </is>
      </c>
      <c r="E67" s="5" t="inlineStr">
        <is>
          <t>FÉRIAS</t>
        </is>
      </c>
      <c r="F67" s="5" t="inlineStr">
        <is>
          <t>Liberado</t>
        </is>
      </c>
      <c r="G67" s="5" t="inlineStr">
        <is>
          <t>Liberado</t>
        </is>
      </c>
      <c r="H67" s="5" t="inlineStr">
        <is>
          <t>Não ativado</t>
        </is>
      </c>
      <c r="I67" s="5">
        <f>COUNTIF(F67:G67,"Pendente")+COUNTIF(F67:G67,"Sem acesso")+COUNTIF(H67,"Não ativado")</f>
        <v/>
      </c>
      <c r="J67" s="5">
        <f>IF(OR(F67="Chamado aberto",G67="Chamado aberto"),"INC-"&amp;TEXT(615642,"0"),"-")</f>
        <v/>
      </c>
    </row>
    <row r="68">
      <c r="A68" s="8" t="inlineStr">
        <is>
          <t>Cleanice Nascimento</t>
        </is>
      </c>
      <c r="B68" s="8" t="inlineStr">
        <is>
          <t>Jaqueline Azevedo</t>
        </is>
      </c>
      <c r="C68" s="5" t="inlineStr">
        <is>
          <t>Voz</t>
        </is>
      </c>
      <c r="D68" s="5" t="inlineStr">
        <is>
          <t>Manhã</t>
        </is>
      </c>
      <c r="E68" s="5" t="inlineStr">
        <is>
          <t>ATIVO(A)</t>
        </is>
      </c>
      <c r="F68" s="5" t="inlineStr">
        <is>
          <t>Liberado</t>
        </is>
      </c>
      <c r="G68" s="5" t="inlineStr">
        <is>
          <t>Liberado</t>
        </is>
      </c>
      <c r="H68" s="5" t="inlineStr">
        <is>
          <t>Trilha pendente</t>
        </is>
      </c>
      <c r="I68" s="5">
        <f>COUNTIF(F68:G68,"Pendente")+COUNTIF(F68:G68,"Sem acesso")+COUNTIF(H68,"Não ativado")</f>
        <v/>
      </c>
      <c r="J68" s="5">
        <f>IF(OR(F68="Chamado aberto",G68="Chamado aberto"),"INC-"&amp;TEXT(124929,"0"),"-")</f>
        <v/>
      </c>
    </row>
    <row r="69">
      <c r="A69" s="8" t="inlineStr">
        <is>
          <t>Crisvaldo Conceição</t>
        </is>
      </c>
      <c r="B69" s="8" t="inlineStr">
        <is>
          <t>Jaqueline Azevedo</t>
        </is>
      </c>
      <c r="C69" s="5" t="inlineStr">
        <is>
          <t>Chat</t>
        </is>
      </c>
      <c r="D69" s="5" t="inlineStr">
        <is>
          <t>Tarde</t>
        </is>
      </c>
      <c r="E69" s="5" t="inlineStr">
        <is>
          <t>ATIVO(A)</t>
        </is>
      </c>
      <c r="F69" s="5" t="inlineStr">
        <is>
          <t>Sem acesso</t>
        </is>
      </c>
      <c r="G69" s="5" t="inlineStr">
        <is>
          <t>Pendente</t>
        </is>
      </c>
      <c r="H69" s="5" t="inlineStr">
        <is>
          <t>Ativado</t>
        </is>
      </c>
      <c r="I69" s="5">
        <f>COUNTIF(F69:G69,"Pendente")+COUNTIF(F69:G69,"Sem acesso")+COUNTIF(H69,"Não ativado")</f>
        <v/>
      </c>
      <c r="J69" s="5">
        <f>IF(OR(F69="Chamado aberto",G69="Chamado aberto"),"INC-"&amp;TEXT(407340,"0"),"-")</f>
        <v/>
      </c>
    </row>
    <row r="70">
      <c r="A70" s="8" t="inlineStr">
        <is>
          <t>Eduarda Vieira</t>
        </is>
      </c>
      <c r="B70" s="8" t="inlineStr">
        <is>
          <t>Jaqueline Azevedo</t>
        </is>
      </c>
      <c r="C70" s="5" t="inlineStr">
        <is>
          <t>Chat</t>
        </is>
      </c>
      <c r="D70" s="5" t="inlineStr">
        <is>
          <t>Tarde</t>
        </is>
      </c>
      <c r="E70" s="5" t="inlineStr">
        <is>
          <t>ATIVO(A)</t>
        </is>
      </c>
      <c r="F70" s="5" t="inlineStr">
        <is>
          <t>Liberado</t>
        </is>
      </c>
      <c r="G70" s="5" t="inlineStr">
        <is>
          <t>Pendente</t>
        </is>
      </c>
      <c r="H70" s="5" t="inlineStr">
        <is>
          <t>Ativado</t>
        </is>
      </c>
      <c r="I70" s="5">
        <f>COUNTIF(F70:G70,"Pendente")+COUNTIF(F70:G70,"Sem acesso")+COUNTIF(H70,"Não ativado")</f>
        <v/>
      </c>
      <c r="J70" s="5">
        <f>IF(OR(F70="Chamado aberto",G70="Chamado aberto"),"INC-"&amp;TEXT(603627,"0"),"-")</f>
        <v/>
      </c>
    </row>
    <row r="71">
      <c r="A71" s="8" t="inlineStr">
        <is>
          <t>Gabriel Cardoso</t>
        </is>
      </c>
      <c r="B71" s="8" t="inlineStr">
        <is>
          <t>Jaqueline Azevedo</t>
        </is>
      </c>
      <c r="C71" s="5" t="inlineStr">
        <is>
          <t>Voz</t>
        </is>
      </c>
      <c r="D71" s="5" t="inlineStr">
        <is>
          <t>Tarde</t>
        </is>
      </c>
      <c r="E71" s="5" t="inlineStr">
        <is>
          <t>ATIVO(A)</t>
        </is>
      </c>
      <c r="F71" s="5" t="inlineStr">
        <is>
          <t>Sem acesso</t>
        </is>
      </c>
      <c r="G71" s="5" t="inlineStr">
        <is>
          <t>Sem acesso</t>
        </is>
      </c>
      <c r="H71" s="5" t="inlineStr">
        <is>
          <t>Não ativado</t>
        </is>
      </c>
      <c r="I71" s="5">
        <f>COUNTIF(F71:G71,"Pendente")+COUNTIF(F71:G71,"Sem acesso")+COUNTIF(H71,"Não ativado")</f>
        <v/>
      </c>
      <c r="J71" s="5">
        <f>IF(OR(F71="Chamado aberto",G71="Chamado aberto"),"INC-"&amp;TEXT(355298,"0"),"-")</f>
        <v/>
      </c>
    </row>
    <row r="72">
      <c r="A72" s="8" t="inlineStr">
        <is>
          <t>Gloria Fernandes</t>
        </is>
      </c>
      <c r="B72" s="8" t="inlineStr">
        <is>
          <t>Jaqueline Azevedo</t>
        </is>
      </c>
      <c r="C72" s="5" t="inlineStr">
        <is>
          <t>Chat</t>
        </is>
      </c>
      <c r="D72" s="5" t="inlineStr">
        <is>
          <t>Manhã</t>
        </is>
      </c>
      <c r="E72" s="5" t="inlineStr">
        <is>
          <t>FÉRIAS</t>
        </is>
      </c>
      <c r="F72" s="5" t="inlineStr">
        <is>
          <t>Não se aplica</t>
        </is>
      </c>
      <c r="G72" s="5" t="inlineStr">
        <is>
          <t>Liberado</t>
        </is>
      </c>
      <c r="H72" s="5" t="inlineStr">
        <is>
          <t>Ativado</t>
        </is>
      </c>
      <c r="I72" s="5">
        <f>COUNTIF(F72:G72,"Pendente")+COUNTIF(F72:G72,"Sem acesso")+COUNTIF(H72,"Não ativado")</f>
        <v/>
      </c>
      <c r="J72" s="5">
        <f>IF(OR(F72="Chamado aberto",G72="Chamado aberto"),"INC-"&amp;TEXT(613926,"0"),"-")</f>
        <v/>
      </c>
    </row>
    <row r="73">
      <c r="A73" s="8" t="inlineStr">
        <is>
          <t>Jose Almeida</t>
        </is>
      </c>
      <c r="B73" s="8" t="inlineStr">
        <is>
          <t>Jaqueline Azevedo</t>
        </is>
      </c>
      <c r="C73" s="5" t="inlineStr">
        <is>
          <t>Chat</t>
        </is>
      </c>
      <c r="D73" s="5" t="inlineStr">
        <is>
          <t>Tarde</t>
        </is>
      </c>
      <c r="E73" s="5" t="inlineStr">
        <is>
          <t>ATIVO(A)</t>
        </is>
      </c>
      <c r="F73" s="5" t="inlineStr">
        <is>
          <t>Liberado</t>
        </is>
      </c>
      <c r="G73" s="5" t="inlineStr">
        <is>
          <t>Chamado aberto</t>
        </is>
      </c>
      <c r="H73" s="5" t="inlineStr">
        <is>
          <t>Não ativado</t>
        </is>
      </c>
      <c r="I73" s="5">
        <f>COUNTIF(F73:G73,"Pendente")+COUNTIF(F73:G73,"Sem acesso")+COUNTIF(H73,"Não ativado")</f>
        <v/>
      </c>
      <c r="J73" s="5">
        <f>IF(OR(F73="Chamado aberto",G73="Chamado aberto"),"INC-"&amp;TEXT(407430,"0"),"-")</f>
        <v/>
      </c>
    </row>
    <row r="74">
      <c r="A74" s="8" t="inlineStr">
        <is>
          <t>Julio Campos</t>
        </is>
      </c>
      <c r="B74" s="8" t="inlineStr">
        <is>
          <t>Jaqueline Azevedo</t>
        </is>
      </c>
      <c r="C74" s="5" t="inlineStr">
        <is>
          <t>Voz</t>
        </is>
      </c>
      <c r="D74" s="5" t="inlineStr">
        <is>
          <t>Tarde</t>
        </is>
      </c>
      <c r="E74" s="5" t="inlineStr">
        <is>
          <t>ATIVO(A)</t>
        </is>
      </c>
      <c r="F74" s="5" t="inlineStr">
        <is>
          <t>Pendente</t>
        </is>
      </c>
      <c r="G74" s="5" t="inlineStr">
        <is>
          <t>Sem acesso</t>
        </is>
      </c>
      <c r="H74" s="5" t="inlineStr">
        <is>
          <t>Trilha pendente</t>
        </is>
      </c>
      <c r="I74" s="5">
        <f>COUNTIF(F74:G74,"Pendente")+COUNTIF(F74:G74,"Sem acesso")+COUNTIF(H74,"Não ativado")</f>
        <v/>
      </c>
      <c r="J74" s="5">
        <f>IF(OR(F74="Chamado aberto",G74="Chamado aberto"),"INC-"&amp;TEXT(643392,"0"),"-")</f>
        <v/>
      </c>
    </row>
    <row r="75">
      <c r="A75" s="8" t="inlineStr">
        <is>
          <t>Karoline Pacheco</t>
        </is>
      </c>
      <c r="B75" s="8" t="inlineStr">
        <is>
          <t>Jaqueline Azevedo</t>
        </is>
      </c>
      <c r="C75" s="5" t="inlineStr">
        <is>
          <t>Chat</t>
        </is>
      </c>
      <c r="D75" s="5" t="inlineStr">
        <is>
          <t>Tarde</t>
        </is>
      </c>
      <c r="E75" s="5" t="inlineStr">
        <is>
          <t>ATIVO(A)</t>
        </is>
      </c>
      <c r="F75" s="5" t="inlineStr">
        <is>
          <t>Não se aplica</t>
        </is>
      </c>
      <c r="G75" s="5" t="inlineStr">
        <is>
          <t>Sem acesso</t>
        </is>
      </c>
      <c r="H75" s="5" t="inlineStr">
        <is>
          <t>Ativado</t>
        </is>
      </c>
      <c r="I75" s="5">
        <f>COUNTIF(F75:G75,"Pendente")+COUNTIF(F75:G75,"Sem acesso")+COUNTIF(H75,"Não ativado")</f>
        <v/>
      </c>
      <c r="J75" s="5">
        <f>IF(OR(F75="Chamado aberto",G75="Chamado aberto"),"INC-"&amp;TEXT(116958,"0"),"-")</f>
        <v/>
      </c>
    </row>
    <row r="76">
      <c r="A76" s="8" t="inlineStr">
        <is>
          <t>Leandro Sousa</t>
        </is>
      </c>
      <c r="B76" s="8" t="inlineStr">
        <is>
          <t>Jaqueline Azevedo</t>
        </is>
      </c>
      <c r="C76" s="5" t="inlineStr">
        <is>
          <t>Chat</t>
        </is>
      </c>
      <c r="D76" s="5" t="inlineStr">
        <is>
          <t>Tarde</t>
        </is>
      </c>
      <c r="E76" s="5" t="inlineStr">
        <is>
          <t>ATIVO(A)</t>
        </is>
      </c>
      <c r="F76" s="5" t="inlineStr">
        <is>
          <t>Não se aplica</t>
        </is>
      </c>
      <c r="G76" s="5" t="inlineStr">
        <is>
          <t>Liberado</t>
        </is>
      </c>
      <c r="H76" s="5" t="inlineStr">
        <is>
          <t>Não ativado</t>
        </is>
      </c>
      <c r="I76" s="5">
        <f>COUNTIF(F76:G76,"Pendente")+COUNTIF(F76:G76,"Sem acesso")+COUNTIF(H76,"Não ativado")</f>
        <v/>
      </c>
      <c r="J76" s="5">
        <f>IF(OR(F76="Chamado aberto",G76="Chamado aberto"),"INC-"&amp;TEXT(659413,"0"),"-")</f>
        <v/>
      </c>
    </row>
    <row r="77">
      <c r="A77" s="8" t="inlineStr">
        <is>
          <t>Leno Sousa</t>
        </is>
      </c>
      <c r="B77" s="8" t="inlineStr">
        <is>
          <t>Jaqueline Azevedo</t>
        </is>
      </c>
      <c r="C77" s="5" t="inlineStr">
        <is>
          <t>Voz</t>
        </is>
      </c>
      <c r="D77" s="5" t="inlineStr">
        <is>
          <t>Tarde</t>
        </is>
      </c>
      <c r="E77" s="5" t="inlineStr">
        <is>
          <t>AVISO PRÉVIO</t>
        </is>
      </c>
      <c r="F77" s="5" t="inlineStr">
        <is>
          <t>Chamado aberto</t>
        </is>
      </c>
      <c r="G77" s="5" t="inlineStr">
        <is>
          <t>Liberado</t>
        </is>
      </c>
      <c r="H77" s="5" t="inlineStr">
        <is>
          <t>Não ativado</t>
        </is>
      </c>
      <c r="I77" s="5">
        <f>COUNTIF(F77:G77,"Pendente")+COUNTIF(F77:G77,"Sem acesso")+COUNTIF(H77,"Não ativado")</f>
        <v/>
      </c>
      <c r="J77" s="5">
        <f>IF(OR(F77="Chamado aberto",G77="Chamado aberto"),"INC-"&amp;TEXT(866798,"0"),"-")</f>
        <v/>
      </c>
    </row>
    <row r="78">
      <c r="A78" s="8" t="inlineStr">
        <is>
          <t>Leonardo Morais</t>
        </is>
      </c>
      <c r="B78" s="8" t="inlineStr">
        <is>
          <t>Jaqueline Azevedo</t>
        </is>
      </c>
      <c r="C78" s="5" t="inlineStr">
        <is>
          <t>Voz</t>
        </is>
      </c>
      <c r="D78" s="5" t="inlineStr">
        <is>
          <t>Tarde</t>
        </is>
      </c>
      <c r="E78" s="5" t="inlineStr">
        <is>
          <t>ATIVO(A)</t>
        </is>
      </c>
      <c r="F78" s="5" t="inlineStr">
        <is>
          <t>Sem acesso</t>
        </is>
      </c>
      <c r="G78" s="5" t="inlineStr">
        <is>
          <t>Liberado</t>
        </is>
      </c>
      <c r="H78" s="5" t="inlineStr">
        <is>
          <t>Trilha pendente</t>
        </is>
      </c>
      <c r="I78" s="5">
        <f>COUNTIF(F78:G78,"Pendente")+COUNTIF(F78:G78,"Sem acesso")+COUNTIF(H78,"Não ativado")</f>
        <v/>
      </c>
      <c r="J78" s="5">
        <f>IF(OR(F78="Chamado aberto",G78="Chamado aberto"),"INC-"&amp;TEXT(466754,"0"),"-")</f>
        <v/>
      </c>
    </row>
    <row r="79">
      <c r="A79" s="8" t="inlineStr">
        <is>
          <t>Leticia Mendes</t>
        </is>
      </c>
      <c r="B79" s="8" t="inlineStr">
        <is>
          <t>Jaqueline Azevedo</t>
        </is>
      </c>
      <c r="C79" s="5" t="inlineStr">
        <is>
          <t>Chat</t>
        </is>
      </c>
      <c r="D79" s="5" t="inlineStr">
        <is>
          <t>Tarde</t>
        </is>
      </c>
      <c r="E79" s="5" t="inlineStr">
        <is>
          <t>ATIVO(A)</t>
        </is>
      </c>
      <c r="F79" s="5" t="inlineStr">
        <is>
          <t>Chamado aberto</t>
        </is>
      </c>
      <c r="G79" s="5" t="inlineStr">
        <is>
          <t>Sem acesso</t>
        </is>
      </c>
      <c r="H79" s="5" t="inlineStr">
        <is>
          <t>Ativado</t>
        </is>
      </c>
      <c r="I79" s="5">
        <f>COUNTIF(F79:G79,"Pendente")+COUNTIF(F79:G79,"Sem acesso")+COUNTIF(H79,"Não ativado")</f>
        <v/>
      </c>
      <c r="J79" s="5">
        <f>IF(OR(F79="Chamado aberto",G79="Chamado aberto"),"INC-"&amp;TEXT(138198,"0"),"-")</f>
        <v/>
      </c>
    </row>
    <row r="80">
      <c r="A80" s="8" t="inlineStr">
        <is>
          <t>Manoely Macedo</t>
        </is>
      </c>
      <c r="B80" s="8" t="inlineStr">
        <is>
          <t>Jaqueline Azevedo</t>
        </is>
      </c>
      <c r="C80" s="5" t="inlineStr">
        <is>
          <t>Voz</t>
        </is>
      </c>
      <c r="D80" s="5" t="inlineStr">
        <is>
          <t>Manhã</t>
        </is>
      </c>
      <c r="E80" s="5" t="inlineStr">
        <is>
          <t>ATIVO(A)</t>
        </is>
      </c>
      <c r="F80" s="5" t="inlineStr">
        <is>
          <t>Liberado</t>
        </is>
      </c>
      <c r="G80" s="5" t="inlineStr">
        <is>
          <t>Liberado</t>
        </is>
      </c>
      <c r="H80" s="5" t="inlineStr">
        <is>
          <t>Trilha pendente</t>
        </is>
      </c>
      <c r="I80" s="5">
        <f>COUNTIF(F80:G80,"Pendente")+COUNTIF(F80:G80,"Sem acesso")+COUNTIF(H80,"Não ativado")</f>
        <v/>
      </c>
      <c r="J80" s="5">
        <f>IF(OR(F80="Chamado aberto",G80="Chamado aberto"),"INC-"&amp;TEXT(819043,"0"),"-")</f>
        <v/>
      </c>
    </row>
    <row r="81">
      <c r="A81" s="8" t="inlineStr">
        <is>
          <t>Marcelo Ferreira</t>
        </is>
      </c>
      <c r="B81" s="8" t="inlineStr">
        <is>
          <t>Jaqueline Azevedo</t>
        </is>
      </c>
      <c r="C81" s="5" t="inlineStr">
        <is>
          <t>Chat</t>
        </is>
      </c>
      <c r="D81" s="5" t="inlineStr">
        <is>
          <t>Tarde</t>
        </is>
      </c>
      <c r="E81" s="5" t="inlineStr">
        <is>
          <t>ATIVO(A)</t>
        </is>
      </c>
      <c r="F81" s="5" t="inlineStr">
        <is>
          <t>Não se aplica</t>
        </is>
      </c>
      <c r="G81" s="5" t="inlineStr">
        <is>
          <t>Chamado aberto</t>
        </is>
      </c>
      <c r="H81" s="5" t="inlineStr">
        <is>
          <t>Ativado</t>
        </is>
      </c>
      <c r="I81" s="5">
        <f>COUNTIF(F81:G81,"Pendente")+COUNTIF(F81:G81,"Sem acesso")+COUNTIF(H81,"Não ativado")</f>
        <v/>
      </c>
      <c r="J81" s="5">
        <f>IF(OR(F81="Chamado aberto",G81="Chamado aberto"),"INC-"&amp;TEXT(115267,"0"),"-")</f>
        <v/>
      </c>
    </row>
    <row r="82">
      <c r="A82" s="8" t="inlineStr">
        <is>
          <t>Marli Oliveira</t>
        </is>
      </c>
      <c r="B82" s="8" t="inlineStr">
        <is>
          <t>Jaqueline Azevedo</t>
        </is>
      </c>
      <c r="C82" s="5" t="inlineStr">
        <is>
          <t>Voz</t>
        </is>
      </c>
      <c r="D82" s="5" t="inlineStr">
        <is>
          <t>Manhã</t>
        </is>
      </c>
      <c r="E82" s="5" t="inlineStr">
        <is>
          <t>ATIVO(A)</t>
        </is>
      </c>
      <c r="F82" s="5" t="inlineStr">
        <is>
          <t>Pendente</t>
        </is>
      </c>
      <c r="G82" s="5" t="inlineStr">
        <is>
          <t>Pendente</t>
        </is>
      </c>
      <c r="H82" s="5" t="inlineStr">
        <is>
          <t>Trilha pendente</t>
        </is>
      </c>
      <c r="I82" s="5">
        <f>COUNTIF(F82:G82,"Pendente")+COUNTIF(F82:G82,"Sem acesso")+COUNTIF(H82,"Não ativado")</f>
        <v/>
      </c>
      <c r="J82" s="5">
        <f>IF(OR(F82="Chamado aberto",G82="Chamado aberto"),"INC-"&amp;TEXT(982062,"0"),"-")</f>
        <v/>
      </c>
    </row>
    <row r="83">
      <c r="A83" s="8" t="inlineStr">
        <is>
          <t>Nelson Costa</t>
        </is>
      </c>
      <c r="B83" s="8" t="inlineStr">
        <is>
          <t>Jaqueline Azevedo</t>
        </is>
      </c>
      <c r="C83" s="5" t="inlineStr">
        <is>
          <t>Chat</t>
        </is>
      </c>
      <c r="D83" s="5" t="inlineStr">
        <is>
          <t>Manhã</t>
        </is>
      </c>
      <c r="E83" s="5" t="inlineStr">
        <is>
          <t>ATIVO(A)</t>
        </is>
      </c>
      <c r="F83" s="5" t="inlineStr">
        <is>
          <t>Pendente</t>
        </is>
      </c>
      <c r="G83" s="5" t="inlineStr">
        <is>
          <t>Chamado aberto</t>
        </is>
      </c>
      <c r="H83" s="5" t="inlineStr">
        <is>
          <t>Ativado</t>
        </is>
      </c>
      <c r="I83" s="5">
        <f>COUNTIF(F83:G83,"Pendente")+COUNTIF(F83:G83,"Sem acesso")+COUNTIF(H83,"Não ativado")</f>
        <v/>
      </c>
      <c r="J83" s="5">
        <f>IF(OR(F83="Chamado aberto",G83="Chamado aberto"),"INC-"&amp;TEXT(410848,"0"),"-")</f>
        <v/>
      </c>
    </row>
    <row r="84">
      <c r="A84" s="8" t="inlineStr">
        <is>
          <t>Raissa Barbosa</t>
        </is>
      </c>
      <c r="B84" s="8" t="inlineStr">
        <is>
          <t>Jaqueline Azevedo</t>
        </is>
      </c>
      <c r="C84" s="5" t="inlineStr">
        <is>
          <t>Chat</t>
        </is>
      </c>
      <c r="D84" s="5" t="inlineStr">
        <is>
          <t>Manhã</t>
        </is>
      </c>
      <c r="E84" s="5" t="inlineStr">
        <is>
          <t>FÉRIAS</t>
        </is>
      </c>
      <c r="F84" s="5" t="inlineStr">
        <is>
          <t>Liberado</t>
        </is>
      </c>
      <c r="G84" s="5" t="inlineStr">
        <is>
          <t>Liberado</t>
        </is>
      </c>
      <c r="H84" s="5" t="inlineStr">
        <is>
          <t>Ativado</t>
        </is>
      </c>
      <c r="I84" s="5">
        <f>COUNTIF(F84:G84,"Pendente")+COUNTIF(F84:G84,"Sem acesso")+COUNTIF(H84,"Não ativado")</f>
        <v/>
      </c>
      <c r="J84" s="5">
        <f>IF(OR(F84="Chamado aberto",G84="Chamado aberto"),"INC-"&amp;TEXT(828363,"0"),"-")</f>
        <v/>
      </c>
    </row>
    <row r="85">
      <c r="A85" s="8" t="inlineStr">
        <is>
          <t>Washigton Nunes</t>
        </is>
      </c>
      <c r="B85" s="8" t="inlineStr">
        <is>
          <t>Jaqueline Azevedo</t>
        </is>
      </c>
      <c r="C85" s="5" t="inlineStr">
        <is>
          <t>Chat</t>
        </is>
      </c>
      <c r="D85" s="5" t="inlineStr">
        <is>
          <t>Tarde</t>
        </is>
      </c>
      <c r="E85" s="5" t="inlineStr">
        <is>
          <t>ATIVO(A)</t>
        </is>
      </c>
      <c r="F85" s="5" t="inlineStr">
        <is>
          <t>Não se aplica</t>
        </is>
      </c>
      <c r="G85" s="5" t="inlineStr">
        <is>
          <t>Sem acesso</t>
        </is>
      </c>
      <c r="H85" s="5" t="inlineStr">
        <is>
          <t>Não ativado</t>
        </is>
      </c>
      <c r="I85" s="5">
        <f>COUNTIF(F85:G85,"Pendente")+COUNTIF(F85:G85,"Sem acesso")+COUNTIF(H85,"Não ativado")</f>
        <v/>
      </c>
      <c r="J85" s="5">
        <f>IF(OR(F85="Chamado aberto",G85="Chamado aberto"),"INC-"&amp;TEXT(779890,"0"),"-")</f>
        <v/>
      </c>
    </row>
    <row r="86">
      <c r="A86" s="8" t="inlineStr">
        <is>
          <t>Wendela Morais</t>
        </is>
      </c>
      <c r="B86" s="8" t="inlineStr">
        <is>
          <t>Jaqueline Azevedo</t>
        </is>
      </c>
      <c r="C86" s="5" t="inlineStr">
        <is>
          <t>Voz</t>
        </is>
      </c>
      <c r="D86" s="5" t="inlineStr">
        <is>
          <t>Manhã</t>
        </is>
      </c>
      <c r="E86" s="5" t="inlineStr">
        <is>
          <t>ATIVO(A)</t>
        </is>
      </c>
      <c r="F86" s="5" t="inlineStr">
        <is>
          <t>Pendente</t>
        </is>
      </c>
      <c r="G86" s="5" t="inlineStr">
        <is>
          <t>Liberado</t>
        </is>
      </c>
      <c r="H86" s="5" t="inlineStr">
        <is>
          <t>Ativado</t>
        </is>
      </c>
      <c r="I86" s="5">
        <f>COUNTIF(F86:G86,"Pendente")+COUNTIF(F86:G86,"Sem acesso")+COUNTIF(H86,"Não ativado")</f>
        <v/>
      </c>
      <c r="J86" s="5">
        <f>IF(OR(F86="Chamado aberto",G86="Chamado aberto"),"INC-"&amp;TEXT(273486,"0"),"-")</f>
        <v/>
      </c>
    </row>
    <row r="87">
      <c r="A87" s="8" t="inlineStr">
        <is>
          <t>Ariadne Cardoso</t>
        </is>
      </c>
      <c r="B87" s="8" t="inlineStr">
        <is>
          <t>Karina Nunes</t>
        </is>
      </c>
      <c r="C87" s="5" t="inlineStr">
        <is>
          <t>Chat</t>
        </is>
      </c>
      <c r="D87" s="5" t="inlineStr">
        <is>
          <t>Tarde</t>
        </is>
      </c>
      <c r="E87" s="5" t="inlineStr">
        <is>
          <t>ATIVO(A)</t>
        </is>
      </c>
      <c r="F87" s="5" t="inlineStr">
        <is>
          <t>Sem acesso</t>
        </is>
      </c>
      <c r="G87" s="5" t="inlineStr">
        <is>
          <t>Pendente</t>
        </is>
      </c>
      <c r="H87" s="5" t="inlineStr">
        <is>
          <t>Não ativado</t>
        </is>
      </c>
      <c r="I87" s="5">
        <f>COUNTIF(F87:G87,"Pendente")+COUNTIF(F87:G87,"Sem acesso")+COUNTIF(H87,"Não ativado")</f>
        <v/>
      </c>
      <c r="J87" s="5">
        <f>IF(OR(F87="Chamado aberto",G87="Chamado aberto"),"INC-"&amp;TEXT(664075,"0"),"-")</f>
        <v/>
      </c>
    </row>
    <row r="88">
      <c r="A88" s="8" t="inlineStr">
        <is>
          <t>Eduardo Borges</t>
        </is>
      </c>
      <c r="B88" s="8" t="inlineStr">
        <is>
          <t>Karina Nunes</t>
        </is>
      </c>
      <c r="C88" s="5" t="inlineStr">
        <is>
          <t>Chat</t>
        </is>
      </c>
      <c r="D88" s="5" t="inlineStr">
        <is>
          <t>Tarde</t>
        </is>
      </c>
      <c r="E88" s="5" t="inlineStr">
        <is>
          <t>FÉRIAS</t>
        </is>
      </c>
      <c r="F88" s="5" t="inlineStr">
        <is>
          <t>Sem acesso</t>
        </is>
      </c>
      <c r="G88" s="5" t="inlineStr">
        <is>
          <t>Sem acesso</t>
        </is>
      </c>
      <c r="H88" s="5" t="inlineStr">
        <is>
          <t>Ativado</t>
        </is>
      </c>
      <c r="I88" s="5">
        <f>COUNTIF(F88:G88,"Pendente")+COUNTIF(F88:G88,"Sem acesso")+COUNTIF(H88,"Não ativado")</f>
        <v/>
      </c>
      <c r="J88" s="5">
        <f>IF(OR(F88="Chamado aberto",G88="Chamado aberto"),"INC-"&amp;TEXT(171742,"0"),"-")</f>
        <v/>
      </c>
    </row>
    <row r="89">
      <c r="A89" s="8" t="inlineStr">
        <is>
          <t>Elisangela Sousa</t>
        </is>
      </c>
      <c r="B89" s="8" t="inlineStr">
        <is>
          <t>Karina Nunes</t>
        </is>
      </c>
      <c r="C89" s="5" t="inlineStr">
        <is>
          <t>Chat</t>
        </is>
      </c>
      <c r="D89" s="5" t="inlineStr">
        <is>
          <t>Manhã</t>
        </is>
      </c>
      <c r="E89" s="5" t="inlineStr">
        <is>
          <t>ATIVO(A)</t>
        </is>
      </c>
      <c r="F89" s="5" t="inlineStr">
        <is>
          <t>Não se aplica</t>
        </is>
      </c>
      <c r="G89" s="5" t="inlineStr">
        <is>
          <t>Liberado</t>
        </is>
      </c>
      <c r="H89" s="5" t="inlineStr">
        <is>
          <t>Ativado</t>
        </is>
      </c>
      <c r="I89" s="5">
        <f>COUNTIF(F89:G89,"Pendente")+COUNTIF(F89:G89,"Sem acesso")+COUNTIF(H89,"Não ativado")</f>
        <v/>
      </c>
      <c r="J89" s="5">
        <f>IF(OR(F89="Chamado aberto",G89="Chamado aberto"),"INC-"&amp;TEXT(930210,"0"),"-")</f>
        <v/>
      </c>
    </row>
    <row r="90">
      <c r="A90" s="8" t="inlineStr">
        <is>
          <t>Elizangela Santana</t>
        </is>
      </c>
      <c r="B90" s="8" t="inlineStr">
        <is>
          <t>Karina Nunes</t>
        </is>
      </c>
      <c r="C90" s="5" t="inlineStr">
        <is>
          <t>Chat</t>
        </is>
      </c>
      <c r="D90" s="5" t="inlineStr">
        <is>
          <t>Manhã</t>
        </is>
      </c>
      <c r="E90" s="5" t="inlineStr">
        <is>
          <t>ATIVO(A)</t>
        </is>
      </c>
      <c r="F90" s="5" t="inlineStr">
        <is>
          <t>Liberado</t>
        </is>
      </c>
      <c r="G90" s="5" t="inlineStr">
        <is>
          <t>Liberado</t>
        </is>
      </c>
      <c r="H90" s="5" t="inlineStr">
        <is>
          <t>Trilha pendente</t>
        </is>
      </c>
      <c r="I90" s="5">
        <f>COUNTIF(F90:G90,"Pendente")+COUNTIF(F90:G90,"Sem acesso")+COUNTIF(H90,"Não ativado")</f>
        <v/>
      </c>
      <c r="J90" s="5">
        <f>IF(OR(F90="Chamado aberto",G90="Chamado aberto"),"INC-"&amp;TEXT(172042,"0"),"-")</f>
        <v/>
      </c>
    </row>
    <row r="91">
      <c r="A91" s="8" t="inlineStr">
        <is>
          <t>Gustavo Moraes</t>
        </is>
      </c>
      <c r="B91" s="8" t="inlineStr">
        <is>
          <t>Karina Nunes</t>
        </is>
      </c>
      <c r="C91" s="5" t="inlineStr">
        <is>
          <t>Voz</t>
        </is>
      </c>
      <c r="D91" s="5" t="inlineStr">
        <is>
          <t>Manhã</t>
        </is>
      </c>
      <c r="E91" s="5" t="inlineStr">
        <is>
          <t>ATIVO(A)</t>
        </is>
      </c>
      <c r="F91" s="5" t="inlineStr">
        <is>
          <t>Pendente</t>
        </is>
      </c>
      <c r="G91" s="5" t="inlineStr">
        <is>
          <t>Chamado aberto</t>
        </is>
      </c>
      <c r="H91" s="5" t="inlineStr">
        <is>
          <t>Trilha pendente</t>
        </is>
      </c>
      <c r="I91" s="5">
        <f>COUNTIF(F91:G91,"Pendente")+COUNTIF(F91:G91,"Sem acesso")+COUNTIF(H91,"Não ativado")</f>
        <v/>
      </c>
      <c r="J91" s="5">
        <f>IF(OR(F91="Chamado aberto",G91="Chamado aberto"),"INC-"&amp;TEXT(151267,"0"),"-")</f>
        <v/>
      </c>
    </row>
    <row r="92">
      <c r="A92" s="8" t="inlineStr">
        <is>
          <t>Jerra Moraes</t>
        </is>
      </c>
      <c r="B92" s="8" t="inlineStr">
        <is>
          <t>Karina Nunes</t>
        </is>
      </c>
      <c r="C92" s="5" t="inlineStr">
        <is>
          <t>Voz</t>
        </is>
      </c>
      <c r="D92" s="5" t="inlineStr">
        <is>
          <t>Manhã</t>
        </is>
      </c>
      <c r="E92" s="5" t="inlineStr">
        <is>
          <t>ATIVO(A)</t>
        </is>
      </c>
      <c r="F92" s="5" t="inlineStr">
        <is>
          <t>Liberado</t>
        </is>
      </c>
      <c r="G92" s="5" t="inlineStr">
        <is>
          <t>Liberado</t>
        </is>
      </c>
      <c r="H92" s="5" t="inlineStr">
        <is>
          <t>Ativado</t>
        </is>
      </c>
      <c r="I92" s="5">
        <f>COUNTIF(F92:G92,"Pendente")+COUNTIF(F92:G92,"Sem acesso")+COUNTIF(H92,"Não ativado")</f>
        <v/>
      </c>
      <c r="J92" s="5">
        <f>IF(OR(F92="Chamado aberto",G92="Chamado aberto"),"INC-"&amp;TEXT(744408,"0"),"-")</f>
        <v/>
      </c>
    </row>
    <row r="93">
      <c r="A93" s="8" t="inlineStr">
        <is>
          <t>Keimily Jesus</t>
        </is>
      </c>
      <c r="B93" s="8" t="inlineStr">
        <is>
          <t>Karina Nunes</t>
        </is>
      </c>
      <c r="C93" s="5" t="inlineStr">
        <is>
          <t>Voz</t>
        </is>
      </c>
      <c r="D93" s="5" t="inlineStr">
        <is>
          <t>Tarde</t>
        </is>
      </c>
      <c r="E93" s="5" t="inlineStr">
        <is>
          <t>ATIVO(A)</t>
        </is>
      </c>
      <c r="F93" s="5" t="inlineStr">
        <is>
          <t>Chamado aberto</t>
        </is>
      </c>
      <c r="G93" s="5" t="inlineStr">
        <is>
          <t>Liberado</t>
        </is>
      </c>
      <c r="H93" s="5" t="inlineStr">
        <is>
          <t>Ativado</t>
        </is>
      </c>
      <c r="I93" s="5">
        <f>COUNTIF(F93:G93,"Pendente")+COUNTIF(F93:G93,"Sem acesso")+COUNTIF(H93,"Não ativado")</f>
        <v/>
      </c>
      <c r="J93" s="5">
        <f>IF(OR(F93="Chamado aberto",G93="Chamado aberto"),"INC-"&amp;TEXT(406701,"0"),"-")</f>
        <v/>
      </c>
    </row>
    <row r="94">
      <c r="A94" s="8" t="inlineStr">
        <is>
          <t>Kellin Lima</t>
        </is>
      </c>
      <c r="B94" s="8" t="inlineStr">
        <is>
          <t>Karina Nunes</t>
        </is>
      </c>
      <c r="C94" s="5" t="inlineStr">
        <is>
          <t>Chat</t>
        </is>
      </c>
      <c r="D94" s="5" t="inlineStr">
        <is>
          <t>Tarde</t>
        </is>
      </c>
      <c r="E94" s="5" t="inlineStr">
        <is>
          <t>ATIVO(A)</t>
        </is>
      </c>
      <c r="F94" s="5" t="inlineStr">
        <is>
          <t>Não se aplica</t>
        </is>
      </c>
      <c r="G94" s="5" t="inlineStr">
        <is>
          <t>Pendente</t>
        </is>
      </c>
      <c r="H94" s="5" t="inlineStr">
        <is>
          <t>Ativado</t>
        </is>
      </c>
      <c r="I94" s="5">
        <f>COUNTIF(F94:G94,"Pendente")+COUNTIF(F94:G94,"Sem acesso")+COUNTIF(H94,"Não ativado")</f>
        <v/>
      </c>
      <c r="J94" s="5">
        <f>IF(OR(F94="Chamado aberto",G94="Chamado aberto"),"INC-"&amp;TEXT(291979,"0"),"-")</f>
        <v/>
      </c>
    </row>
    <row r="95">
      <c r="A95" s="8" t="inlineStr">
        <is>
          <t>Marilu Rocha</t>
        </is>
      </c>
      <c r="B95" s="8" t="inlineStr">
        <is>
          <t>Karina Nunes</t>
        </is>
      </c>
      <c r="C95" s="5" t="inlineStr">
        <is>
          <t>Voz</t>
        </is>
      </c>
      <c r="D95" s="5" t="inlineStr">
        <is>
          <t>Manhã</t>
        </is>
      </c>
      <c r="E95" s="5" t="inlineStr">
        <is>
          <t>ATIVO(A)</t>
        </is>
      </c>
      <c r="F95" s="5" t="inlineStr">
        <is>
          <t>Sem acesso</t>
        </is>
      </c>
      <c r="G95" s="5" t="inlineStr">
        <is>
          <t>Liberado</t>
        </is>
      </c>
      <c r="H95" s="5" t="inlineStr">
        <is>
          <t>Trilha pendente</t>
        </is>
      </c>
      <c r="I95" s="5">
        <f>COUNTIF(F95:G95,"Pendente")+COUNTIF(F95:G95,"Sem acesso")+COUNTIF(H95,"Não ativado")</f>
        <v/>
      </c>
      <c r="J95" s="5">
        <f>IF(OR(F95="Chamado aberto",G95="Chamado aberto"),"INC-"&amp;TEXT(941016,"0"),"-")</f>
        <v/>
      </c>
    </row>
    <row r="96">
      <c r="A96" s="8" t="inlineStr">
        <is>
          <t>Maureen Oliveira</t>
        </is>
      </c>
      <c r="B96" s="8" t="inlineStr">
        <is>
          <t>Karina Nunes</t>
        </is>
      </c>
      <c r="C96" s="5" t="inlineStr">
        <is>
          <t>Chat</t>
        </is>
      </c>
      <c r="D96" s="5" t="inlineStr">
        <is>
          <t>Tarde</t>
        </is>
      </c>
      <c r="E96" s="5" t="inlineStr">
        <is>
          <t>ATIVO(A)</t>
        </is>
      </c>
      <c r="F96" s="5" t="inlineStr">
        <is>
          <t>Sem acesso</t>
        </is>
      </c>
      <c r="G96" s="5" t="inlineStr">
        <is>
          <t>Liberado</t>
        </is>
      </c>
      <c r="H96" s="5" t="inlineStr">
        <is>
          <t>Ativado</t>
        </is>
      </c>
      <c r="I96" s="5">
        <f>COUNTIF(F96:G96,"Pendente")+COUNTIF(F96:G96,"Sem acesso")+COUNTIF(H96,"Não ativado")</f>
        <v/>
      </c>
      <c r="J96" s="5">
        <f>IF(OR(F96="Chamado aberto",G96="Chamado aberto"),"INC-"&amp;TEXT(682495,"0"),"-")</f>
        <v/>
      </c>
    </row>
    <row r="97">
      <c r="A97" s="8" t="inlineStr">
        <is>
          <t>Messias Borges</t>
        </is>
      </c>
      <c r="B97" s="8" t="inlineStr">
        <is>
          <t>Karina Nunes</t>
        </is>
      </c>
      <c r="C97" s="5" t="inlineStr">
        <is>
          <t>Chat</t>
        </is>
      </c>
      <c r="D97" s="5" t="inlineStr">
        <is>
          <t>Tarde</t>
        </is>
      </c>
      <c r="E97" s="5" t="inlineStr">
        <is>
          <t>ATIVO(A)</t>
        </is>
      </c>
      <c r="F97" s="5" t="inlineStr">
        <is>
          <t>Pendente</t>
        </is>
      </c>
      <c r="G97" s="5" t="inlineStr">
        <is>
          <t>Chamado aberto</t>
        </is>
      </c>
      <c r="H97" s="5" t="inlineStr">
        <is>
          <t>Ativado</t>
        </is>
      </c>
      <c r="I97" s="5">
        <f>COUNTIF(F97:G97,"Pendente")+COUNTIF(F97:G97,"Sem acesso")+COUNTIF(H97,"Não ativado")</f>
        <v/>
      </c>
      <c r="J97" s="5">
        <f>IF(OR(F97="Chamado aberto",G97="Chamado aberto"),"INC-"&amp;TEXT(393465,"0"),"-")</f>
        <v/>
      </c>
    </row>
    <row r="98">
      <c r="A98" s="8" t="inlineStr">
        <is>
          <t>Rita Rodrigues</t>
        </is>
      </c>
      <c r="B98" s="8" t="inlineStr">
        <is>
          <t>Karina Nunes</t>
        </is>
      </c>
      <c r="C98" s="5" t="inlineStr">
        <is>
          <t>Chat</t>
        </is>
      </c>
      <c r="D98" s="5" t="inlineStr">
        <is>
          <t>Tarde</t>
        </is>
      </c>
      <c r="E98" s="5" t="inlineStr">
        <is>
          <t>AVISO PRÉVIO</t>
        </is>
      </c>
      <c r="F98" s="5" t="inlineStr">
        <is>
          <t>Sem acesso</t>
        </is>
      </c>
      <c r="G98" s="5" t="inlineStr">
        <is>
          <t>Liberado</t>
        </is>
      </c>
      <c r="H98" s="5" t="inlineStr">
        <is>
          <t>Trilha pendente</t>
        </is>
      </c>
      <c r="I98" s="5">
        <f>COUNTIF(F98:G98,"Pendente")+COUNTIF(F98:G98,"Sem acesso")+COUNTIF(H98,"Não ativado")</f>
        <v/>
      </c>
      <c r="J98" s="5">
        <f>IF(OR(F98="Chamado aberto",G98="Chamado aberto"),"INC-"&amp;TEXT(754017,"0"),"-")</f>
        <v/>
      </c>
    </row>
    <row r="99">
      <c r="A99" s="8" t="inlineStr">
        <is>
          <t>Rosinete Castro</t>
        </is>
      </c>
      <c r="B99" s="8" t="inlineStr">
        <is>
          <t>Karina Nunes</t>
        </is>
      </c>
      <c r="C99" s="5" t="inlineStr">
        <is>
          <t>Voz</t>
        </is>
      </c>
      <c r="D99" s="5" t="inlineStr">
        <is>
          <t>Tarde</t>
        </is>
      </c>
      <c r="E99" s="5" t="inlineStr">
        <is>
          <t>ATIVO(A)</t>
        </is>
      </c>
      <c r="F99" s="5" t="inlineStr">
        <is>
          <t>Liberado</t>
        </is>
      </c>
      <c r="G99" s="5" t="inlineStr">
        <is>
          <t>Liberado</t>
        </is>
      </c>
      <c r="H99" s="5" t="inlineStr">
        <is>
          <t>Trilha pendente</t>
        </is>
      </c>
      <c r="I99" s="5">
        <f>COUNTIF(F99:G99,"Pendente")+COUNTIF(F99:G99,"Sem acesso")+COUNTIF(H99,"Não ativado")</f>
        <v/>
      </c>
      <c r="J99" s="5">
        <f>IF(OR(F99="Chamado aberto",G99="Chamado aberto"),"INC-"&amp;TEXT(195879,"0"),"-")</f>
        <v/>
      </c>
    </row>
    <row r="100">
      <c r="A100" s="8" t="inlineStr">
        <is>
          <t>Ryan Campos</t>
        </is>
      </c>
      <c r="B100" s="8" t="inlineStr">
        <is>
          <t>Karina Nunes</t>
        </is>
      </c>
      <c r="C100" s="5" t="inlineStr">
        <is>
          <t>Voz</t>
        </is>
      </c>
      <c r="D100" s="5" t="inlineStr">
        <is>
          <t>Tarde</t>
        </is>
      </c>
      <c r="E100" s="5" t="inlineStr">
        <is>
          <t>ATIVO(A)</t>
        </is>
      </c>
      <c r="F100" s="5" t="inlineStr">
        <is>
          <t>Liberado</t>
        </is>
      </c>
      <c r="G100" s="5" t="inlineStr">
        <is>
          <t>Chamado aberto</t>
        </is>
      </c>
      <c r="H100" s="5" t="inlineStr">
        <is>
          <t>Trilha pendente</t>
        </is>
      </c>
      <c r="I100" s="5">
        <f>COUNTIF(F100:G100,"Pendente")+COUNTIF(F100:G100,"Sem acesso")+COUNTIF(H100,"Não ativado")</f>
        <v/>
      </c>
      <c r="J100" s="5">
        <f>IF(OR(F100="Chamado aberto",G100="Chamado aberto"),"INC-"&amp;TEXT(613361,"0"),"-")</f>
        <v/>
      </c>
    </row>
    <row r="101">
      <c r="A101" s="8" t="inlineStr">
        <is>
          <t>Sandy Teixeira</t>
        </is>
      </c>
      <c r="B101" s="8" t="inlineStr">
        <is>
          <t>Karina Nunes</t>
        </is>
      </c>
      <c r="C101" s="5" t="inlineStr">
        <is>
          <t>Chat</t>
        </is>
      </c>
      <c r="D101" s="5" t="inlineStr">
        <is>
          <t>Tarde</t>
        </is>
      </c>
      <c r="E101" s="5" t="inlineStr">
        <is>
          <t>ATIVO(A)</t>
        </is>
      </c>
      <c r="F101" s="5" t="inlineStr">
        <is>
          <t>Chamado aberto</t>
        </is>
      </c>
      <c r="G101" s="5" t="inlineStr">
        <is>
          <t>Liberado</t>
        </is>
      </c>
      <c r="H101" s="5" t="inlineStr">
        <is>
          <t>Ativado</t>
        </is>
      </c>
      <c r="I101" s="5">
        <f>COUNTIF(F101:G101,"Pendente")+COUNTIF(F101:G101,"Sem acesso")+COUNTIF(H101,"Não ativado")</f>
        <v/>
      </c>
      <c r="J101" s="5">
        <f>IF(OR(F101="Chamado aberto",G101="Chamado aberto"),"INC-"&amp;TEXT(244947,"0"),"-")</f>
        <v/>
      </c>
    </row>
    <row r="102">
      <c r="A102" s="8" t="inlineStr">
        <is>
          <t>Alef Pacheco</t>
        </is>
      </c>
      <c r="B102" s="8" t="inlineStr">
        <is>
          <t>Maicon Teixeira</t>
        </is>
      </c>
      <c r="C102" s="5" t="inlineStr">
        <is>
          <t>Voz</t>
        </is>
      </c>
      <c r="D102" s="5" t="inlineStr">
        <is>
          <t>Tarde</t>
        </is>
      </c>
      <c r="E102" s="5" t="inlineStr">
        <is>
          <t>ATIVO(A)</t>
        </is>
      </c>
      <c r="F102" s="5" t="inlineStr">
        <is>
          <t>Chamado aberto</t>
        </is>
      </c>
      <c r="G102" s="5" t="inlineStr">
        <is>
          <t>Liberado</t>
        </is>
      </c>
      <c r="H102" s="5" t="inlineStr">
        <is>
          <t>Ativado</t>
        </is>
      </c>
      <c r="I102" s="5">
        <f>COUNTIF(F102:G102,"Pendente")+COUNTIF(F102:G102,"Sem acesso")+COUNTIF(H102,"Não ativado")</f>
        <v/>
      </c>
      <c r="J102" s="5">
        <f>IF(OR(F102="Chamado aberto",G102="Chamado aberto"),"INC-"&amp;TEXT(696270,"0"),"-")</f>
        <v/>
      </c>
    </row>
    <row r="103">
      <c r="A103" s="8" t="inlineStr">
        <is>
          <t>Aline Alves</t>
        </is>
      </c>
      <c r="B103" s="8" t="inlineStr">
        <is>
          <t>Maicon Teixeira</t>
        </is>
      </c>
      <c r="C103" s="5" t="inlineStr">
        <is>
          <t>Voz</t>
        </is>
      </c>
      <c r="D103" s="5" t="inlineStr">
        <is>
          <t>Tarde</t>
        </is>
      </c>
      <c r="E103" s="5" t="inlineStr">
        <is>
          <t>ATIVO(A)</t>
        </is>
      </c>
      <c r="F103" s="5" t="inlineStr">
        <is>
          <t>Chamado aberto</t>
        </is>
      </c>
      <c r="G103" s="5" t="inlineStr">
        <is>
          <t>Chamado aberto</t>
        </is>
      </c>
      <c r="H103" s="5" t="inlineStr">
        <is>
          <t>Não ativado</t>
        </is>
      </c>
      <c r="I103" s="5">
        <f>COUNTIF(F103:G103,"Pendente")+COUNTIF(F103:G103,"Sem acesso")+COUNTIF(H103,"Não ativado")</f>
        <v/>
      </c>
      <c r="J103" s="5">
        <f>IF(OR(F103="Chamado aberto",G103="Chamado aberto"),"INC-"&amp;TEXT(681845,"0"),"-")</f>
        <v/>
      </c>
    </row>
    <row r="104">
      <c r="A104" s="8" t="inlineStr">
        <is>
          <t>Evilin Dias</t>
        </is>
      </c>
      <c r="B104" s="8" t="inlineStr">
        <is>
          <t>Maicon Teixeira</t>
        </is>
      </c>
      <c r="C104" s="5" t="inlineStr">
        <is>
          <t>Voz</t>
        </is>
      </c>
      <c r="D104" s="5" t="inlineStr">
        <is>
          <t>Manhã</t>
        </is>
      </c>
      <c r="E104" s="5" t="inlineStr">
        <is>
          <t>ATIVO(A)</t>
        </is>
      </c>
      <c r="F104" s="5" t="inlineStr">
        <is>
          <t>Sem acesso</t>
        </is>
      </c>
      <c r="G104" s="5" t="inlineStr">
        <is>
          <t>Sem acesso</t>
        </is>
      </c>
      <c r="H104" s="5" t="inlineStr">
        <is>
          <t>Ativado</t>
        </is>
      </c>
      <c r="I104" s="5">
        <f>COUNTIF(F104:G104,"Pendente")+COUNTIF(F104:G104,"Sem acesso")+COUNTIF(H104,"Não ativado")</f>
        <v/>
      </c>
      <c r="J104" s="5">
        <f>IF(OR(F104="Chamado aberto",G104="Chamado aberto"),"INC-"&amp;TEXT(376034,"0"),"-")</f>
        <v/>
      </c>
    </row>
    <row r="105">
      <c r="A105" s="8" t="inlineStr">
        <is>
          <t>Joao Pacheco</t>
        </is>
      </c>
      <c r="B105" s="8" t="inlineStr">
        <is>
          <t>Maicon Teixeira</t>
        </is>
      </c>
      <c r="C105" s="5" t="inlineStr">
        <is>
          <t>Voz</t>
        </is>
      </c>
      <c r="D105" s="5" t="inlineStr">
        <is>
          <t>Manhã</t>
        </is>
      </c>
      <c r="E105" s="5" t="inlineStr">
        <is>
          <t>ATIVO(A)</t>
        </is>
      </c>
      <c r="F105" s="5" t="inlineStr">
        <is>
          <t>Liberado</t>
        </is>
      </c>
      <c r="G105" s="5" t="inlineStr">
        <is>
          <t>Sem acesso</t>
        </is>
      </c>
      <c r="H105" s="5" t="inlineStr">
        <is>
          <t>Ativado</t>
        </is>
      </c>
      <c r="I105" s="5">
        <f>COUNTIF(F105:G105,"Pendente")+COUNTIF(F105:G105,"Sem acesso")+COUNTIF(H105,"Não ativado")</f>
        <v/>
      </c>
      <c r="J105" s="5">
        <f>IF(OR(F105="Chamado aberto",G105="Chamado aberto"),"INC-"&amp;TEXT(366537,"0"),"-")</f>
        <v/>
      </c>
    </row>
    <row r="106">
      <c r="A106" s="8" t="inlineStr">
        <is>
          <t>Juliano Macedo</t>
        </is>
      </c>
      <c r="B106" s="8" t="inlineStr">
        <is>
          <t>Maicon Teixeira</t>
        </is>
      </c>
      <c r="C106" s="5" t="inlineStr">
        <is>
          <t>Chat</t>
        </is>
      </c>
      <c r="D106" s="5" t="inlineStr">
        <is>
          <t>Tarde</t>
        </is>
      </c>
      <c r="E106" s="5" t="inlineStr">
        <is>
          <t>FÉRIAS</t>
        </is>
      </c>
      <c r="F106" s="5" t="inlineStr">
        <is>
          <t>Não se aplica</t>
        </is>
      </c>
      <c r="G106" s="5" t="inlineStr">
        <is>
          <t>Liberado</t>
        </is>
      </c>
      <c r="H106" s="5" t="inlineStr">
        <is>
          <t>Ativado</t>
        </is>
      </c>
      <c r="I106" s="5">
        <f>COUNTIF(F106:G106,"Pendente")+COUNTIF(F106:G106,"Sem acesso")+COUNTIF(H106,"Não ativado")</f>
        <v/>
      </c>
      <c r="J106" s="5">
        <f>IF(OR(F106="Chamado aberto",G106="Chamado aberto"),"INC-"&amp;TEXT(947279,"0"),"-")</f>
        <v/>
      </c>
    </row>
    <row r="107">
      <c r="A107" s="8" t="inlineStr">
        <is>
          <t>Kaue Sousa</t>
        </is>
      </c>
      <c r="B107" s="8" t="inlineStr">
        <is>
          <t>Maicon Teixeira</t>
        </is>
      </c>
      <c r="C107" s="5" t="inlineStr">
        <is>
          <t>Chat</t>
        </is>
      </c>
      <c r="D107" s="5" t="inlineStr">
        <is>
          <t>Tarde</t>
        </is>
      </c>
      <c r="E107" s="5" t="inlineStr">
        <is>
          <t>ATIVO(A)</t>
        </is>
      </c>
      <c r="F107" s="5" t="inlineStr">
        <is>
          <t>Liberado</t>
        </is>
      </c>
      <c r="G107" s="5" t="inlineStr">
        <is>
          <t>Pendente</t>
        </is>
      </c>
      <c r="H107" s="5" t="inlineStr">
        <is>
          <t>Trilha pendente</t>
        </is>
      </c>
      <c r="I107" s="5">
        <f>COUNTIF(F107:G107,"Pendente")+COUNTIF(F107:G107,"Sem acesso")+COUNTIF(H107,"Não ativado")</f>
        <v/>
      </c>
      <c r="J107" s="5">
        <f>IF(OR(F107="Chamado aberto",G107="Chamado aberto"),"INC-"&amp;TEXT(288031,"0"),"-")</f>
        <v/>
      </c>
    </row>
    <row r="108">
      <c r="A108" s="8" t="inlineStr">
        <is>
          <t>Lara Moraes</t>
        </is>
      </c>
      <c r="B108" s="8" t="inlineStr">
        <is>
          <t>Maicon Teixeira</t>
        </is>
      </c>
      <c r="C108" s="5" t="inlineStr">
        <is>
          <t>Voz</t>
        </is>
      </c>
      <c r="D108" s="5" t="inlineStr">
        <is>
          <t>Manhã</t>
        </is>
      </c>
      <c r="E108" s="5" t="inlineStr">
        <is>
          <t>ATIVO(A)</t>
        </is>
      </c>
      <c r="F108" s="5" t="inlineStr">
        <is>
          <t>Liberado</t>
        </is>
      </c>
      <c r="G108" s="5" t="inlineStr">
        <is>
          <t>Chamado aberto</t>
        </is>
      </c>
      <c r="H108" s="5" t="inlineStr">
        <is>
          <t>Ativado</t>
        </is>
      </c>
      <c r="I108" s="5">
        <f>COUNTIF(F108:G108,"Pendente")+COUNTIF(F108:G108,"Sem acesso")+COUNTIF(H108,"Não ativado")</f>
        <v/>
      </c>
      <c r="J108" s="5">
        <f>IF(OR(F108="Chamado aberto",G108="Chamado aberto"),"INC-"&amp;TEXT(786831,"0"),"-")</f>
        <v/>
      </c>
    </row>
    <row r="109">
      <c r="A109" s="8" t="inlineStr">
        <is>
          <t>Lidiane Ribeiro</t>
        </is>
      </c>
      <c r="B109" s="8" t="inlineStr">
        <is>
          <t>Maicon Teixeira</t>
        </is>
      </c>
      <c r="C109" s="5" t="inlineStr">
        <is>
          <t>Chat</t>
        </is>
      </c>
      <c r="D109" s="5" t="inlineStr">
        <is>
          <t>Manhã</t>
        </is>
      </c>
      <c r="E109" s="5" t="inlineStr">
        <is>
          <t>FÉRIAS</t>
        </is>
      </c>
      <c r="F109" s="5" t="inlineStr">
        <is>
          <t>Sem acesso</t>
        </is>
      </c>
      <c r="G109" s="5" t="inlineStr">
        <is>
          <t>Chamado aberto</t>
        </is>
      </c>
      <c r="H109" s="5" t="inlineStr">
        <is>
          <t>Ativado</t>
        </is>
      </c>
      <c r="I109" s="5">
        <f>COUNTIF(F109:G109,"Pendente")+COUNTIF(F109:G109,"Sem acesso")+COUNTIF(H109,"Não ativado")</f>
        <v/>
      </c>
      <c r="J109" s="5">
        <f>IF(OR(F109="Chamado aberto",G109="Chamado aberto"),"INC-"&amp;TEXT(195607,"0"),"-")</f>
        <v/>
      </c>
    </row>
    <row r="110">
      <c r="A110" s="8" t="inlineStr">
        <is>
          <t>Marcia Nascimento</t>
        </is>
      </c>
      <c r="B110" s="8" t="inlineStr">
        <is>
          <t>Maicon Teixeira</t>
        </is>
      </c>
      <c r="C110" s="5" t="inlineStr">
        <is>
          <t>Chat</t>
        </is>
      </c>
      <c r="D110" s="5" t="inlineStr">
        <is>
          <t>Tarde</t>
        </is>
      </c>
      <c r="E110" s="5" t="inlineStr">
        <is>
          <t>ATIVO(A)</t>
        </is>
      </c>
      <c r="F110" s="5" t="inlineStr">
        <is>
          <t>Não se aplica</t>
        </is>
      </c>
      <c r="G110" s="5" t="inlineStr">
        <is>
          <t>Sem acesso</t>
        </is>
      </c>
      <c r="H110" s="5" t="inlineStr">
        <is>
          <t>Trilha pendente</t>
        </is>
      </c>
      <c r="I110" s="5">
        <f>COUNTIF(F110:G110,"Pendente")+COUNTIF(F110:G110,"Sem acesso")+COUNTIF(H110,"Não ativado")</f>
        <v/>
      </c>
      <c r="J110" s="5">
        <f>IF(OR(F110="Chamado aberto",G110="Chamado aberto"),"INC-"&amp;TEXT(350174,"0"),"-")</f>
        <v/>
      </c>
    </row>
    <row r="111">
      <c r="A111" s="8" t="inlineStr">
        <is>
          <t>Oliver Ribeiro</t>
        </is>
      </c>
      <c r="B111" s="8" t="inlineStr">
        <is>
          <t>Maicon Teixeira</t>
        </is>
      </c>
      <c r="C111" s="5" t="inlineStr">
        <is>
          <t>Chat</t>
        </is>
      </c>
      <c r="D111" s="5" t="inlineStr">
        <is>
          <t>Tarde</t>
        </is>
      </c>
      <c r="E111" s="5" t="inlineStr">
        <is>
          <t>ATIVO(A)</t>
        </is>
      </c>
      <c r="F111" s="5" t="inlineStr">
        <is>
          <t>Pendente</t>
        </is>
      </c>
      <c r="G111" s="5" t="inlineStr">
        <is>
          <t>Pendente</t>
        </is>
      </c>
      <c r="H111" s="5" t="inlineStr">
        <is>
          <t>Não ativado</t>
        </is>
      </c>
      <c r="I111" s="5">
        <f>COUNTIF(F111:G111,"Pendente")+COUNTIF(F111:G111,"Sem acesso")+COUNTIF(H111,"Não ativado")</f>
        <v/>
      </c>
      <c r="J111" s="5">
        <f>IF(OR(F111="Chamado aberto",G111="Chamado aberto"),"INC-"&amp;TEXT(212799,"0"),"-")</f>
        <v/>
      </c>
    </row>
    <row r="112">
      <c r="A112" s="8" t="inlineStr">
        <is>
          <t>Perikles Azevedo</t>
        </is>
      </c>
      <c r="B112" s="8" t="inlineStr">
        <is>
          <t>Maicon Teixeira</t>
        </is>
      </c>
      <c r="C112" s="5" t="inlineStr">
        <is>
          <t>Chat</t>
        </is>
      </c>
      <c r="D112" s="5" t="inlineStr">
        <is>
          <t>Tarde</t>
        </is>
      </c>
      <c r="E112" s="5" t="inlineStr">
        <is>
          <t>ATIVO(A)</t>
        </is>
      </c>
      <c r="F112" s="5" t="inlineStr">
        <is>
          <t>Não se aplica</t>
        </is>
      </c>
      <c r="G112" s="5" t="inlineStr">
        <is>
          <t>Liberado</t>
        </is>
      </c>
      <c r="H112" s="5" t="inlineStr">
        <is>
          <t>Trilha pendente</t>
        </is>
      </c>
      <c r="I112" s="5">
        <f>COUNTIF(F112:G112,"Pendente")+COUNTIF(F112:G112,"Sem acesso")+COUNTIF(H112,"Não ativado")</f>
        <v/>
      </c>
      <c r="J112" s="5">
        <f>IF(OR(F112="Chamado aberto",G112="Chamado aberto"),"INC-"&amp;TEXT(156265,"0"),"-")</f>
        <v/>
      </c>
    </row>
    <row r="113">
      <c r="A113" s="8" t="inlineStr">
        <is>
          <t>Taina Alves</t>
        </is>
      </c>
      <c r="B113" s="8" t="inlineStr">
        <is>
          <t>Maicon Teixeira</t>
        </is>
      </c>
      <c r="C113" s="5" t="inlineStr">
        <is>
          <t>Voz</t>
        </is>
      </c>
      <c r="D113" s="5" t="inlineStr">
        <is>
          <t>Tarde</t>
        </is>
      </c>
      <c r="E113" s="5" t="inlineStr">
        <is>
          <t>ATIVO(A)</t>
        </is>
      </c>
      <c r="F113" s="5" t="inlineStr">
        <is>
          <t>Liberado</t>
        </is>
      </c>
      <c r="G113" s="5" t="inlineStr">
        <is>
          <t>Pendente</t>
        </is>
      </c>
      <c r="H113" s="5" t="inlineStr">
        <is>
          <t>Ativado</t>
        </is>
      </c>
      <c r="I113" s="5">
        <f>COUNTIF(F113:G113,"Pendente")+COUNTIF(F113:G113,"Sem acesso")+COUNTIF(H113,"Não ativado")</f>
        <v/>
      </c>
      <c r="J113" s="5">
        <f>IF(OR(F113="Chamado aberto",G113="Chamado aberto"),"INC-"&amp;TEXT(886020,"0"),"-")</f>
        <v/>
      </c>
    </row>
    <row r="114">
      <c r="A114" s="8" t="inlineStr">
        <is>
          <t>Tatiellen Cruz</t>
        </is>
      </c>
      <c r="B114" s="8" t="inlineStr">
        <is>
          <t>Maicon Teixeira</t>
        </is>
      </c>
      <c r="C114" s="5" t="inlineStr">
        <is>
          <t>Chat</t>
        </is>
      </c>
      <c r="D114" s="5" t="inlineStr">
        <is>
          <t>Tarde</t>
        </is>
      </c>
      <c r="E114" s="5" t="inlineStr">
        <is>
          <t>ATIVO(A)</t>
        </is>
      </c>
      <c r="F114" s="5" t="inlineStr">
        <is>
          <t>Chamado aberto</t>
        </is>
      </c>
      <c r="G114" s="5" t="inlineStr">
        <is>
          <t>Pendente</t>
        </is>
      </c>
      <c r="H114" s="5" t="inlineStr">
        <is>
          <t>Ativado</t>
        </is>
      </c>
      <c r="I114" s="5">
        <f>COUNTIF(F114:G114,"Pendente")+COUNTIF(F114:G114,"Sem acesso")+COUNTIF(H114,"Não ativado")</f>
        <v/>
      </c>
      <c r="J114" s="5">
        <f>IF(OR(F114="Chamado aberto",G114="Chamado aberto"),"INC-"&amp;TEXT(246554,"0"),"-")</f>
        <v/>
      </c>
    </row>
    <row r="115">
      <c r="A115" s="8" t="inlineStr">
        <is>
          <t>Uedson Assunção</t>
        </is>
      </c>
      <c r="B115" s="8" t="inlineStr">
        <is>
          <t>Maicon Teixeira</t>
        </is>
      </c>
      <c r="C115" s="5" t="inlineStr">
        <is>
          <t>Chat</t>
        </is>
      </c>
      <c r="D115" s="5" t="inlineStr">
        <is>
          <t>Manhã</t>
        </is>
      </c>
      <c r="E115" s="5" t="inlineStr">
        <is>
          <t>ATIVO(A)</t>
        </is>
      </c>
      <c r="F115" s="5" t="inlineStr">
        <is>
          <t>Não se aplica</t>
        </is>
      </c>
      <c r="G115" s="5" t="inlineStr">
        <is>
          <t>Pendente</t>
        </is>
      </c>
      <c r="H115" s="5" t="inlineStr">
        <is>
          <t>Não ativado</t>
        </is>
      </c>
      <c r="I115" s="5">
        <f>COUNTIF(F115:G115,"Pendente")+COUNTIF(F115:G115,"Sem acesso")+COUNTIF(H115,"Não ativado")</f>
        <v/>
      </c>
      <c r="J115" s="5">
        <f>IF(OR(F115="Chamado aberto",G115="Chamado aberto"),"INC-"&amp;TEXT(976417,"0"),"-")</f>
        <v/>
      </c>
    </row>
    <row r="116">
      <c r="A116" s="8" t="inlineStr">
        <is>
          <t>Weslley Teixeira</t>
        </is>
      </c>
      <c r="B116" s="8" t="inlineStr">
        <is>
          <t>Maicon Teixeira</t>
        </is>
      </c>
      <c r="C116" s="5" t="inlineStr">
        <is>
          <t>Chat</t>
        </is>
      </c>
      <c r="D116" s="5" t="inlineStr">
        <is>
          <t>Manhã</t>
        </is>
      </c>
      <c r="E116" s="5" t="inlineStr">
        <is>
          <t>ATIVO(A)</t>
        </is>
      </c>
      <c r="F116" s="5" t="inlineStr">
        <is>
          <t>Liberado</t>
        </is>
      </c>
      <c r="G116" s="5" t="inlineStr">
        <is>
          <t>Sem acesso</t>
        </is>
      </c>
      <c r="H116" s="5" t="inlineStr">
        <is>
          <t>Não ativado</t>
        </is>
      </c>
      <c r="I116" s="5">
        <f>COUNTIF(F116:G116,"Pendente")+COUNTIF(F116:G116,"Sem acesso")+COUNTIF(H116,"Não ativado")</f>
        <v/>
      </c>
      <c r="J116" s="5">
        <f>IF(OR(F116="Chamado aberto",G116="Chamado aberto"),"INC-"&amp;TEXT(934710,"0"),"-")</f>
        <v/>
      </c>
    </row>
    <row r="117">
      <c r="A117" s="8" t="inlineStr">
        <is>
          <t>Ana Lopes</t>
        </is>
      </c>
      <c r="B117" s="8" t="inlineStr">
        <is>
          <t>Marcia Assunção</t>
        </is>
      </c>
      <c r="C117" s="5" t="inlineStr">
        <is>
          <t>Chat</t>
        </is>
      </c>
      <c r="D117" s="5" t="inlineStr">
        <is>
          <t>Manhã</t>
        </is>
      </c>
      <c r="E117" s="5" t="inlineStr">
        <is>
          <t>ATIVO(A)</t>
        </is>
      </c>
      <c r="F117" s="5" t="inlineStr">
        <is>
          <t>Liberado</t>
        </is>
      </c>
      <c r="G117" s="5" t="inlineStr">
        <is>
          <t>Chamado aberto</t>
        </is>
      </c>
      <c r="H117" s="5" t="inlineStr">
        <is>
          <t>Não ativado</t>
        </is>
      </c>
      <c r="I117" s="5">
        <f>COUNTIF(F117:G117,"Pendente")+COUNTIF(F117:G117,"Sem acesso")+COUNTIF(H117,"Não ativado")</f>
        <v/>
      </c>
      <c r="J117" s="5">
        <f>IF(OR(F117="Chamado aberto",G117="Chamado aberto"),"INC-"&amp;TEXT(779361,"0"),"-")</f>
        <v/>
      </c>
    </row>
    <row r="118">
      <c r="A118" s="8" t="inlineStr">
        <is>
          <t>Angelica Barros</t>
        </is>
      </c>
      <c r="B118" s="8" t="inlineStr">
        <is>
          <t>Marcia Assunção</t>
        </is>
      </c>
      <c r="C118" s="5" t="inlineStr">
        <is>
          <t>Voz</t>
        </is>
      </c>
      <c r="D118" s="5" t="inlineStr">
        <is>
          <t>Manhã</t>
        </is>
      </c>
      <c r="E118" s="5" t="inlineStr">
        <is>
          <t>ATIVO(A)</t>
        </is>
      </c>
      <c r="F118" s="5" t="inlineStr">
        <is>
          <t>Liberado</t>
        </is>
      </c>
      <c r="G118" s="5" t="inlineStr">
        <is>
          <t>Chamado aberto</t>
        </is>
      </c>
      <c r="H118" s="5" t="inlineStr">
        <is>
          <t>Trilha pendente</t>
        </is>
      </c>
      <c r="I118" s="5">
        <f>COUNTIF(F118:G118,"Pendente")+COUNTIF(F118:G118,"Sem acesso")+COUNTIF(H118,"Não ativado")</f>
        <v/>
      </c>
      <c r="J118" s="5">
        <f>IF(OR(F118="Chamado aberto",G118="Chamado aberto"),"INC-"&amp;TEXT(992942,"0"),"-")</f>
        <v/>
      </c>
    </row>
    <row r="119">
      <c r="A119" s="8" t="inlineStr">
        <is>
          <t>Bryan Conceição</t>
        </is>
      </c>
      <c r="B119" s="8" t="inlineStr">
        <is>
          <t>Marcia Assunção</t>
        </is>
      </c>
      <c r="C119" s="5" t="inlineStr">
        <is>
          <t>Voz</t>
        </is>
      </c>
      <c r="D119" s="5" t="inlineStr">
        <is>
          <t>Tarde</t>
        </is>
      </c>
      <c r="E119" s="5" t="inlineStr">
        <is>
          <t>ATIVO(A)</t>
        </is>
      </c>
      <c r="F119" s="5" t="inlineStr">
        <is>
          <t>Liberado</t>
        </is>
      </c>
      <c r="G119" s="5" t="inlineStr">
        <is>
          <t>Sem acesso</t>
        </is>
      </c>
      <c r="H119" s="5" t="inlineStr">
        <is>
          <t>Ativado</t>
        </is>
      </c>
      <c r="I119" s="5">
        <f>COUNTIF(F119:G119,"Pendente")+COUNTIF(F119:G119,"Sem acesso")+COUNTIF(H119,"Não ativado")</f>
        <v/>
      </c>
      <c r="J119" s="5">
        <f>IF(OR(F119="Chamado aberto",G119="Chamado aberto"),"INC-"&amp;TEXT(721414,"0"),"-")</f>
        <v/>
      </c>
    </row>
    <row r="120">
      <c r="A120" s="8" t="inlineStr">
        <is>
          <t>Camilly Reis</t>
        </is>
      </c>
      <c r="B120" s="8" t="inlineStr">
        <is>
          <t>Marcia Assunção</t>
        </is>
      </c>
      <c r="C120" s="5" t="inlineStr">
        <is>
          <t>Voz</t>
        </is>
      </c>
      <c r="D120" s="5" t="inlineStr">
        <is>
          <t>Manhã</t>
        </is>
      </c>
      <c r="E120" s="5" t="inlineStr">
        <is>
          <t>ATIVO(A)</t>
        </is>
      </c>
      <c r="F120" s="5" t="inlineStr">
        <is>
          <t>Sem acesso</t>
        </is>
      </c>
      <c r="G120" s="5" t="inlineStr">
        <is>
          <t>Liberado</t>
        </is>
      </c>
      <c r="H120" s="5" t="inlineStr">
        <is>
          <t>Ativado</t>
        </is>
      </c>
      <c r="I120" s="5">
        <f>COUNTIF(F120:G120,"Pendente")+COUNTIF(F120:G120,"Sem acesso")+COUNTIF(H120,"Não ativado")</f>
        <v/>
      </c>
      <c r="J120" s="5">
        <f>IF(OR(F120="Chamado aberto",G120="Chamado aberto"),"INC-"&amp;TEXT(514722,"0"),"-")</f>
        <v/>
      </c>
    </row>
    <row r="121">
      <c r="A121" s="8" t="inlineStr">
        <is>
          <t>Charles Fonseca</t>
        </is>
      </c>
      <c r="B121" s="8" t="inlineStr">
        <is>
          <t>Marcia Assunção</t>
        </is>
      </c>
      <c r="C121" s="5" t="inlineStr">
        <is>
          <t>Chat</t>
        </is>
      </c>
      <c r="D121" s="5" t="inlineStr">
        <is>
          <t>Tarde</t>
        </is>
      </c>
      <c r="E121" s="5" t="inlineStr">
        <is>
          <t>ATIVO(A)</t>
        </is>
      </c>
      <c r="F121" s="5" t="inlineStr">
        <is>
          <t>Liberado</t>
        </is>
      </c>
      <c r="G121" s="5" t="inlineStr">
        <is>
          <t>Liberado</t>
        </is>
      </c>
      <c r="H121" s="5" t="inlineStr">
        <is>
          <t>Ativado</t>
        </is>
      </c>
      <c r="I121" s="5">
        <f>COUNTIF(F121:G121,"Pendente")+COUNTIF(F121:G121,"Sem acesso")+COUNTIF(H121,"Não ativado")</f>
        <v/>
      </c>
      <c r="J121" s="5">
        <f>IF(OR(F121="Chamado aberto",G121="Chamado aberto"),"INC-"&amp;TEXT(312239,"0"),"-")</f>
        <v/>
      </c>
    </row>
    <row r="122">
      <c r="A122" s="8" t="inlineStr">
        <is>
          <t>Donizete Freitas</t>
        </is>
      </c>
      <c r="B122" s="8" t="inlineStr">
        <is>
          <t>Marcia Assunção</t>
        </is>
      </c>
      <c r="C122" s="5" t="inlineStr">
        <is>
          <t>Chat</t>
        </is>
      </c>
      <c r="D122" s="5" t="inlineStr">
        <is>
          <t>Tarde</t>
        </is>
      </c>
      <c r="E122" s="5" t="inlineStr">
        <is>
          <t>ATIVO(A)</t>
        </is>
      </c>
      <c r="F122" s="5" t="inlineStr">
        <is>
          <t>Pendente</t>
        </is>
      </c>
      <c r="G122" s="5" t="inlineStr">
        <is>
          <t>Pendente</t>
        </is>
      </c>
      <c r="H122" s="5" t="inlineStr">
        <is>
          <t>Não ativado</t>
        </is>
      </c>
      <c r="I122" s="5">
        <f>COUNTIF(F122:G122,"Pendente")+COUNTIF(F122:G122,"Sem acesso")+COUNTIF(H122,"Não ativado")</f>
        <v/>
      </c>
      <c r="J122" s="5">
        <f>IF(OR(F122="Chamado aberto",G122="Chamado aberto"),"INC-"&amp;TEXT(100460,"0"),"-")</f>
        <v/>
      </c>
    </row>
    <row r="123">
      <c r="A123" s="8" t="inlineStr">
        <is>
          <t>Elba Miranda</t>
        </is>
      </c>
      <c r="B123" s="8" t="inlineStr">
        <is>
          <t>Marcia Assunção</t>
        </is>
      </c>
      <c r="C123" s="5" t="inlineStr">
        <is>
          <t>Voz</t>
        </is>
      </c>
      <c r="D123" s="5" t="inlineStr">
        <is>
          <t>Manhã</t>
        </is>
      </c>
      <c r="E123" s="5" t="inlineStr">
        <is>
          <t>ATIVO(A)</t>
        </is>
      </c>
      <c r="F123" s="5" t="inlineStr">
        <is>
          <t>Pendente</t>
        </is>
      </c>
      <c r="G123" s="5" t="inlineStr">
        <is>
          <t>Pendente</t>
        </is>
      </c>
      <c r="H123" s="5" t="inlineStr">
        <is>
          <t>Não ativado</t>
        </is>
      </c>
      <c r="I123" s="5">
        <f>COUNTIF(F123:G123,"Pendente")+COUNTIF(F123:G123,"Sem acesso")+COUNTIF(H123,"Não ativado")</f>
        <v/>
      </c>
      <c r="J123" s="5">
        <f>IF(OR(F123="Chamado aberto",G123="Chamado aberto"),"INC-"&amp;TEXT(749556,"0"),"-")</f>
        <v/>
      </c>
    </row>
    <row r="124">
      <c r="A124" s="8" t="inlineStr">
        <is>
          <t>Ester Lima</t>
        </is>
      </c>
      <c r="B124" s="8" t="inlineStr">
        <is>
          <t>Marcia Assunção</t>
        </is>
      </c>
      <c r="C124" s="5" t="inlineStr">
        <is>
          <t>Chat</t>
        </is>
      </c>
      <c r="D124" s="5" t="inlineStr">
        <is>
          <t>Manhã</t>
        </is>
      </c>
      <c r="E124" s="5" t="inlineStr">
        <is>
          <t>ATIVO(A)</t>
        </is>
      </c>
      <c r="F124" s="5" t="inlineStr">
        <is>
          <t>Não se aplica</t>
        </is>
      </c>
      <c r="G124" s="5" t="inlineStr">
        <is>
          <t>Liberado</t>
        </is>
      </c>
      <c r="H124" s="5" t="inlineStr">
        <is>
          <t>Trilha pendente</t>
        </is>
      </c>
      <c r="I124" s="5">
        <f>COUNTIF(F124:G124,"Pendente")+COUNTIF(F124:G124,"Sem acesso")+COUNTIF(H124,"Não ativado")</f>
        <v/>
      </c>
      <c r="J124" s="5">
        <f>IF(OR(F124="Chamado aberto",G124="Chamado aberto"),"INC-"&amp;TEXT(584335,"0"),"-")</f>
        <v/>
      </c>
    </row>
    <row r="125">
      <c r="A125" s="8" t="inlineStr">
        <is>
          <t>Gislaine Barros</t>
        </is>
      </c>
      <c r="B125" s="8" t="inlineStr">
        <is>
          <t>Marcia Assunção</t>
        </is>
      </c>
      <c r="C125" s="5" t="inlineStr">
        <is>
          <t>Chat</t>
        </is>
      </c>
      <c r="D125" s="5" t="inlineStr">
        <is>
          <t>Manhã</t>
        </is>
      </c>
      <c r="E125" s="5" t="inlineStr">
        <is>
          <t>ATIVO(A)</t>
        </is>
      </c>
      <c r="F125" s="5" t="inlineStr">
        <is>
          <t>Liberado</t>
        </is>
      </c>
      <c r="G125" s="5" t="inlineStr">
        <is>
          <t>Chamado aberto</t>
        </is>
      </c>
      <c r="H125" s="5" t="inlineStr">
        <is>
          <t>Ativado</t>
        </is>
      </c>
      <c r="I125" s="5">
        <f>COUNTIF(F125:G125,"Pendente")+COUNTIF(F125:G125,"Sem acesso")+COUNTIF(H125,"Não ativado")</f>
        <v/>
      </c>
      <c r="J125" s="5">
        <f>IF(OR(F125="Chamado aberto",G125="Chamado aberto"),"INC-"&amp;TEXT(174648,"0"),"-")</f>
        <v/>
      </c>
    </row>
    <row r="126">
      <c r="A126" s="8" t="inlineStr">
        <is>
          <t>Kaua Barros</t>
        </is>
      </c>
      <c r="B126" s="8" t="inlineStr">
        <is>
          <t>Marcia Assunção</t>
        </is>
      </c>
      <c r="C126" s="5" t="inlineStr">
        <is>
          <t>Voz</t>
        </is>
      </c>
      <c r="D126" s="5" t="inlineStr">
        <is>
          <t>Tarde</t>
        </is>
      </c>
      <c r="E126" s="5" t="inlineStr">
        <is>
          <t>ATIVO(A)</t>
        </is>
      </c>
      <c r="F126" s="5" t="inlineStr">
        <is>
          <t>Liberado</t>
        </is>
      </c>
      <c r="G126" s="5" t="inlineStr">
        <is>
          <t>Pendente</t>
        </is>
      </c>
      <c r="H126" s="5" t="inlineStr">
        <is>
          <t>Trilha pendente</t>
        </is>
      </c>
      <c r="I126" s="5">
        <f>COUNTIF(F126:G126,"Pendente")+COUNTIF(F126:G126,"Sem acesso")+COUNTIF(H126,"Não ativado")</f>
        <v/>
      </c>
      <c r="J126" s="5">
        <f>IF(OR(F126="Chamado aberto",G126="Chamado aberto"),"INC-"&amp;TEXT(259503,"0"),"-")</f>
        <v/>
      </c>
    </row>
    <row r="127">
      <c r="A127" s="8" t="inlineStr">
        <is>
          <t>Lucas Carvalho</t>
        </is>
      </c>
      <c r="B127" s="8" t="inlineStr">
        <is>
          <t>Marcia Assunção</t>
        </is>
      </c>
      <c r="C127" s="5" t="inlineStr">
        <is>
          <t>Chat</t>
        </is>
      </c>
      <c r="D127" s="5" t="inlineStr">
        <is>
          <t>Tarde</t>
        </is>
      </c>
      <c r="E127" s="5" t="inlineStr">
        <is>
          <t>ATIVO(A)</t>
        </is>
      </c>
      <c r="F127" s="5" t="inlineStr">
        <is>
          <t>Não se aplica</t>
        </is>
      </c>
      <c r="G127" s="5" t="inlineStr">
        <is>
          <t>Liberado</t>
        </is>
      </c>
      <c r="H127" s="5" t="inlineStr">
        <is>
          <t>Não ativado</t>
        </is>
      </c>
      <c r="I127" s="5">
        <f>COUNTIF(F127:G127,"Pendente")+COUNTIF(F127:G127,"Sem acesso")+COUNTIF(H127,"Não ativado")</f>
        <v/>
      </c>
      <c r="J127" s="5">
        <f>IF(OR(F127="Chamado aberto",G127="Chamado aberto"),"INC-"&amp;TEXT(958181,"0"),"-")</f>
        <v/>
      </c>
    </row>
    <row r="128">
      <c r="A128" s="8" t="inlineStr">
        <is>
          <t>Matheus Nascimento</t>
        </is>
      </c>
      <c r="B128" s="8" t="inlineStr">
        <is>
          <t>Marcia Assunção</t>
        </is>
      </c>
      <c r="C128" s="5" t="inlineStr">
        <is>
          <t>Chat</t>
        </is>
      </c>
      <c r="D128" s="5" t="inlineStr">
        <is>
          <t>Manhã</t>
        </is>
      </c>
      <c r="E128" s="5" t="inlineStr">
        <is>
          <t>FÉRIAS</t>
        </is>
      </c>
      <c r="F128" s="5" t="inlineStr">
        <is>
          <t>Liberado</t>
        </is>
      </c>
      <c r="G128" s="5" t="inlineStr">
        <is>
          <t>Chamado aberto</t>
        </is>
      </c>
      <c r="H128" s="5" t="inlineStr">
        <is>
          <t>Ativado</t>
        </is>
      </c>
      <c r="I128" s="5">
        <f>COUNTIF(F128:G128,"Pendente")+COUNTIF(F128:G128,"Sem acesso")+COUNTIF(H128,"Não ativado")</f>
        <v/>
      </c>
      <c r="J128" s="5">
        <f>IF(OR(F128="Chamado aberto",G128="Chamado aberto"),"INC-"&amp;TEXT(134763,"0"),"-")</f>
        <v/>
      </c>
    </row>
    <row r="129">
      <c r="A129" s="8" t="inlineStr">
        <is>
          <t>Nathanael Miranda</t>
        </is>
      </c>
      <c r="B129" s="8" t="inlineStr">
        <is>
          <t>Marcia Assunção</t>
        </is>
      </c>
      <c r="C129" s="5" t="inlineStr">
        <is>
          <t>Chat</t>
        </is>
      </c>
      <c r="D129" s="5" t="inlineStr">
        <is>
          <t>Manhã</t>
        </is>
      </c>
      <c r="E129" s="5" t="inlineStr">
        <is>
          <t>ATIVO(A)</t>
        </is>
      </c>
      <c r="F129" s="5" t="inlineStr">
        <is>
          <t>Liberado</t>
        </is>
      </c>
      <c r="G129" s="5" t="inlineStr">
        <is>
          <t>Liberado</t>
        </is>
      </c>
      <c r="H129" s="5" t="inlineStr">
        <is>
          <t>Não ativado</t>
        </is>
      </c>
      <c r="I129" s="5">
        <f>COUNTIF(F129:G129,"Pendente")+COUNTIF(F129:G129,"Sem acesso")+COUNTIF(H129,"Não ativado")</f>
        <v/>
      </c>
      <c r="J129" s="5">
        <f>IF(OR(F129="Chamado aberto",G129="Chamado aberto"),"INC-"&amp;TEXT(431418,"0"),"-")</f>
        <v/>
      </c>
    </row>
    <row r="130">
      <c r="A130" s="8" t="inlineStr">
        <is>
          <t>Paulo Rocha</t>
        </is>
      </c>
      <c r="B130" s="8" t="inlineStr">
        <is>
          <t>Marcia Assunção</t>
        </is>
      </c>
      <c r="C130" s="5" t="inlineStr">
        <is>
          <t>Voz</t>
        </is>
      </c>
      <c r="D130" s="5" t="inlineStr">
        <is>
          <t>Tarde</t>
        </is>
      </c>
      <c r="E130" s="5" t="inlineStr">
        <is>
          <t>ATIVO(A)</t>
        </is>
      </c>
      <c r="F130" s="5" t="inlineStr">
        <is>
          <t>Liberado</t>
        </is>
      </c>
      <c r="G130" s="5" t="inlineStr">
        <is>
          <t>Chamado aberto</t>
        </is>
      </c>
      <c r="H130" s="5" t="inlineStr">
        <is>
          <t>Ativado</t>
        </is>
      </c>
      <c r="I130" s="5">
        <f>COUNTIF(F130:G130,"Pendente")+COUNTIF(F130:G130,"Sem acesso")+COUNTIF(H130,"Não ativado")</f>
        <v/>
      </c>
      <c r="J130" s="5">
        <f>IF(OR(F130="Chamado aberto",G130="Chamado aberto"),"INC-"&amp;TEXT(806544,"0"),"-")</f>
        <v/>
      </c>
    </row>
    <row r="131">
      <c r="A131" s="8" t="inlineStr">
        <is>
          <t>Rafael Mendes</t>
        </is>
      </c>
      <c r="B131" s="8" t="inlineStr">
        <is>
          <t>Marcia Assunção</t>
        </is>
      </c>
      <c r="C131" s="5" t="inlineStr">
        <is>
          <t>Voz</t>
        </is>
      </c>
      <c r="D131" s="5" t="inlineStr">
        <is>
          <t>Manhã</t>
        </is>
      </c>
      <c r="E131" s="5" t="inlineStr">
        <is>
          <t>ATIVO(A)</t>
        </is>
      </c>
      <c r="F131" s="5" t="inlineStr">
        <is>
          <t>Pendente</t>
        </is>
      </c>
      <c r="G131" s="5" t="inlineStr">
        <is>
          <t>Pendente</t>
        </is>
      </c>
      <c r="H131" s="5" t="inlineStr">
        <is>
          <t>Ativado</t>
        </is>
      </c>
      <c r="I131" s="5">
        <f>COUNTIF(F131:G131,"Pendente")+COUNTIF(F131:G131,"Sem acesso")+COUNTIF(H131,"Não ativado")</f>
        <v/>
      </c>
      <c r="J131" s="5">
        <f>IF(OR(F131="Chamado aberto",G131="Chamado aberto"),"INC-"&amp;TEXT(223641,"0"),"-")</f>
        <v/>
      </c>
    </row>
    <row r="132">
      <c r="A132" s="8" t="inlineStr">
        <is>
          <t>Thiago Azevedo</t>
        </is>
      </c>
      <c r="B132" s="8" t="inlineStr">
        <is>
          <t>Marcia Assunção</t>
        </is>
      </c>
      <c r="C132" s="5" t="inlineStr">
        <is>
          <t>Voz</t>
        </is>
      </c>
      <c r="D132" s="5" t="inlineStr">
        <is>
          <t>Manhã</t>
        </is>
      </c>
      <c r="E132" s="5" t="inlineStr">
        <is>
          <t>FÉRIAS</t>
        </is>
      </c>
      <c r="F132" s="5" t="inlineStr">
        <is>
          <t>Chamado aberto</t>
        </is>
      </c>
      <c r="G132" s="5" t="inlineStr">
        <is>
          <t>Liberado</t>
        </is>
      </c>
      <c r="H132" s="5" t="inlineStr">
        <is>
          <t>Não ativado</t>
        </is>
      </c>
      <c r="I132" s="5">
        <f>COUNTIF(F132:G132,"Pendente")+COUNTIF(F132:G132,"Sem acesso")+COUNTIF(H132,"Não ativado")</f>
        <v/>
      </c>
      <c r="J132" s="5">
        <f>IF(OR(F132="Chamado aberto",G132="Chamado aberto"),"INC-"&amp;TEXT(575925,"0"),"-")</f>
        <v/>
      </c>
    </row>
    <row r="133">
      <c r="A133" s="8" t="inlineStr">
        <is>
          <t>William Gomes</t>
        </is>
      </c>
      <c r="B133" s="8" t="inlineStr">
        <is>
          <t>Marcia Assunção</t>
        </is>
      </c>
      <c r="C133" s="5" t="inlineStr">
        <is>
          <t>Chat</t>
        </is>
      </c>
      <c r="D133" s="5" t="inlineStr">
        <is>
          <t>Manhã</t>
        </is>
      </c>
      <c r="E133" s="5" t="inlineStr">
        <is>
          <t>ATIVO(A)</t>
        </is>
      </c>
      <c r="F133" s="5" t="inlineStr">
        <is>
          <t>Não se aplica</t>
        </is>
      </c>
      <c r="G133" s="5" t="inlineStr">
        <is>
          <t>Chamado aberto</t>
        </is>
      </c>
      <c r="H133" s="5" t="inlineStr">
        <is>
          <t>Ativado</t>
        </is>
      </c>
      <c r="I133" s="5">
        <f>COUNTIF(F133:G133,"Pendente")+COUNTIF(F133:G133,"Sem acesso")+COUNTIF(H133,"Não ativado")</f>
        <v/>
      </c>
      <c r="J133" s="5">
        <f>IF(OR(F133="Chamado aberto",G133="Chamado aberto"),"INC-"&amp;TEXT(135160,"0"),"-")</f>
        <v/>
      </c>
    </row>
    <row r="134">
      <c r="A134" s="8" t="inlineStr">
        <is>
          <t>Anthony Carvalho</t>
        </is>
      </c>
      <c r="B134" s="8" t="inlineStr">
        <is>
          <t>Ualifer Azevedo</t>
        </is>
      </c>
      <c r="C134" s="5" t="inlineStr">
        <is>
          <t>Chat</t>
        </is>
      </c>
      <c r="D134" s="5" t="inlineStr">
        <is>
          <t>Manhã</t>
        </is>
      </c>
      <c r="E134" s="5" t="inlineStr">
        <is>
          <t>ATIVO(A)</t>
        </is>
      </c>
      <c r="F134" s="5" t="inlineStr">
        <is>
          <t>Liberado</t>
        </is>
      </c>
      <c r="G134" s="5" t="inlineStr">
        <is>
          <t>Sem acesso</t>
        </is>
      </c>
      <c r="H134" s="5" t="inlineStr">
        <is>
          <t>Ativado</t>
        </is>
      </c>
      <c r="I134" s="5">
        <f>COUNTIF(F134:G134,"Pendente")+COUNTIF(F134:G134,"Sem acesso")+COUNTIF(H134,"Não ativado")</f>
        <v/>
      </c>
      <c r="J134" s="5">
        <f>IF(OR(F134="Chamado aberto",G134="Chamado aberto"),"INC-"&amp;TEXT(788357,"0"),"-")</f>
        <v/>
      </c>
    </row>
    <row r="135">
      <c r="A135" s="8" t="inlineStr">
        <is>
          <t>Aryanne Rocha</t>
        </is>
      </c>
      <c r="B135" s="8" t="inlineStr">
        <is>
          <t>Ualifer Azevedo</t>
        </is>
      </c>
      <c r="C135" s="5" t="inlineStr">
        <is>
          <t>Voz</t>
        </is>
      </c>
      <c r="D135" s="5" t="inlineStr">
        <is>
          <t>Manhã</t>
        </is>
      </c>
      <c r="E135" s="5" t="inlineStr">
        <is>
          <t>ATIVO(A)</t>
        </is>
      </c>
      <c r="F135" s="5" t="inlineStr">
        <is>
          <t>Liberado</t>
        </is>
      </c>
      <c r="G135" s="5" t="inlineStr">
        <is>
          <t>Sem acesso</t>
        </is>
      </c>
      <c r="H135" s="5" t="inlineStr">
        <is>
          <t>Trilha pendente</t>
        </is>
      </c>
      <c r="I135" s="5">
        <f>COUNTIF(F135:G135,"Pendente")+COUNTIF(F135:G135,"Sem acesso")+COUNTIF(H135,"Não ativado")</f>
        <v/>
      </c>
      <c r="J135" s="5">
        <f>IF(OR(F135="Chamado aberto",G135="Chamado aberto"),"INC-"&amp;TEXT(841041,"0"),"-")</f>
        <v/>
      </c>
    </row>
    <row r="136">
      <c r="A136" s="8" t="inlineStr">
        <is>
          <t>Caio Fernandes</t>
        </is>
      </c>
      <c r="B136" s="8" t="inlineStr">
        <is>
          <t>Ualifer Azevedo</t>
        </is>
      </c>
      <c r="C136" s="5" t="inlineStr">
        <is>
          <t>Voz</t>
        </is>
      </c>
      <c r="D136" s="5" t="inlineStr">
        <is>
          <t>Tarde</t>
        </is>
      </c>
      <c r="E136" s="5" t="inlineStr">
        <is>
          <t>ATIVO(A)</t>
        </is>
      </c>
      <c r="F136" s="5" t="inlineStr">
        <is>
          <t>Liberado</t>
        </is>
      </c>
      <c r="G136" s="5" t="inlineStr">
        <is>
          <t>Chamado aberto</t>
        </is>
      </c>
      <c r="H136" s="5" t="inlineStr">
        <is>
          <t>Não ativado</t>
        </is>
      </c>
      <c r="I136" s="5">
        <f>COUNTIF(F136:G136,"Pendente")+COUNTIF(F136:G136,"Sem acesso")+COUNTIF(H136,"Não ativado")</f>
        <v/>
      </c>
      <c r="J136" s="5">
        <f>IF(OR(F136="Chamado aberto",G136="Chamado aberto"),"INC-"&amp;TEXT(293437,"0"),"-")</f>
        <v/>
      </c>
    </row>
    <row r="137">
      <c r="A137" s="8" t="inlineStr">
        <is>
          <t>Danyllo Castro</t>
        </is>
      </c>
      <c r="B137" s="8" t="inlineStr">
        <is>
          <t>Ualifer Azevedo</t>
        </is>
      </c>
      <c r="C137" s="5" t="inlineStr">
        <is>
          <t>Chat</t>
        </is>
      </c>
      <c r="D137" s="5" t="inlineStr">
        <is>
          <t>Tarde</t>
        </is>
      </c>
      <c r="E137" s="5" t="inlineStr">
        <is>
          <t>ATIVO(A)</t>
        </is>
      </c>
      <c r="F137" s="5" t="inlineStr">
        <is>
          <t>Liberado</t>
        </is>
      </c>
      <c r="G137" s="5" t="inlineStr">
        <is>
          <t>Liberado</t>
        </is>
      </c>
      <c r="H137" s="5" t="inlineStr">
        <is>
          <t>Trilha pendente</t>
        </is>
      </c>
      <c r="I137" s="5">
        <f>COUNTIF(F137:G137,"Pendente")+COUNTIF(F137:G137,"Sem acesso")+COUNTIF(H137,"Não ativado")</f>
        <v/>
      </c>
      <c r="J137" s="5">
        <f>IF(OR(F137="Chamado aberto",G137="Chamado aberto"),"INC-"&amp;TEXT(271288,"0"),"-")</f>
        <v/>
      </c>
    </row>
    <row r="138">
      <c r="A138" s="8" t="inlineStr">
        <is>
          <t>David Gomes</t>
        </is>
      </c>
      <c r="B138" s="8" t="inlineStr">
        <is>
          <t>Ualifer Azevedo</t>
        </is>
      </c>
      <c r="C138" s="5" t="inlineStr">
        <is>
          <t>Voz</t>
        </is>
      </c>
      <c r="D138" s="5" t="inlineStr">
        <is>
          <t>Manhã</t>
        </is>
      </c>
      <c r="E138" s="5" t="inlineStr">
        <is>
          <t>ATIVO(A)</t>
        </is>
      </c>
      <c r="F138" s="5" t="inlineStr">
        <is>
          <t>Liberado</t>
        </is>
      </c>
      <c r="G138" s="5" t="inlineStr">
        <is>
          <t>Liberado</t>
        </is>
      </c>
      <c r="H138" s="5" t="inlineStr">
        <is>
          <t>Ativado</t>
        </is>
      </c>
      <c r="I138" s="5">
        <f>COUNTIF(F138:G138,"Pendente")+COUNTIF(F138:G138,"Sem acesso")+COUNTIF(H138,"Não ativado")</f>
        <v/>
      </c>
      <c r="J138" s="5">
        <f>IF(OR(F138="Chamado aberto",G138="Chamado aberto"),"INC-"&amp;TEXT(146054,"0"),"-")</f>
        <v/>
      </c>
    </row>
    <row r="139">
      <c r="A139" s="8" t="inlineStr">
        <is>
          <t>Douglas Santana</t>
        </is>
      </c>
      <c r="B139" s="8" t="inlineStr">
        <is>
          <t>Ualifer Azevedo</t>
        </is>
      </c>
      <c r="C139" s="5" t="inlineStr">
        <is>
          <t>Voz</t>
        </is>
      </c>
      <c r="D139" s="5" t="inlineStr">
        <is>
          <t>Tarde</t>
        </is>
      </c>
      <c r="E139" s="5" t="inlineStr">
        <is>
          <t>ATIVO(A)</t>
        </is>
      </c>
      <c r="F139" s="5" t="inlineStr">
        <is>
          <t>Chamado aberto</t>
        </is>
      </c>
      <c r="G139" s="5" t="inlineStr">
        <is>
          <t>Sem acesso</t>
        </is>
      </c>
      <c r="H139" s="5" t="inlineStr">
        <is>
          <t>Trilha pendente</t>
        </is>
      </c>
      <c r="I139" s="5">
        <f>COUNTIF(F139:G139,"Pendente")+COUNTIF(F139:G139,"Sem acesso")+COUNTIF(H139,"Não ativado")</f>
        <v/>
      </c>
      <c r="J139" s="5">
        <f>IF(OR(F139="Chamado aberto",G139="Chamado aberto"),"INC-"&amp;TEXT(861708,"0"),"-")</f>
        <v/>
      </c>
    </row>
    <row r="140">
      <c r="A140" s="8" t="inlineStr">
        <is>
          <t>Giovanna Santana</t>
        </is>
      </c>
      <c r="B140" s="8" t="inlineStr">
        <is>
          <t>Ualifer Azevedo</t>
        </is>
      </c>
      <c r="C140" s="5" t="inlineStr">
        <is>
          <t>Voz</t>
        </is>
      </c>
      <c r="D140" s="5" t="inlineStr">
        <is>
          <t>Manhã</t>
        </is>
      </c>
      <c r="E140" s="5" t="inlineStr">
        <is>
          <t>ATIVO(A)</t>
        </is>
      </c>
      <c r="F140" s="5" t="inlineStr">
        <is>
          <t>Liberado</t>
        </is>
      </c>
      <c r="G140" s="5" t="inlineStr">
        <is>
          <t>Liberado</t>
        </is>
      </c>
      <c r="H140" s="5" t="inlineStr">
        <is>
          <t>Trilha pendente</t>
        </is>
      </c>
      <c r="I140" s="5">
        <f>COUNTIF(F140:G140,"Pendente")+COUNTIF(F140:G140,"Sem acesso")+COUNTIF(H140,"Não ativado")</f>
        <v/>
      </c>
      <c r="J140" s="5">
        <f>IF(OR(F140="Chamado aberto",G140="Chamado aberto"),"INC-"&amp;TEXT(163823,"0"),"-")</f>
        <v/>
      </c>
    </row>
    <row r="141">
      <c r="A141" s="8" t="inlineStr">
        <is>
          <t>Igor Moraes</t>
        </is>
      </c>
      <c r="B141" s="8" t="inlineStr">
        <is>
          <t>Ualifer Azevedo</t>
        </is>
      </c>
      <c r="C141" s="5" t="inlineStr">
        <is>
          <t>Chat</t>
        </is>
      </c>
      <c r="D141" s="5" t="inlineStr">
        <is>
          <t>Tarde</t>
        </is>
      </c>
      <c r="E141" s="5" t="inlineStr">
        <is>
          <t>ATIVO(A)</t>
        </is>
      </c>
      <c r="F141" s="5" t="inlineStr">
        <is>
          <t>Chamado aberto</t>
        </is>
      </c>
      <c r="G141" s="5" t="inlineStr">
        <is>
          <t>Pendente</t>
        </is>
      </c>
      <c r="H141" s="5" t="inlineStr">
        <is>
          <t>Ativado</t>
        </is>
      </c>
      <c r="I141" s="5">
        <f>COUNTIF(F141:G141,"Pendente")+COUNTIF(F141:G141,"Sem acesso")+COUNTIF(H141,"Não ativado")</f>
        <v/>
      </c>
      <c r="J141" s="5">
        <f>IF(OR(F141="Chamado aberto",G141="Chamado aberto"),"INC-"&amp;TEXT(147131,"0"),"-")</f>
        <v/>
      </c>
    </row>
    <row r="142">
      <c r="A142" s="8" t="inlineStr">
        <is>
          <t>Indayanara Moreira</t>
        </is>
      </c>
      <c r="B142" s="8" t="inlineStr">
        <is>
          <t>Ualifer Azevedo</t>
        </is>
      </c>
      <c r="C142" s="5" t="inlineStr">
        <is>
          <t>Chat</t>
        </is>
      </c>
      <c r="D142" s="5" t="inlineStr">
        <is>
          <t>Tarde</t>
        </is>
      </c>
      <c r="E142" s="5" t="inlineStr">
        <is>
          <t>ATIVO(A)</t>
        </is>
      </c>
      <c r="F142" s="5" t="inlineStr">
        <is>
          <t>Sem acesso</t>
        </is>
      </c>
      <c r="G142" s="5" t="inlineStr">
        <is>
          <t>Sem acesso</t>
        </is>
      </c>
      <c r="H142" s="5" t="inlineStr">
        <is>
          <t>Não ativado</t>
        </is>
      </c>
      <c r="I142" s="5">
        <f>COUNTIF(F142:G142,"Pendente")+COUNTIF(F142:G142,"Sem acesso")+COUNTIF(H142,"Não ativado")</f>
        <v/>
      </c>
      <c r="J142" s="5">
        <f>IF(OR(F142="Chamado aberto",G142="Chamado aberto"),"INC-"&amp;TEXT(198371,"0"),"-")</f>
        <v/>
      </c>
    </row>
    <row r="143">
      <c r="A143" s="8" t="inlineStr">
        <is>
          <t>Jefferson Araújo</t>
        </is>
      </c>
      <c r="B143" s="8" t="inlineStr">
        <is>
          <t>Ualifer Azevedo</t>
        </is>
      </c>
      <c r="C143" s="5" t="inlineStr">
        <is>
          <t>Chat</t>
        </is>
      </c>
      <c r="D143" s="5" t="inlineStr">
        <is>
          <t>Manhã</t>
        </is>
      </c>
      <c r="E143" s="5" t="inlineStr">
        <is>
          <t>ATIVO(A)</t>
        </is>
      </c>
      <c r="F143" s="5" t="inlineStr">
        <is>
          <t>Não se aplica</t>
        </is>
      </c>
      <c r="G143" s="5" t="inlineStr">
        <is>
          <t>Liberado</t>
        </is>
      </c>
      <c r="H143" s="5" t="inlineStr">
        <is>
          <t>Trilha pendente</t>
        </is>
      </c>
      <c r="I143" s="5">
        <f>COUNTIF(F143:G143,"Pendente")+COUNTIF(F143:G143,"Sem acesso")+COUNTIF(H143,"Não ativado")</f>
        <v/>
      </c>
      <c r="J143" s="5">
        <f>IF(OR(F143="Chamado aberto",G143="Chamado aberto"),"INC-"&amp;TEXT(196413,"0"),"-")</f>
        <v/>
      </c>
    </row>
    <row r="144">
      <c r="A144" s="8" t="inlineStr">
        <is>
          <t>Julia Assunção</t>
        </is>
      </c>
      <c r="B144" s="8" t="inlineStr">
        <is>
          <t>Ualifer Azevedo</t>
        </is>
      </c>
      <c r="C144" s="5" t="inlineStr">
        <is>
          <t>Voz</t>
        </is>
      </c>
      <c r="D144" s="5" t="inlineStr">
        <is>
          <t>Manhã</t>
        </is>
      </c>
      <c r="E144" s="5" t="inlineStr">
        <is>
          <t>ATIVO(A)</t>
        </is>
      </c>
      <c r="F144" s="5" t="inlineStr">
        <is>
          <t>Pendente</t>
        </is>
      </c>
      <c r="G144" s="5" t="inlineStr">
        <is>
          <t>Liberado</t>
        </is>
      </c>
      <c r="H144" s="5" t="inlineStr">
        <is>
          <t>Ativado</t>
        </is>
      </c>
      <c r="I144" s="5">
        <f>COUNTIF(F144:G144,"Pendente")+COUNTIF(F144:G144,"Sem acesso")+COUNTIF(H144,"Não ativado")</f>
        <v/>
      </c>
      <c r="J144" s="5">
        <f>IF(OR(F144="Chamado aberto",G144="Chamado aberto"),"INC-"&amp;TEXT(775540,"0"),"-")</f>
        <v/>
      </c>
    </row>
    <row r="145">
      <c r="A145" s="8" t="inlineStr">
        <is>
          <t>Ketllyn Carvalho</t>
        </is>
      </c>
      <c r="B145" s="8" t="inlineStr">
        <is>
          <t>Ualifer Azevedo</t>
        </is>
      </c>
      <c r="C145" s="5" t="inlineStr">
        <is>
          <t>Chat</t>
        </is>
      </c>
      <c r="D145" s="5" t="inlineStr">
        <is>
          <t>Tarde</t>
        </is>
      </c>
      <c r="E145" s="5" t="inlineStr">
        <is>
          <t>ATIVO(A)</t>
        </is>
      </c>
      <c r="F145" s="5" t="inlineStr">
        <is>
          <t>Pendente</t>
        </is>
      </c>
      <c r="G145" s="5" t="inlineStr">
        <is>
          <t>Liberado</t>
        </is>
      </c>
      <c r="H145" s="5" t="inlineStr">
        <is>
          <t>Ativado</t>
        </is>
      </c>
      <c r="I145" s="5">
        <f>COUNTIF(F145:G145,"Pendente")+COUNTIF(F145:G145,"Sem acesso")+COUNTIF(H145,"Não ativado")</f>
        <v/>
      </c>
      <c r="J145" s="5">
        <f>IF(OR(F145="Chamado aberto",G145="Chamado aberto"),"INC-"&amp;TEXT(367837,"0"),"-")</f>
        <v/>
      </c>
    </row>
    <row r="146">
      <c r="A146" s="8" t="inlineStr">
        <is>
          <t>Leisiany Morais</t>
        </is>
      </c>
      <c r="B146" s="8" t="inlineStr">
        <is>
          <t>Ualifer Azevedo</t>
        </is>
      </c>
      <c r="C146" s="5" t="inlineStr">
        <is>
          <t>Voz</t>
        </is>
      </c>
      <c r="D146" s="5" t="inlineStr">
        <is>
          <t>Tarde</t>
        </is>
      </c>
      <c r="E146" s="5" t="inlineStr">
        <is>
          <t>ATIVO(A)</t>
        </is>
      </c>
      <c r="F146" s="5" t="inlineStr">
        <is>
          <t>Pendente</t>
        </is>
      </c>
      <c r="G146" s="5" t="inlineStr">
        <is>
          <t>Pendente</t>
        </is>
      </c>
      <c r="H146" s="5" t="inlineStr">
        <is>
          <t>Não ativado</t>
        </is>
      </c>
      <c r="I146" s="5">
        <f>COUNTIF(F146:G146,"Pendente")+COUNTIF(F146:G146,"Sem acesso")+COUNTIF(H146,"Não ativado")</f>
        <v/>
      </c>
      <c r="J146" s="5">
        <f>IF(OR(F146="Chamado aberto",G146="Chamado aberto"),"INC-"&amp;TEXT(771606,"0"),"-")</f>
        <v/>
      </c>
    </row>
    <row r="147">
      <c r="A147" s="8" t="inlineStr">
        <is>
          <t>Mariana Almeida</t>
        </is>
      </c>
      <c r="B147" s="8" t="inlineStr">
        <is>
          <t>Ualifer Azevedo</t>
        </is>
      </c>
      <c r="C147" s="5" t="inlineStr">
        <is>
          <t>Voz</t>
        </is>
      </c>
      <c r="D147" s="5" t="inlineStr">
        <is>
          <t>Tarde</t>
        </is>
      </c>
      <c r="E147" s="5" t="inlineStr">
        <is>
          <t>ATIVO(A)</t>
        </is>
      </c>
      <c r="F147" s="5" t="inlineStr">
        <is>
          <t>Liberado</t>
        </is>
      </c>
      <c r="G147" s="5" t="inlineStr">
        <is>
          <t>Liberado</t>
        </is>
      </c>
      <c r="H147" s="5" t="inlineStr">
        <is>
          <t>Ativado</t>
        </is>
      </c>
      <c r="I147" s="5">
        <f>COUNTIF(F147:G147,"Pendente")+COUNTIF(F147:G147,"Sem acesso")+COUNTIF(H147,"Não ativado")</f>
        <v/>
      </c>
      <c r="J147" s="5">
        <f>IF(OR(F147="Chamado aberto",G147="Chamado aberto"),"INC-"&amp;TEXT(288100,"0"),"-")</f>
        <v/>
      </c>
    </row>
    <row r="148">
      <c r="A148" s="8" t="inlineStr">
        <is>
          <t>Melissa Alves</t>
        </is>
      </c>
      <c r="B148" s="8" t="inlineStr">
        <is>
          <t>Ualifer Azevedo</t>
        </is>
      </c>
      <c r="C148" s="5" t="inlineStr">
        <is>
          <t>Chat</t>
        </is>
      </c>
      <c r="D148" s="5" t="inlineStr">
        <is>
          <t>Tarde</t>
        </is>
      </c>
      <c r="E148" s="5" t="inlineStr">
        <is>
          <t>ATIVO(A)</t>
        </is>
      </c>
      <c r="F148" s="5" t="inlineStr">
        <is>
          <t>Não se aplica</t>
        </is>
      </c>
      <c r="G148" s="5" t="inlineStr">
        <is>
          <t>Chamado aberto</t>
        </is>
      </c>
      <c r="H148" s="5" t="inlineStr">
        <is>
          <t>Trilha pendente</t>
        </is>
      </c>
      <c r="I148" s="5">
        <f>COUNTIF(F148:G148,"Pendente")+COUNTIF(F148:G148,"Sem acesso")+COUNTIF(H148,"Não ativado")</f>
        <v/>
      </c>
      <c r="J148" s="5">
        <f>IF(OR(F148="Chamado aberto",G148="Chamado aberto"),"INC-"&amp;TEXT(297194,"0"),"-")</f>
        <v/>
      </c>
    </row>
    <row r="149">
      <c r="A149" s="8" t="inlineStr">
        <is>
          <t>Mirian Araújo</t>
        </is>
      </c>
      <c r="B149" s="8" t="inlineStr">
        <is>
          <t>Ualifer Azevedo</t>
        </is>
      </c>
      <c r="C149" s="5" t="inlineStr">
        <is>
          <t>Voz</t>
        </is>
      </c>
      <c r="D149" s="5" t="inlineStr">
        <is>
          <t>Manhã</t>
        </is>
      </c>
      <c r="E149" s="5" t="inlineStr">
        <is>
          <t>ATIVO(A)</t>
        </is>
      </c>
      <c r="F149" s="5" t="inlineStr">
        <is>
          <t>Sem acesso</t>
        </is>
      </c>
      <c r="G149" s="5" t="inlineStr">
        <is>
          <t>Liberado</t>
        </is>
      </c>
      <c r="H149" s="5" t="inlineStr">
        <is>
          <t>Ativado</t>
        </is>
      </c>
      <c r="I149" s="5">
        <f>COUNTIF(F149:G149,"Pendente")+COUNTIF(F149:G149,"Sem acesso")+COUNTIF(H149,"Não ativado")</f>
        <v/>
      </c>
      <c r="J149" s="5">
        <f>IF(OR(F149="Chamado aberto",G149="Chamado aberto"),"INC-"&amp;TEXT(429135,"0"),"-")</f>
        <v/>
      </c>
    </row>
    <row r="150">
      <c r="A150" s="8" t="inlineStr">
        <is>
          <t>Raysa Santos</t>
        </is>
      </c>
      <c r="B150" s="8" t="inlineStr">
        <is>
          <t>Ualifer Azevedo</t>
        </is>
      </c>
      <c r="C150" s="5" t="inlineStr">
        <is>
          <t>Chat</t>
        </is>
      </c>
      <c r="D150" s="5" t="inlineStr">
        <is>
          <t>Tarde</t>
        </is>
      </c>
      <c r="E150" s="5" t="inlineStr">
        <is>
          <t>ATIVO(A)</t>
        </is>
      </c>
      <c r="F150" s="5" t="inlineStr">
        <is>
          <t>Não se aplica</t>
        </is>
      </c>
      <c r="G150" s="5" t="inlineStr">
        <is>
          <t>Liberado</t>
        </is>
      </c>
      <c r="H150" s="5" t="inlineStr">
        <is>
          <t>Ativado</t>
        </is>
      </c>
      <c r="I150" s="5">
        <f>COUNTIF(F150:G150,"Pendente")+COUNTIF(F150:G150,"Sem acesso")+COUNTIF(H150,"Não ativado")</f>
        <v/>
      </c>
      <c r="J150" s="5">
        <f>IF(OR(F150="Chamado aberto",G150="Chamado aberto"),"INC-"&amp;TEXT(727348,"0"),"-")</f>
        <v/>
      </c>
    </row>
    <row r="151">
      <c r="A151" s="8" t="inlineStr">
        <is>
          <t>Silmara Silva</t>
        </is>
      </c>
      <c r="B151" s="8" t="inlineStr">
        <is>
          <t>Ualifer Azevedo</t>
        </is>
      </c>
      <c r="C151" s="5" t="inlineStr">
        <is>
          <t>Chat</t>
        </is>
      </c>
      <c r="D151" s="5" t="inlineStr">
        <is>
          <t>Tarde</t>
        </is>
      </c>
      <c r="E151" s="5" t="inlineStr">
        <is>
          <t>ATIVO(A)</t>
        </is>
      </c>
      <c r="F151" s="5" t="inlineStr">
        <is>
          <t>Chamado aberto</t>
        </is>
      </c>
      <c r="G151" s="5" t="inlineStr">
        <is>
          <t>Liberado</t>
        </is>
      </c>
      <c r="H151" s="5" t="inlineStr">
        <is>
          <t>Ativado</t>
        </is>
      </c>
      <c r="I151" s="5">
        <f>COUNTIF(F151:G151,"Pendente")+COUNTIF(F151:G151,"Sem acesso")+COUNTIF(H151,"Não ativado")</f>
        <v/>
      </c>
      <c r="J151" s="5">
        <f>IF(OR(F151="Chamado aberto",G151="Chamado aberto"),"INC-"&amp;TEXT(562643,"0"),"-")</f>
        <v/>
      </c>
    </row>
    <row r="152">
      <c r="A152" s="8" t="inlineStr">
        <is>
          <t>Thaina Carvalho</t>
        </is>
      </c>
      <c r="B152" s="8" t="inlineStr">
        <is>
          <t>Ualifer Azevedo</t>
        </is>
      </c>
      <c r="C152" s="5" t="inlineStr">
        <is>
          <t>Chat</t>
        </is>
      </c>
      <c r="D152" s="5" t="inlineStr">
        <is>
          <t>Tarde</t>
        </is>
      </c>
      <c r="E152" s="5" t="inlineStr">
        <is>
          <t>ATIVO(A)</t>
        </is>
      </c>
      <c r="F152" s="5" t="inlineStr">
        <is>
          <t>Não se aplica</t>
        </is>
      </c>
      <c r="G152" s="5" t="inlineStr">
        <is>
          <t>Pendente</t>
        </is>
      </c>
      <c r="H152" s="5" t="inlineStr">
        <is>
          <t>Trilha pendente</t>
        </is>
      </c>
      <c r="I152" s="5">
        <f>COUNTIF(F152:G152,"Pendente")+COUNTIF(F152:G152,"Sem acesso")+COUNTIF(H152,"Não ativado")</f>
        <v/>
      </c>
      <c r="J152" s="5">
        <f>IF(OR(F152="Chamado aberto",G152="Chamado aberto"),"INC-"&amp;TEXT(699179,"0"),"-")</f>
        <v/>
      </c>
    </row>
    <row r="153">
      <c r="A153" s="8" t="inlineStr">
        <is>
          <t>Thais Nascimento</t>
        </is>
      </c>
      <c r="B153" s="8" t="inlineStr">
        <is>
          <t>Ualifer Azevedo</t>
        </is>
      </c>
      <c r="C153" s="5" t="inlineStr">
        <is>
          <t>Chat</t>
        </is>
      </c>
      <c r="D153" s="5" t="inlineStr">
        <is>
          <t>Tarde</t>
        </is>
      </c>
      <c r="E153" s="5" t="inlineStr">
        <is>
          <t>ATIVO(A)</t>
        </is>
      </c>
      <c r="F153" s="5" t="inlineStr">
        <is>
          <t>Não se aplica</t>
        </is>
      </c>
      <c r="G153" s="5" t="inlineStr">
        <is>
          <t>Sem acesso</t>
        </is>
      </c>
      <c r="H153" s="5" t="inlineStr">
        <is>
          <t>Ativado</t>
        </is>
      </c>
      <c r="I153" s="5">
        <f>COUNTIF(F153:G153,"Pendente")+COUNTIF(F153:G153,"Sem acesso")+COUNTIF(H153,"Não ativado")</f>
        <v/>
      </c>
      <c r="J153" s="5">
        <f>IF(OR(F153="Chamado aberto",G153="Chamado aberto"),"INC-"&amp;TEXT(860887,"0"),"-")</f>
        <v/>
      </c>
    </row>
    <row r="154">
      <c r="A154" s="8" t="inlineStr">
        <is>
          <t>Tiago Nascimento</t>
        </is>
      </c>
      <c r="B154" s="8" t="inlineStr">
        <is>
          <t>Ualifer Azevedo</t>
        </is>
      </c>
      <c r="C154" s="5" t="inlineStr">
        <is>
          <t>Voz</t>
        </is>
      </c>
      <c r="D154" s="5" t="inlineStr">
        <is>
          <t>Tarde</t>
        </is>
      </c>
      <c r="E154" s="5" t="inlineStr">
        <is>
          <t>ATIVO(A)</t>
        </is>
      </c>
      <c r="F154" s="5" t="inlineStr">
        <is>
          <t>Liberado</t>
        </is>
      </c>
      <c r="G154" s="5" t="inlineStr">
        <is>
          <t>Liberado</t>
        </is>
      </c>
      <c r="H154" s="5" t="inlineStr">
        <is>
          <t>Trilha pendente</t>
        </is>
      </c>
      <c r="I154" s="5">
        <f>COUNTIF(F154:G154,"Pendente")+COUNTIF(F154:G154,"Sem acesso")+COUNTIF(H154,"Não ativado")</f>
        <v/>
      </c>
      <c r="J154" s="5">
        <f>IF(OR(F154="Chamado aberto",G154="Chamado aberto"),"INC-"&amp;TEXT(966559,"0"),"-")</f>
        <v/>
      </c>
    </row>
    <row r="155">
      <c r="A155" s="8" t="inlineStr">
        <is>
          <t>Vitoria Pereira</t>
        </is>
      </c>
      <c r="B155" s="8" t="inlineStr">
        <is>
          <t>Ualifer Azevedo</t>
        </is>
      </c>
      <c r="C155" s="5" t="inlineStr">
        <is>
          <t>Voz</t>
        </is>
      </c>
      <c r="D155" s="5" t="inlineStr">
        <is>
          <t>Tarde</t>
        </is>
      </c>
      <c r="E155" s="5" t="inlineStr">
        <is>
          <t>ATIVO(A)</t>
        </is>
      </c>
      <c r="F155" s="5" t="inlineStr">
        <is>
          <t>Liberado</t>
        </is>
      </c>
      <c r="G155" s="5" t="inlineStr">
        <is>
          <t>Sem acesso</t>
        </is>
      </c>
      <c r="H155" s="5" t="inlineStr">
        <is>
          <t>Ativado</t>
        </is>
      </c>
      <c r="I155" s="5">
        <f>COUNTIF(F155:G155,"Pendente")+COUNTIF(F155:G155,"Sem acesso")+COUNTIF(H155,"Não ativado")</f>
        <v/>
      </c>
      <c r="J155" s="5">
        <f>IF(OR(F155="Chamado aberto",G155="Chamado aberto"),"INC-"&amp;TEXT(245454,"0"),"-")</f>
        <v/>
      </c>
    </row>
    <row r="156">
      <c r="A156" s="8" t="inlineStr">
        <is>
          <t>Wallace Borges</t>
        </is>
      </c>
      <c r="B156" s="8" t="inlineStr">
        <is>
          <t>Ualifer Azevedo</t>
        </is>
      </c>
      <c r="C156" s="5" t="inlineStr">
        <is>
          <t>Voz</t>
        </is>
      </c>
      <c r="D156" s="5" t="inlineStr">
        <is>
          <t>Manhã</t>
        </is>
      </c>
      <c r="E156" s="5" t="inlineStr">
        <is>
          <t>ATIVO(A)</t>
        </is>
      </c>
      <c r="F156" s="5" t="inlineStr">
        <is>
          <t>Liberado</t>
        </is>
      </c>
      <c r="G156" s="5" t="inlineStr">
        <is>
          <t>Pendente</t>
        </is>
      </c>
      <c r="H156" s="5" t="inlineStr">
        <is>
          <t>Ativado</t>
        </is>
      </c>
      <c r="I156" s="5">
        <f>COUNTIF(F156:G156,"Pendente")+COUNTIF(F156:G156,"Sem acesso")+COUNTIF(H156,"Não ativado")</f>
        <v/>
      </c>
      <c r="J156" s="5">
        <f>IF(OR(F156="Chamado aberto",G156="Chamado aberto"),"INC-"&amp;TEXT(917790,"0"),"-")</f>
        <v/>
      </c>
    </row>
    <row r="157">
      <c r="A157" s="8" t="inlineStr">
        <is>
          <t>Wilma Dias</t>
        </is>
      </c>
      <c r="B157" s="8" t="inlineStr">
        <is>
          <t>Ualifer Azevedo</t>
        </is>
      </c>
      <c r="C157" s="5" t="inlineStr">
        <is>
          <t>Chat</t>
        </is>
      </c>
      <c r="D157" s="5" t="inlineStr">
        <is>
          <t>Tarde</t>
        </is>
      </c>
      <c r="E157" s="5" t="inlineStr">
        <is>
          <t>ATIVO(A)</t>
        </is>
      </c>
      <c r="F157" s="5" t="inlineStr">
        <is>
          <t>Não se aplica</t>
        </is>
      </c>
      <c r="G157" s="5" t="inlineStr">
        <is>
          <t>Pendente</t>
        </is>
      </c>
      <c r="H157" s="5" t="inlineStr">
        <is>
          <t>Não ativado</t>
        </is>
      </c>
      <c r="I157" s="5">
        <f>COUNTIF(F157:G157,"Pendente")+COUNTIF(F157:G157,"Sem acesso")+COUNTIF(H157,"Não ativado")</f>
        <v/>
      </c>
      <c r="J157" s="5">
        <f>IF(OR(F157="Chamado aberto",G157="Chamado aberto"),"INC-"&amp;TEXT(239112,"0"),"-")</f>
        <v/>
      </c>
    </row>
  </sheetData>
  <autoFilter ref="A4:J157"/>
  <conditionalFormatting sqref="F5:H157">
    <cfRule type="cellIs" priority="1" operator="equal" dxfId="2">
      <formula>"Liberado"</formula>
    </cfRule>
    <cfRule type="cellIs" priority="2" operator="equal" dxfId="2">
      <formula>"Ativado"</formula>
    </cfRule>
    <cfRule type="cellIs" priority="3" operator="equal" dxfId="1">
      <formula>"Pendente"</formula>
    </cfRule>
    <cfRule type="cellIs" priority="4" operator="equal" dxfId="1">
      <formula>"Trilha pendente"</formula>
    </cfRule>
    <cfRule type="cellIs" priority="5" operator="equal" dxfId="0">
      <formula>"Sem acesso"</formula>
    </cfRule>
    <cfRule type="cellIs" priority="6" operator="equal" dxfId="0">
      <formula>"Não ativado"</formula>
    </cfRule>
    <cfRule type="cellIs" priority="7" operator="equal" dxfId="4">
      <formula>"Chamado aberto"</formula>
    </cfRule>
    <cfRule type="cellIs" priority="8" operator="equal" dxfId="5">
      <formula>"Não se aplica"</formula>
    </cfRule>
  </conditionalFormatting>
  <conditionalFormatting sqref="I5:I157">
    <cfRule type="cellIs" priority="9" operator="greaterThan" dxfId="3">
      <formula>0</formula>
    </cfRule>
  </conditionalFormatting>
  <dataValidations count="2">
    <dataValidation sqref="F5:G157" showDropDown="0" showInputMessage="0" showErrorMessage="0" allowBlank="0" type="list">
      <formula1>"Liberado,Pendente,Sem acesso,Chamado aberto,Não se aplica"</formula1>
    </dataValidation>
    <dataValidation sqref="H5:H157" showDropDown="0" showInputMessage="0" showErrorMessage="0" allowBlank="0" type="list">
      <formula1>"Ativado,Não ativado,Trilha pendente"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8" customWidth="1" min="4" max="4"/>
    <col width="15" customWidth="1" min="5" max="5"/>
    <col width="8" customWidth="1" min="6" max="6"/>
    <col width="13" customWidth="1" min="7" max="7"/>
    <col width="8" customWidth="1" min="8" max="8"/>
    <col width="8" customWidth="1" min="9" max="9"/>
    <col width="8" customWidth="1" min="10" max="10"/>
    <col width="10" customWidth="1" min="11" max="11"/>
    <col width="11" customWidth="1" min="12" max="12"/>
    <col width="10" customWidth="1" min="13" max="13"/>
    <col width="11" customWidth="1" min="14" max="14"/>
    <col width="2" customWidth="1" min="15" max="15"/>
    <col width="20" customWidth="1" min="16" max="16"/>
  </cols>
  <sheetData>
    <row r="1">
      <c r="A1" s="1" t="inlineStr">
        <is>
          <t>Base KPI · um indicador por linha, dimensões à esquerda</t>
        </is>
      </c>
      <c r="P1" s="2" t="inlineStr">
        <is>
          <t>MÊS</t>
        </is>
      </c>
    </row>
    <row r="2">
      <c r="A2" s="3" t="inlineStr">
        <is>
          <t>Modelo neutro: dimensões (coordenação, supervisor, frente, segmento, turno), métricas e período. É a mesma estrutura dos dashboards: base em linhas, leitura em cima.</t>
        </is>
      </c>
      <c r="P2" s="9" t="n">
        <v>46296</v>
      </c>
    </row>
    <row r="4">
      <c r="A4" s="2" t="inlineStr">
        <is>
          <t>MÊS</t>
        </is>
      </c>
      <c r="B4" s="2" t="inlineStr">
        <is>
          <t>COORDENAÇÃO</t>
        </is>
      </c>
      <c r="C4" s="2" t="inlineStr">
        <is>
          <t>SUPERVISOR</t>
        </is>
      </c>
      <c r="D4" s="2" t="inlineStr">
        <is>
          <t>FRENTE</t>
        </is>
      </c>
      <c r="E4" s="2" t="inlineStr">
        <is>
          <t>SEGMENTO</t>
        </is>
      </c>
      <c r="F4" s="2" t="inlineStr">
        <is>
          <t>TURNO</t>
        </is>
      </c>
      <c r="G4" s="2" t="inlineStr">
        <is>
          <t>ATENDIMENTOS</t>
        </is>
      </c>
      <c r="H4" s="2" t="inlineStr">
        <is>
          <t>PSAT</t>
        </is>
      </c>
      <c r="I4" s="2" t="inlineStr">
        <is>
          <t>DSAT</t>
        </is>
      </c>
      <c r="J4" s="2" t="inlineStr">
        <is>
          <t>ABS</t>
        </is>
      </c>
      <c r="K4" s="2" t="inlineStr">
        <is>
          <t>TMA (min)</t>
        </is>
      </c>
      <c r="L4" s="2" t="inlineStr">
        <is>
          <t>CONVERSÃO</t>
        </is>
      </c>
      <c r="M4" s="2" t="inlineStr">
        <is>
          <t>RETENÇÃO</t>
        </is>
      </c>
      <c r="N4" s="2" t="inlineStr">
        <is>
          <t>ESCALADOS</t>
        </is>
      </c>
      <c r="P4" s="2" t="inlineStr">
        <is>
          <t>SUPERVISOR</t>
        </is>
      </c>
      <c r="Q4" s="2" t="inlineStr">
        <is>
          <t>ATEND.</t>
        </is>
      </c>
      <c r="R4" s="2" t="inlineStr">
        <is>
          <t>PSAT</t>
        </is>
      </c>
      <c r="S4" s="2" t="inlineStr">
        <is>
          <t>ABS</t>
        </is>
      </c>
      <c r="T4" s="2" t="inlineStr">
        <is>
          <t>CONV.</t>
        </is>
      </c>
    </row>
    <row r="5">
      <c r="A5" s="10" t="n">
        <v>46204</v>
      </c>
      <c r="B5" s="5" t="inlineStr">
        <is>
          <t>Crhistoffer Miranda</t>
        </is>
      </c>
      <c r="C5" s="5" t="inlineStr">
        <is>
          <t>Bruna Almeida</t>
        </is>
      </c>
      <c r="D5" s="5" t="inlineStr">
        <is>
          <t>Chat</t>
        </is>
      </c>
      <c r="E5" s="5" t="inlineStr">
        <is>
          <t>Bronze/Prata</t>
        </is>
      </c>
      <c r="F5" s="5" t="inlineStr">
        <is>
          <t>Manhã</t>
        </is>
      </c>
      <c r="G5" s="5" t="n">
        <v>411</v>
      </c>
      <c r="H5" s="11" t="n">
        <v>0.7939374437196081</v>
      </c>
      <c r="I5" s="11" t="n">
        <v>0.06448495529381482</v>
      </c>
      <c r="J5" s="11" t="n">
        <v>0.03927571876249464</v>
      </c>
      <c r="K5" s="12" t="n">
        <v>10.0005507750391</v>
      </c>
      <c r="L5" s="13" t="n">
        <v>0.006038879608095376</v>
      </c>
      <c r="M5" s="11" t="n">
        <v>0.5236159315910174</v>
      </c>
      <c r="N5" s="5" t="n">
        <v>22</v>
      </c>
      <c r="P5" s="4" t="inlineStr">
        <is>
          <t>Bruna Almeida</t>
        </is>
      </c>
      <c r="Q5" s="5">
        <f>SUMIFS($G$5:$G$252,$C$5:$C$252,P5,$A$5:$A$252,$P$2)</f>
        <v/>
      </c>
      <c r="R5" s="11">
        <f>SUMPRODUCT(($C$5:$C$252=P5)*($A$5:$A$252=$P$2)*$G$5:$G$252*$H$5:$H$252)/Q5</f>
        <v/>
      </c>
      <c r="S5" s="11">
        <f>SUMPRODUCT(($C$5:$C$252=P5)*($A$5:$A$252=$P$2)*$N$5:$N$252*$J$5:$J$252)/SUMIFS($N$5:$N$252,$C$5:$C$252,P5,$A$5:$A$252,$P$2)</f>
        <v/>
      </c>
      <c r="T5" s="13">
        <f>SUMPRODUCT(($C$5:$C$252=P5)*($A$5:$A$252=$P$2)*$G$5:$G$252*$L$5:$L$252)/Q5</f>
        <v/>
      </c>
    </row>
    <row r="6">
      <c r="A6" s="10" t="n">
        <v>46204</v>
      </c>
      <c r="B6" s="5" t="inlineStr">
        <is>
          <t>Crhistoffer Miranda</t>
        </is>
      </c>
      <c r="C6" s="5" t="inlineStr">
        <is>
          <t>Bruna Almeida</t>
        </is>
      </c>
      <c r="D6" s="5" t="inlineStr">
        <is>
          <t>Chat</t>
        </is>
      </c>
      <c r="E6" s="5" t="inlineStr">
        <is>
          <t>Bronze/Prata</t>
        </is>
      </c>
      <c r="F6" s="5" t="inlineStr">
        <is>
          <t>Tarde</t>
        </is>
      </c>
      <c r="G6" s="5" t="n">
        <v>789</v>
      </c>
      <c r="H6" s="11" t="n">
        <v>0.8991024065933526</v>
      </c>
      <c r="I6" s="11" t="n">
        <v>0.04480311118334702</v>
      </c>
      <c r="J6" s="11" t="n">
        <v>0.05198393343076053</v>
      </c>
      <c r="K6" s="12" t="n">
        <v>9.00212817772193</v>
      </c>
      <c r="L6" s="13" t="n">
        <v>0.004616338716437735</v>
      </c>
      <c r="M6" s="11" t="n">
        <v>0.4795592913147999</v>
      </c>
      <c r="N6" s="5" t="n">
        <v>44</v>
      </c>
      <c r="P6" s="4" t="inlineStr">
        <is>
          <t>Emir Anjos</t>
        </is>
      </c>
      <c r="Q6" s="5">
        <f>SUMIFS($G$5:$G$252,$C$5:$C$252,P6,$A$5:$A$252,$P$2)</f>
        <v/>
      </c>
      <c r="R6" s="11">
        <f>SUMPRODUCT(($C$5:$C$252=P6)*($A$5:$A$252=$P$2)*$G$5:$G$252*$H$5:$H$252)/Q6</f>
        <v/>
      </c>
      <c r="S6" s="11">
        <f>SUMPRODUCT(($C$5:$C$252=P6)*($A$5:$A$252=$P$2)*$N$5:$N$252*$J$5:$J$252)/SUMIFS($N$5:$N$252,$C$5:$C$252,P6,$A$5:$A$252,$P$2)</f>
        <v/>
      </c>
      <c r="T6" s="13">
        <f>SUMPRODUCT(($C$5:$C$252=P6)*($A$5:$A$252=$P$2)*$G$5:$G$252*$L$5:$L$252)/Q6</f>
        <v/>
      </c>
    </row>
    <row r="7">
      <c r="A7" s="10" t="n">
        <v>46204</v>
      </c>
      <c r="B7" s="5" t="inlineStr">
        <is>
          <t>Crhistoffer Miranda</t>
        </is>
      </c>
      <c r="C7" s="5" t="inlineStr">
        <is>
          <t>Bruna Almeida</t>
        </is>
      </c>
      <c r="D7" s="5" t="inlineStr">
        <is>
          <t>Chat</t>
        </is>
      </c>
      <c r="E7" s="5" t="inlineStr">
        <is>
          <t>Ouro/Diamante</t>
        </is>
      </c>
      <c r="F7" s="5" t="inlineStr">
        <is>
          <t>Manhã</t>
        </is>
      </c>
      <c r="G7" s="5" t="n">
        <v>1442</v>
      </c>
      <c r="H7" s="11" t="n">
        <v>0.8333680113745998</v>
      </c>
      <c r="I7" s="11" t="n">
        <v>0.1152317203352317</v>
      </c>
      <c r="J7" s="11" t="n">
        <v>0.09116925798362704</v>
      </c>
      <c r="K7" s="12" t="n">
        <v>13.27262986452403</v>
      </c>
      <c r="L7" s="13" t="n">
        <v>0.006578686807917304</v>
      </c>
      <c r="M7" s="11" t="n">
        <v>0.6779156129022164</v>
      </c>
      <c r="N7" s="5" t="n">
        <v>66</v>
      </c>
      <c r="P7" s="4" t="inlineStr">
        <is>
          <t>Francisco Nascimento</t>
        </is>
      </c>
      <c r="Q7" s="5">
        <f>SUMIFS($G$5:$G$252,$C$5:$C$252,P7,$A$5:$A$252,$P$2)</f>
        <v/>
      </c>
      <c r="R7" s="11">
        <f>SUMPRODUCT(($C$5:$C$252=P7)*($A$5:$A$252=$P$2)*$G$5:$G$252*$H$5:$H$252)/Q7</f>
        <v/>
      </c>
      <c r="S7" s="11">
        <f>SUMPRODUCT(($C$5:$C$252=P7)*($A$5:$A$252=$P$2)*$N$5:$N$252*$J$5:$J$252)/SUMIFS($N$5:$N$252,$C$5:$C$252,P7,$A$5:$A$252,$P$2)</f>
        <v/>
      </c>
      <c r="T7" s="13">
        <f>SUMPRODUCT(($C$5:$C$252=P7)*($A$5:$A$252=$P$2)*$G$5:$G$252*$L$5:$L$252)/Q7</f>
        <v/>
      </c>
    </row>
    <row r="8">
      <c r="A8" s="10" t="n">
        <v>46204</v>
      </c>
      <c r="B8" s="5" t="inlineStr">
        <is>
          <t>Crhistoffer Miranda</t>
        </is>
      </c>
      <c r="C8" s="5" t="inlineStr">
        <is>
          <t>Bruna Almeida</t>
        </is>
      </c>
      <c r="D8" s="5" t="inlineStr">
        <is>
          <t>Chat</t>
        </is>
      </c>
      <c r="E8" s="5" t="inlineStr">
        <is>
          <t>Ouro/Diamante</t>
        </is>
      </c>
      <c r="F8" s="5" t="inlineStr">
        <is>
          <t>Tarde</t>
        </is>
      </c>
      <c r="G8" s="5" t="n">
        <v>1035</v>
      </c>
      <c r="H8" s="11" t="n">
        <v>0.8551710422664147</v>
      </c>
      <c r="I8" s="11" t="n">
        <v>0.1216800688859641</v>
      </c>
      <c r="J8" s="11" t="n">
        <v>0.1021004424687283</v>
      </c>
      <c r="K8" s="12" t="n">
        <v>13.6833520764932</v>
      </c>
      <c r="L8" s="13" t="n">
        <v>0.00709614128865584</v>
      </c>
      <c r="M8" s="11" t="n">
        <v>0.6603530185541405</v>
      </c>
      <c r="N8" s="5" t="n">
        <v>44</v>
      </c>
      <c r="P8" s="4" t="inlineStr">
        <is>
          <t>Jaqueline Azevedo</t>
        </is>
      </c>
      <c r="Q8" s="5">
        <f>SUMIFS($G$5:$G$252,$C$5:$C$252,P8,$A$5:$A$252,$P$2)</f>
        <v/>
      </c>
      <c r="R8" s="11">
        <f>SUMPRODUCT(($C$5:$C$252=P8)*($A$5:$A$252=$P$2)*$G$5:$G$252*$H$5:$H$252)/Q8</f>
        <v/>
      </c>
      <c r="S8" s="11">
        <f>SUMPRODUCT(($C$5:$C$252=P8)*($A$5:$A$252=$P$2)*$N$5:$N$252*$J$5:$J$252)/SUMIFS($N$5:$N$252,$C$5:$C$252,P8,$A$5:$A$252,$P$2)</f>
        <v/>
      </c>
      <c r="T8" s="13">
        <f>SUMPRODUCT(($C$5:$C$252=P8)*($A$5:$A$252=$P$2)*$G$5:$G$252*$L$5:$L$252)/Q8</f>
        <v/>
      </c>
    </row>
    <row r="9">
      <c r="A9" s="10" t="n">
        <v>46204</v>
      </c>
      <c r="B9" s="5" t="inlineStr">
        <is>
          <t>Crhistoffer Miranda</t>
        </is>
      </c>
      <c r="C9" s="5" t="inlineStr">
        <is>
          <t>Bruna Almeida</t>
        </is>
      </c>
      <c r="D9" s="5" t="inlineStr">
        <is>
          <t>Voz</t>
        </is>
      </c>
      <c r="E9" s="5" t="inlineStr">
        <is>
          <t>Bronze/Prata</t>
        </is>
      </c>
      <c r="F9" s="5" t="inlineStr">
        <is>
          <t>Manhã</t>
        </is>
      </c>
      <c r="G9" s="5" t="n">
        <v>888</v>
      </c>
      <c r="H9" s="11" t="n">
        <v>0.9180529214210311</v>
      </c>
      <c r="I9" s="11" t="n">
        <v>0.07824053076053472</v>
      </c>
      <c r="J9" s="11" t="n">
        <v>0.04432689864442192</v>
      </c>
      <c r="K9" s="12" t="n">
        <v>4.829644393415922</v>
      </c>
      <c r="L9" s="13" t="n">
        <v>0.003185539282570116</v>
      </c>
      <c r="M9" s="11" t="n">
        <v>0.5287776041724955</v>
      </c>
      <c r="N9" s="5" t="n">
        <v>44</v>
      </c>
      <c r="P9" s="4" t="inlineStr">
        <is>
          <t>Karina Nunes</t>
        </is>
      </c>
      <c r="Q9" s="5">
        <f>SUMIFS($G$5:$G$252,$C$5:$C$252,P9,$A$5:$A$252,$P$2)</f>
        <v/>
      </c>
      <c r="R9" s="11">
        <f>SUMPRODUCT(($C$5:$C$252=P9)*($A$5:$A$252=$P$2)*$G$5:$G$252*$H$5:$H$252)/Q9</f>
        <v/>
      </c>
      <c r="S9" s="11">
        <f>SUMPRODUCT(($C$5:$C$252=P9)*($A$5:$A$252=$P$2)*$N$5:$N$252*$J$5:$J$252)/SUMIFS($N$5:$N$252,$C$5:$C$252,P9,$A$5:$A$252,$P$2)</f>
        <v/>
      </c>
      <c r="T9" s="13">
        <f>SUMPRODUCT(($C$5:$C$252=P9)*($A$5:$A$252=$P$2)*$G$5:$G$252*$L$5:$L$252)/Q9</f>
        <v/>
      </c>
    </row>
    <row r="10">
      <c r="A10" s="10" t="n">
        <v>46204</v>
      </c>
      <c r="B10" s="5" t="inlineStr">
        <is>
          <t>Crhistoffer Miranda</t>
        </is>
      </c>
      <c r="C10" s="5" t="inlineStr">
        <is>
          <t>Bruna Almeida</t>
        </is>
      </c>
      <c r="D10" s="5" t="inlineStr">
        <is>
          <t>Voz</t>
        </is>
      </c>
      <c r="E10" s="5" t="inlineStr">
        <is>
          <t>Bronze/Prata</t>
        </is>
      </c>
      <c r="F10" s="5" t="inlineStr">
        <is>
          <t>Tarde</t>
        </is>
      </c>
      <c r="G10" s="5" t="n">
        <v>1626</v>
      </c>
      <c r="H10" s="11" t="n">
        <v>0.8285386030807054</v>
      </c>
      <c r="I10" s="11" t="n">
        <v>0.04635234530448153</v>
      </c>
      <c r="J10" s="11" t="n">
        <v>0.1140166527128634</v>
      </c>
      <c r="K10" s="12" t="n">
        <v>7.286125094737592</v>
      </c>
      <c r="L10" s="13" t="n">
        <v>0.002192305966106323</v>
      </c>
      <c r="M10" s="11" t="n">
        <v>0.4651891707693057</v>
      </c>
      <c r="N10" s="5" t="n">
        <v>66</v>
      </c>
      <c r="P10" s="4" t="inlineStr">
        <is>
          <t>Maicon Teixeira</t>
        </is>
      </c>
      <c r="Q10" s="5">
        <f>SUMIFS($G$5:$G$252,$C$5:$C$252,P10,$A$5:$A$252,$P$2)</f>
        <v/>
      </c>
      <c r="R10" s="11">
        <f>SUMPRODUCT(($C$5:$C$252=P10)*($A$5:$A$252=$P$2)*$G$5:$G$252*$H$5:$H$252)/Q10</f>
        <v/>
      </c>
      <c r="S10" s="11">
        <f>SUMPRODUCT(($C$5:$C$252=P10)*($A$5:$A$252=$P$2)*$N$5:$N$252*$J$5:$J$252)/SUMIFS($N$5:$N$252,$C$5:$C$252,P10,$A$5:$A$252,$P$2)</f>
        <v/>
      </c>
      <c r="T10" s="13">
        <f>SUMPRODUCT(($C$5:$C$252=P10)*($A$5:$A$252=$P$2)*$G$5:$G$252*$L$5:$L$252)/Q10</f>
        <v/>
      </c>
    </row>
    <row r="11">
      <c r="A11" s="10" t="n">
        <v>46204</v>
      </c>
      <c r="B11" s="5" t="inlineStr">
        <is>
          <t>Crhistoffer Miranda</t>
        </is>
      </c>
      <c r="C11" s="5" t="inlineStr">
        <is>
          <t>Bruna Almeida</t>
        </is>
      </c>
      <c r="D11" s="5" t="inlineStr">
        <is>
          <t>Voz</t>
        </is>
      </c>
      <c r="E11" s="5" t="inlineStr">
        <is>
          <t>Ouro/Diamante</t>
        </is>
      </c>
      <c r="F11" s="5" t="inlineStr">
        <is>
          <t>Manhã</t>
        </is>
      </c>
      <c r="G11" s="5" t="n">
        <v>822</v>
      </c>
      <c r="H11" s="11" t="n">
        <v>0.8407152249970463</v>
      </c>
      <c r="I11" s="11" t="n">
        <v>0.1259798150197924</v>
      </c>
      <c r="J11" s="11" t="n">
        <v>0.1344141722817756</v>
      </c>
      <c r="K11" s="12" t="n">
        <v>7.560008660578116</v>
      </c>
      <c r="L11" s="13" t="n">
        <v>0.003617680003434894</v>
      </c>
      <c r="M11" s="11" t="n">
        <v>0.578670969140507</v>
      </c>
      <c r="N11" s="5" t="n">
        <v>44</v>
      </c>
      <c r="P11" s="4" t="inlineStr">
        <is>
          <t>Marcia Assunção</t>
        </is>
      </c>
      <c r="Q11" s="5">
        <f>SUMIFS($G$5:$G$252,$C$5:$C$252,P11,$A$5:$A$252,$P$2)</f>
        <v/>
      </c>
      <c r="R11" s="11">
        <f>SUMPRODUCT(($C$5:$C$252=P11)*($A$5:$A$252=$P$2)*$G$5:$G$252*$H$5:$H$252)/Q11</f>
        <v/>
      </c>
      <c r="S11" s="11">
        <f>SUMPRODUCT(($C$5:$C$252=P11)*($A$5:$A$252=$P$2)*$N$5:$N$252*$J$5:$J$252)/SUMIFS($N$5:$N$252,$C$5:$C$252,P11,$A$5:$A$252,$P$2)</f>
        <v/>
      </c>
      <c r="T11" s="13">
        <f>SUMPRODUCT(($C$5:$C$252=P11)*($A$5:$A$252=$P$2)*$G$5:$G$252*$L$5:$L$252)/Q11</f>
        <v/>
      </c>
    </row>
    <row r="12">
      <c r="A12" s="10" t="n">
        <v>46204</v>
      </c>
      <c r="B12" s="5" t="inlineStr">
        <is>
          <t>Crhistoffer Miranda</t>
        </is>
      </c>
      <c r="C12" s="5" t="inlineStr">
        <is>
          <t>Bruna Almeida</t>
        </is>
      </c>
      <c r="D12" s="5" t="inlineStr">
        <is>
          <t>Voz</t>
        </is>
      </c>
      <c r="E12" s="5" t="inlineStr">
        <is>
          <t>Ouro/Diamante</t>
        </is>
      </c>
      <c r="F12" s="5" t="inlineStr">
        <is>
          <t>Tarde</t>
        </is>
      </c>
      <c r="G12" s="5" t="n">
        <v>2334</v>
      </c>
      <c r="H12" s="11" t="n">
        <v>0.8361632477559252</v>
      </c>
      <c r="I12" s="11" t="n">
        <v>0.04124459129817423</v>
      </c>
      <c r="J12" s="11" t="n">
        <v>0.09428613936985338</v>
      </c>
      <c r="K12" s="12" t="n">
        <v>8.634615144251462</v>
      </c>
      <c r="L12" s="13" t="n">
        <v>0.007087832099799488</v>
      </c>
      <c r="M12" s="11" t="n">
        <v>0.4785891076955793</v>
      </c>
      <c r="N12" s="5" t="n">
        <v>110</v>
      </c>
      <c r="P12" s="4" t="inlineStr">
        <is>
          <t>Ualifer Azevedo</t>
        </is>
      </c>
      <c r="Q12" s="5">
        <f>SUMIFS($G$5:$G$252,$C$5:$C$252,P12,$A$5:$A$252,$P$2)</f>
        <v/>
      </c>
      <c r="R12" s="11">
        <f>SUMPRODUCT(($C$5:$C$252=P12)*($A$5:$A$252=$P$2)*$G$5:$G$252*$H$5:$H$252)/Q12</f>
        <v/>
      </c>
      <c r="S12" s="11">
        <f>SUMPRODUCT(($C$5:$C$252=P12)*($A$5:$A$252=$P$2)*$N$5:$N$252*$J$5:$J$252)/SUMIFS($N$5:$N$252,$C$5:$C$252,P12,$A$5:$A$252,$P$2)</f>
        <v/>
      </c>
      <c r="T12" s="13">
        <f>SUMPRODUCT(($C$5:$C$252=P12)*($A$5:$A$252=$P$2)*$G$5:$G$252*$L$5:$L$252)/Q12</f>
        <v/>
      </c>
    </row>
    <row r="13">
      <c r="A13" s="10" t="n">
        <v>46204</v>
      </c>
      <c r="B13" s="5" t="inlineStr">
        <is>
          <t>Crhistoffer Miranda</t>
        </is>
      </c>
      <c r="C13" s="5" t="inlineStr">
        <is>
          <t>Emir Anjos</t>
        </is>
      </c>
      <c r="D13" s="5" t="inlineStr">
        <is>
          <t>Chat</t>
        </is>
      </c>
      <c r="E13" s="5" t="inlineStr">
        <is>
          <t>Bronze/Prata</t>
        </is>
      </c>
      <c r="F13" s="5" t="inlineStr">
        <is>
          <t>Manhã</t>
        </is>
      </c>
      <c r="G13" s="5" t="n">
        <v>507</v>
      </c>
      <c r="H13" s="11" t="n">
        <v>0.8091032217979173</v>
      </c>
      <c r="I13" s="11" t="n">
        <v>0.1109434331536539</v>
      </c>
      <c r="J13" s="11" t="n">
        <v>0.07908367480423451</v>
      </c>
      <c r="K13" s="12" t="n">
        <v>13.56976299764153</v>
      </c>
      <c r="L13" s="13" t="n">
        <v>0.007563429884658759</v>
      </c>
      <c r="M13" s="11" t="n">
        <v>0.4854608424011277</v>
      </c>
      <c r="N13" s="5" t="n">
        <v>22</v>
      </c>
    </row>
    <row r="14">
      <c r="A14" s="10" t="n">
        <v>46204</v>
      </c>
      <c r="B14" s="5" t="inlineStr">
        <is>
          <t>Crhistoffer Miranda</t>
        </is>
      </c>
      <c r="C14" s="5" t="inlineStr">
        <is>
          <t>Emir Anjos</t>
        </is>
      </c>
      <c r="D14" s="5" t="inlineStr">
        <is>
          <t>Chat</t>
        </is>
      </c>
      <c r="E14" s="5" t="inlineStr">
        <is>
          <t>Bronze/Prata</t>
        </is>
      </c>
      <c r="F14" s="5" t="inlineStr">
        <is>
          <t>Tarde</t>
        </is>
      </c>
      <c r="G14" s="5" t="n">
        <v>1368</v>
      </c>
      <c r="H14" s="11" t="n">
        <v>0.9355485676140316</v>
      </c>
      <c r="I14" s="11" t="n">
        <v>0.08609971239881728</v>
      </c>
      <c r="J14" s="11" t="n">
        <v>0.07775699465623453</v>
      </c>
      <c r="K14" s="12" t="n">
        <v>10.08997288598869</v>
      </c>
      <c r="L14" s="13" t="n">
        <v>0.007372506593733097</v>
      </c>
      <c r="M14" s="11" t="n">
        <v>0.7308888811482189</v>
      </c>
      <c r="N14" s="5" t="n">
        <v>66</v>
      </c>
    </row>
    <row r="15">
      <c r="A15" s="10" t="n">
        <v>46204</v>
      </c>
      <c r="B15" s="5" t="inlineStr">
        <is>
          <t>Crhistoffer Miranda</t>
        </is>
      </c>
      <c r="C15" s="5" t="inlineStr">
        <is>
          <t>Emir Anjos</t>
        </is>
      </c>
      <c r="D15" s="5" t="inlineStr">
        <is>
          <t>Chat</t>
        </is>
      </c>
      <c r="E15" s="5" t="inlineStr">
        <is>
          <t>Ouro/Diamante</t>
        </is>
      </c>
      <c r="F15" s="5" t="inlineStr">
        <is>
          <t>Manhã</t>
        </is>
      </c>
      <c r="G15" s="5" t="n">
        <v>1523</v>
      </c>
      <c r="H15" s="11" t="n">
        <v>0.9448430870737283</v>
      </c>
      <c r="I15" s="11" t="n">
        <v>0.09960155055047185</v>
      </c>
      <c r="J15" s="11" t="n">
        <v>0.04139193537799032</v>
      </c>
      <c r="K15" s="12" t="n">
        <v>12.69981205428804</v>
      </c>
      <c r="L15" s="13" t="n">
        <v>0.004936200989771538</v>
      </c>
      <c r="M15" s="11" t="n">
        <v>0.4656933863629936</v>
      </c>
      <c r="N15" s="5" t="n">
        <v>66</v>
      </c>
    </row>
    <row r="16">
      <c r="A16" s="10" t="n">
        <v>46204</v>
      </c>
      <c r="B16" s="5" t="inlineStr">
        <is>
          <t>Crhistoffer Miranda</t>
        </is>
      </c>
      <c r="C16" s="5" t="inlineStr">
        <is>
          <t>Emir Anjos</t>
        </is>
      </c>
      <c r="D16" s="5" t="inlineStr">
        <is>
          <t>Chat</t>
        </is>
      </c>
      <c r="E16" s="5" t="inlineStr">
        <is>
          <t>Ouro/Diamante</t>
        </is>
      </c>
      <c r="F16" s="5" t="inlineStr">
        <is>
          <t>Tarde</t>
        </is>
      </c>
      <c r="G16" s="5" t="n">
        <v>1229</v>
      </c>
      <c r="H16" s="11" t="n">
        <v>0.7855880053678542</v>
      </c>
      <c r="I16" s="11" t="n">
        <v>0.09769907402681172</v>
      </c>
      <c r="J16" s="11" t="n">
        <v>0.08301937205758875</v>
      </c>
      <c r="K16" s="12" t="n">
        <v>13.17252436637884</v>
      </c>
      <c r="L16" s="13" t="n">
        <v>0.004749024944374933</v>
      </c>
      <c r="M16" s="11" t="n">
        <v>0.5146859367221448</v>
      </c>
      <c r="N16" s="5" t="n">
        <v>44</v>
      </c>
    </row>
    <row r="17">
      <c r="A17" s="10" t="n">
        <v>46204</v>
      </c>
      <c r="B17" s="5" t="inlineStr">
        <is>
          <t>Crhistoffer Miranda</t>
        </is>
      </c>
      <c r="C17" s="5" t="inlineStr">
        <is>
          <t>Emir Anjos</t>
        </is>
      </c>
      <c r="D17" s="5" t="inlineStr">
        <is>
          <t>Voz</t>
        </is>
      </c>
      <c r="E17" s="5" t="inlineStr">
        <is>
          <t>Bronze/Prata</t>
        </is>
      </c>
      <c r="F17" s="5" t="inlineStr">
        <is>
          <t>Manhã</t>
        </is>
      </c>
      <c r="G17" s="5" t="n">
        <v>1785</v>
      </c>
      <c r="H17" s="11" t="n">
        <v>0.8141965909417608</v>
      </c>
      <c r="I17" s="11" t="n">
        <v>0.09624325313853045</v>
      </c>
      <c r="J17" s="11" t="n">
        <v>0.06926881644205991</v>
      </c>
      <c r="K17" s="12" t="n">
        <v>8.255400694357018</v>
      </c>
      <c r="L17" s="13" t="n">
        <v>0.003690907534707701</v>
      </c>
      <c r="M17" s="11" t="n">
        <v>0.555531267394515</v>
      </c>
      <c r="N17" s="5" t="n">
        <v>88</v>
      </c>
    </row>
    <row r="18">
      <c r="A18" s="10" t="n">
        <v>46204</v>
      </c>
      <c r="B18" s="5" t="inlineStr">
        <is>
          <t>Crhistoffer Miranda</t>
        </is>
      </c>
      <c r="C18" s="5" t="inlineStr">
        <is>
          <t>Emir Anjos</t>
        </is>
      </c>
      <c r="D18" s="5" t="inlineStr">
        <is>
          <t>Voz</t>
        </is>
      </c>
      <c r="E18" s="5" t="inlineStr">
        <is>
          <t>Bronze/Prata</t>
        </is>
      </c>
      <c r="F18" s="5" t="inlineStr">
        <is>
          <t>Tarde</t>
        </is>
      </c>
      <c r="G18" s="5" t="n">
        <v>1318</v>
      </c>
      <c r="H18" s="11" t="n">
        <v>0.9470115004683544</v>
      </c>
      <c r="I18" s="11" t="n">
        <v>0.1240209915551674</v>
      </c>
      <c r="J18" s="11" t="n">
        <v>0.1234817591818215</v>
      </c>
      <c r="K18" s="12" t="n">
        <v>7.590771008073409</v>
      </c>
      <c r="L18" s="13" t="n">
        <v>0.004806001636715341</v>
      </c>
      <c r="M18" s="11" t="n">
        <v>0.4929162453327168</v>
      </c>
      <c r="N18" s="5" t="n">
        <v>66</v>
      </c>
    </row>
    <row r="19">
      <c r="A19" s="10" t="n">
        <v>46204</v>
      </c>
      <c r="B19" s="5" t="inlineStr">
        <is>
          <t>Crhistoffer Miranda</t>
        </is>
      </c>
      <c r="C19" s="5" t="inlineStr">
        <is>
          <t>Emir Anjos</t>
        </is>
      </c>
      <c r="D19" s="5" t="inlineStr">
        <is>
          <t>Voz</t>
        </is>
      </c>
      <c r="E19" s="5" t="inlineStr">
        <is>
          <t>Ouro/Diamante</t>
        </is>
      </c>
      <c r="F19" s="5" t="inlineStr">
        <is>
          <t>Manhã</t>
        </is>
      </c>
      <c r="G19" s="5" t="n">
        <v>2898</v>
      </c>
      <c r="H19" s="11" t="n">
        <v>0.8633192113404526</v>
      </c>
      <c r="I19" s="11" t="n">
        <v>0.04377440087033006</v>
      </c>
      <c r="J19" s="11" t="n">
        <v>0.04865116598955564</v>
      </c>
      <c r="K19" s="12" t="n">
        <v>4.993600359320963</v>
      </c>
      <c r="L19" s="13" t="n">
        <v>0.007023842416481187</v>
      </c>
      <c r="M19" s="11" t="n">
        <v>0.7200545063336361</v>
      </c>
      <c r="N19" s="5" t="n">
        <v>110</v>
      </c>
    </row>
    <row r="20">
      <c r="A20" s="10" t="n">
        <v>46204</v>
      </c>
      <c r="B20" s="5" t="inlineStr">
        <is>
          <t>Crhistoffer Miranda</t>
        </is>
      </c>
      <c r="C20" s="5" t="inlineStr">
        <is>
          <t>Emir Anjos</t>
        </is>
      </c>
      <c r="D20" s="5" t="inlineStr">
        <is>
          <t>Voz</t>
        </is>
      </c>
      <c r="E20" s="5" t="inlineStr">
        <is>
          <t>Ouro/Diamante</t>
        </is>
      </c>
      <c r="F20" s="5" t="inlineStr">
        <is>
          <t>Tarde</t>
        </is>
      </c>
      <c r="G20" s="5" t="n">
        <v>1711</v>
      </c>
      <c r="H20" s="11" t="n">
        <v>0.9154962551471497</v>
      </c>
      <c r="I20" s="11" t="n">
        <v>0.07240604883220075</v>
      </c>
      <c r="J20" s="11" t="n">
        <v>0.1051193901279276</v>
      </c>
      <c r="K20" s="12" t="n">
        <v>8.815596913314064</v>
      </c>
      <c r="L20" s="13" t="n">
        <v>0.006361723666174258</v>
      </c>
      <c r="M20" s="11" t="n">
        <v>0.6901111972309244</v>
      </c>
      <c r="N20" s="5" t="n">
        <v>88</v>
      </c>
    </row>
    <row r="21">
      <c r="A21" s="10" t="n">
        <v>46204</v>
      </c>
      <c r="B21" s="5" t="inlineStr">
        <is>
          <t>Crhistoffer Miranda</t>
        </is>
      </c>
      <c r="C21" s="5" t="inlineStr">
        <is>
          <t>Francisco Nascimento</t>
        </is>
      </c>
      <c r="D21" s="5" t="inlineStr">
        <is>
          <t>Chat</t>
        </is>
      </c>
      <c r="E21" s="5" t="inlineStr">
        <is>
          <t>Bronze/Prata</t>
        </is>
      </c>
      <c r="F21" s="5" t="inlineStr">
        <is>
          <t>Manhã</t>
        </is>
      </c>
      <c r="G21" s="5" t="n">
        <v>470</v>
      </c>
      <c r="H21" s="11" t="n">
        <v>0.7817139614939803</v>
      </c>
      <c r="I21" s="11" t="n">
        <v>0.09117437437573978</v>
      </c>
      <c r="J21" s="11" t="n">
        <v>0.09453444345521715</v>
      </c>
      <c r="K21" s="12" t="n">
        <v>8.293176961636819</v>
      </c>
      <c r="L21" s="13" t="n">
        <v>0.004723659687902946</v>
      </c>
      <c r="M21" s="11" t="n">
        <v>0.5451732866717788</v>
      </c>
      <c r="N21" s="5" t="n">
        <v>22</v>
      </c>
    </row>
    <row r="22">
      <c r="A22" s="10" t="n">
        <v>46204</v>
      </c>
      <c r="B22" s="5" t="inlineStr">
        <is>
          <t>Crhistoffer Miranda</t>
        </is>
      </c>
      <c r="C22" s="5" t="inlineStr">
        <is>
          <t>Francisco Nascimento</t>
        </is>
      </c>
      <c r="D22" s="5" t="inlineStr">
        <is>
          <t>Chat</t>
        </is>
      </c>
      <c r="E22" s="5" t="inlineStr">
        <is>
          <t>Bronze/Prata</t>
        </is>
      </c>
      <c r="F22" s="5" t="inlineStr">
        <is>
          <t>Tarde</t>
        </is>
      </c>
      <c r="G22" s="5" t="n">
        <v>772</v>
      </c>
      <c r="H22" s="11" t="n">
        <v>0.8330531503059755</v>
      </c>
      <c r="I22" s="11" t="n">
        <v>0.07828367702751302</v>
      </c>
      <c r="J22" s="11" t="n">
        <v>0.08237127967195251</v>
      </c>
      <c r="K22" s="12" t="n">
        <v>11.92342875774408</v>
      </c>
      <c r="L22" s="13" t="n">
        <v>0.004793732711287203</v>
      </c>
      <c r="M22" s="11" t="n">
        <v>0.7447162154040063</v>
      </c>
      <c r="N22" s="5" t="n">
        <v>44</v>
      </c>
    </row>
    <row r="23">
      <c r="A23" s="10" t="n">
        <v>46204</v>
      </c>
      <c r="B23" s="5" t="inlineStr">
        <is>
          <t>Crhistoffer Miranda</t>
        </is>
      </c>
      <c r="C23" s="5" t="inlineStr">
        <is>
          <t>Francisco Nascimento</t>
        </is>
      </c>
      <c r="D23" s="5" t="inlineStr">
        <is>
          <t>Chat</t>
        </is>
      </c>
      <c r="E23" s="5" t="inlineStr">
        <is>
          <t>Ouro/Diamante</t>
        </is>
      </c>
      <c r="F23" s="5" t="inlineStr">
        <is>
          <t>Tarde</t>
        </is>
      </c>
      <c r="G23" s="5" t="n">
        <v>1151</v>
      </c>
      <c r="H23" s="11" t="n">
        <v>0.93706102415107</v>
      </c>
      <c r="I23" s="11" t="n">
        <v>0.1092806389610948</v>
      </c>
      <c r="J23" s="11" t="n">
        <v>0.1037193370366431</v>
      </c>
      <c r="K23" s="12" t="n">
        <v>10.75702952613218</v>
      </c>
      <c r="L23" s="13" t="n">
        <v>0.007590772695218982</v>
      </c>
      <c r="M23" s="11" t="n">
        <v>0.5588392852805044</v>
      </c>
      <c r="N23" s="5" t="n">
        <v>44</v>
      </c>
    </row>
    <row r="24">
      <c r="A24" s="10" t="n">
        <v>46204</v>
      </c>
      <c r="B24" s="5" t="inlineStr">
        <is>
          <t>Crhistoffer Miranda</t>
        </is>
      </c>
      <c r="C24" s="5" t="inlineStr">
        <is>
          <t>Francisco Nascimento</t>
        </is>
      </c>
      <c r="D24" s="5" t="inlineStr">
        <is>
          <t>Voz</t>
        </is>
      </c>
      <c r="E24" s="5" t="inlineStr">
        <is>
          <t>Bronze/Prata</t>
        </is>
      </c>
      <c r="F24" s="5" t="inlineStr">
        <is>
          <t>Manhã</t>
        </is>
      </c>
      <c r="G24" s="5" t="n">
        <v>1567</v>
      </c>
      <c r="H24" s="11" t="n">
        <v>0.8955084891683855</v>
      </c>
      <c r="I24" s="11" t="n">
        <v>0.09222082227974196</v>
      </c>
      <c r="J24" s="11" t="n">
        <v>0.0612589405589065</v>
      </c>
      <c r="K24" s="12" t="n">
        <v>4.888736278837106</v>
      </c>
      <c r="L24" s="13" t="n">
        <v>0.002610882419468158</v>
      </c>
      <c r="M24" s="11" t="n">
        <v>0.5567601254821215</v>
      </c>
      <c r="N24" s="5" t="n">
        <v>66</v>
      </c>
    </row>
    <row r="25">
      <c r="A25" s="10" t="n">
        <v>46204</v>
      </c>
      <c r="B25" s="5" t="inlineStr">
        <is>
          <t>Crhistoffer Miranda</t>
        </is>
      </c>
      <c r="C25" s="5" t="inlineStr">
        <is>
          <t>Francisco Nascimento</t>
        </is>
      </c>
      <c r="D25" s="5" t="inlineStr">
        <is>
          <t>Voz</t>
        </is>
      </c>
      <c r="E25" s="5" t="inlineStr">
        <is>
          <t>Bronze/Prata</t>
        </is>
      </c>
      <c r="F25" s="5" t="inlineStr">
        <is>
          <t>Tarde</t>
        </is>
      </c>
      <c r="G25" s="5" t="n">
        <v>2596</v>
      </c>
      <c r="H25" s="11" t="n">
        <v>0.9091341554370933</v>
      </c>
      <c r="I25" s="11" t="n">
        <v>0.1114460077979453</v>
      </c>
      <c r="J25" s="11" t="n">
        <v>0.06374717553368783</v>
      </c>
      <c r="K25" s="12" t="n">
        <v>9.145948447825761</v>
      </c>
      <c r="L25" s="13" t="n">
        <v>0.003922193419221082</v>
      </c>
      <c r="M25" s="11" t="n">
        <v>0.6648202461773314</v>
      </c>
      <c r="N25" s="5" t="n">
        <v>110</v>
      </c>
    </row>
    <row r="26">
      <c r="A26" s="10" t="n">
        <v>46204</v>
      </c>
      <c r="B26" s="5" t="inlineStr">
        <is>
          <t>Crhistoffer Miranda</t>
        </is>
      </c>
      <c r="C26" s="5" t="inlineStr">
        <is>
          <t>Francisco Nascimento</t>
        </is>
      </c>
      <c r="D26" s="5" t="inlineStr">
        <is>
          <t>Voz</t>
        </is>
      </c>
      <c r="E26" s="5" t="inlineStr">
        <is>
          <t>Ouro/Diamante</t>
        </is>
      </c>
      <c r="F26" s="5" t="inlineStr">
        <is>
          <t>Manhã</t>
        </is>
      </c>
      <c r="G26" s="5" t="n">
        <v>397</v>
      </c>
      <c r="H26" s="11" t="n">
        <v>0.9080768914894481</v>
      </c>
      <c r="I26" s="11" t="n">
        <v>0.1069941030158426</v>
      </c>
      <c r="J26" s="11" t="n">
        <v>0.1352602214594567</v>
      </c>
      <c r="K26" s="12" t="n">
        <v>8.98576149908461</v>
      </c>
      <c r="L26" s="13" t="n">
        <v>0.006813723732592715</v>
      </c>
      <c r="M26" s="11" t="n">
        <v>0.7014763823125987</v>
      </c>
      <c r="N26" s="5" t="n">
        <v>22</v>
      </c>
    </row>
    <row r="27">
      <c r="A27" s="10" t="n">
        <v>46204</v>
      </c>
      <c r="B27" s="5" t="inlineStr">
        <is>
          <t>Crhistoffer Miranda</t>
        </is>
      </c>
      <c r="C27" s="5" t="inlineStr">
        <is>
          <t>Francisco Nascimento</t>
        </is>
      </c>
      <c r="D27" s="5" t="inlineStr">
        <is>
          <t>Voz</t>
        </is>
      </c>
      <c r="E27" s="5" t="inlineStr">
        <is>
          <t>Ouro/Diamante</t>
        </is>
      </c>
      <c r="F27" s="5" t="inlineStr">
        <is>
          <t>Tarde</t>
        </is>
      </c>
      <c r="G27" s="5" t="n">
        <v>557</v>
      </c>
      <c r="H27" s="11" t="n">
        <v>0.8838667571957055</v>
      </c>
      <c r="I27" s="11" t="n">
        <v>0.06087454012266339</v>
      </c>
      <c r="J27" s="11" t="n">
        <v>0.08683595918203339</v>
      </c>
      <c r="K27" s="12" t="n">
        <v>8.980653819481514</v>
      </c>
      <c r="L27" s="13" t="n">
        <v>0.003673599477065435</v>
      </c>
      <c r="M27" s="11" t="n">
        <v>0.7423994327761555</v>
      </c>
      <c r="N27" s="5" t="n">
        <v>22</v>
      </c>
    </row>
    <row r="28">
      <c r="A28" s="10" t="n">
        <v>46204</v>
      </c>
      <c r="B28" s="5" t="inlineStr">
        <is>
          <t>Crhistoffer Miranda</t>
        </is>
      </c>
      <c r="C28" s="5" t="inlineStr">
        <is>
          <t>Marcia Assunção</t>
        </is>
      </c>
      <c r="D28" s="5" t="inlineStr">
        <is>
          <t>Chat</t>
        </is>
      </c>
      <c r="E28" s="5" t="inlineStr">
        <is>
          <t>Bronze/Prata</t>
        </is>
      </c>
      <c r="F28" s="5" t="inlineStr">
        <is>
          <t>Manhã</t>
        </is>
      </c>
      <c r="G28" s="5" t="n">
        <v>2042</v>
      </c>
      <c r="H28" s="11" t="n">
        <v>0.8468796551580832</v>
      </c>
      <c r="I28" s="11" t="n">
        <v>0.04029600759681782</v>
      </c>
      <c r="J28" s="11" t="n">
        <v>0.07291836188418994</v>
      </c>
      <c r="K28" s="12" t="n">
        <v>8.246934087988805</v>
      </c>
      <c r="L28" s="13" t="n">
        <v>0.006571654123800549</v>
      </c>
      <c r="M28" s="11" t="n">
        <v>0.7198609699469415</v>
      </c>
      <c r="N28" s="5" t="n">
        <v>88</v>
      </c>
    </row>
    <row r="29">
      <c r="A29" s="10" t="n">
        <v>46204</v>
      </c>
      <c r="B29" s="5" t="inlineStr">
        <is>
          <t>Crhistoffer Miranda</t>
        </is>
      </c>
      <c r="C29" s="5" t="inlineStr">
        <is>
          <t>Marcia Assunção</t>
        </is>
      </c>
      <c r="D29" s="5" t="inlineStr">
        <is>
          <t>Chat</t>
        </is>
      </c>
      <c r="E29" s="5" t="inlineStr">
        <is>
          <t>Bronze/Prata</t>
        </is>
      </c>
      <c r="F29" s="5" t="inlineStr">
        <is>
          <t>Tarde</t>
        </is>
      </c>
      <c r="G29" s="5" t="n">
        <v>598</v>
      </c>
      <c r="H29" s="11" t="n">
        <v>0.8843000679063762</v>
      </c>
      <c r="I29" s="11" t="n">
        <v>0.07866642663196979</v>
      </c>
      <c r="J29" s="11" t="n">
        <v>0.04197950588720449</v>
      </c>
      <c r="K29" s="12" t="n">
        <v>11.82150778342023</v>
      </c>
      <c r="L29" s="13" t="n">
        <v>0.00587395239486036</v>
      </c>
      <c r="M29" s="11" t="n">
        <v>0.6645784310634394</v>
      </c>
      <c r="N29" s="5" t="n">
        <v>22</v>
      </c>
    </row>
    <row r="30">
      <c r="A30" s="10" t="n">
        <v>46204</v>
      </c>
      <c r="B30" s="5" t="inlineStr">
        <is>
          <t>Crhistoffer Miranda</t>
        </is>
      </c>
      <c r="C30" s="5" t="inlineStr">
        <is>
          <t>Marcia Assunção</t>
        </is>
      </c>
      <c r="D30" s="5" t="inlineStr">
        <is>
          <t>Chat</t>
        </is>
      </c>
      <c r="E30" s="5" t="inlineStr">
        <is>
          <t>Ouro/Diamante</t>
        </is>
      </c>
      <c r="F30" s="5" t="inlineStr">
        <is>
          <t>Manhã</t>
        </is>
      </c>
      <c r="G30" s="5" t="n">
        <v>939</v>
      </c>
      <c r="H30" s="11" t="n">
        <v>0.930750713102597</v>
      </c>
      <c r="I30" s="11" t="n">
        <v>0.06127082965810379</v>
      </c>
      <c r="J30" s="11" t="n">
        <v>0.06361377908076277</v>
      </c>
      <c r="K30" s="12" t="n">
        <v>8.873640481980244</v>
      </c>
      <c r="L30" s="13" t="n">
        <v>0.006355217185210889</v>
      </c>
      <c r="M30" s="11" t="n">
        <v>0.7191782376553597</v>
      </c>
      <c r="N30" s="5" t="n">
        <v>44</v>
      </c>
    </row>
    <row r="31">
      <c r="A31" s="10" t="n">
        <v>46204</v>
      </c>
      <c r="B31" s="5" t="inlineStr">
        <is>
          <t>Crhistoffer Miranda</t>
        </is>
      </c>
      <c r="C31" s="5" t="inlineStr">
        <is>
          <t>Marcia Assunção</t>
        </is>
      </c>
      <c r="D31" s="5" t="inlineStr">
        <is>
          <t>Chat</t>
        </is>
      </c>
      <c r="E31" s="5" t="inlineStr">
        <is>
          <t>Ouro/Diamante</t>
        </is>
      </c>
      <c r="F31" s="5" t="inlineStr">
        <is>
          <t>Tarde</t>
        </is>
      </c>
      <c r="G31" s="5" t="n">
        <v>840</v>
      </c>
      <c r="H31" s="11" t="n">
        <v>0.8875772731022258</v>
      </c>
      <c r="I31" s="11" t="n">
        <v>0.116648778606532</v>
      </c>
      <c r="J31" s="11" t="n">
        <v>0.05471136072386819</v>
      </c>
      <c r="K31" s="12" t="n">
        <v>7.438821665864016</v>
      </c>
      <c r="L31" s="13" t="n">
        <v>0.005961248333642494</v>
      </c>
      <c r="M31" s="11" t="n">
        <v>0.6990809879599457</v>
      </c>
      <c r="N31" s="5" t="n">
        <v>44</v>
      </c>
    </row>
    <row r="32">
      <c r="A32" s="10" t="n">
        <v>46204</v>
      </c>
      <c r="B32" s="5" t="inlineStr">
        <is>
          <t>Crhistoffer Miranda</t>
        </is>
      </c>
      <c r="C32" s="5" t="inlineStr">
        <is>
          <t>Marcia Assunção</t>
        </is>
      </c>
      <c r="D32" s="5" t="inlineStr">
        <is>
          <t>Voz</t>
        </is>
      </c>
      <c r="E32" s="5" t="inlineStr">
        <is>
          <t>Bronze/Prata</t>
        </is>
      </c>
      <c r="F32" s="5" t="inlineStr">
        <is>
          <t>Manhã</t>
        </is>
      </c>
      <c r="G32" s="5" t="n">
        <v>1181</v>
      </c>
      <c r="H32" s="11" t="n">
        <v>0.903766000413845</v>
      </c>
      <c r="I32" s="11" t="n">
        <v>0.08168489741590809</v>
      </c>
      <c r="J32" s="11" t="n">
        <v>0.07679319927957548</v>
      </c>
      <c r="K32" s="12" t="n">
        <v>7.14384856806036</v>
      </c>
      <c r="L32" s="13" t="n">
        <v>0.008333133322823205</v>
      </c>
      <c r="M32" s="11" t="n">
        <v>0.5406970212271978</v>
      </c>
      <c r="N32" s="5" t="n">
        <v>44</v>
      </c>
    </row>
    <row r="33">
      <c r="A33" s="10" t="n">
        <v>46204</v>
      </c>
      <c r="B33" s="5" t="inlineStr">
        <is>
          <t>Crhistoffer Miranda</t>
        </is>
      </c>
      <c r="C33" s="5" t="inlineStr">
        <is>
          <t>Marcia Assunção</t>
        </is>
      </c>
      <c r="D33" s="5" t="inlineStr">
        <is>
          <t>Voz</t>
        </is>
      </c>
      <c r="E33" s="5" t="inlineStr">
        <is>
          <t>Bronze/Prata</t>
        </is>
      </c>
      <c r="F33" s="5" t="inlineStr">
        <is>
          <t>Tarde</t>
        </is>
      </c>
      <c r="G33" s="5" t="n">
        <v>894</v>
      </c>
      <c r="H33" s="11" t="n">
        <v>0.882912628808617</v>
      </c>
      <c r="I33" s="11" t="n">
        <v>0.1366564948340506</v>
      </c>
      <c r="J33" s="11" t="n">
        <v>0.05059575748741378</v>
      </c>
      <c r="K33" s="12" t="n">
        <v>4.652394255592322</v>
      </c>
      <c r="L33" s="13" t="n">
        <v>0.002809174284857444</v>
      </c>
      <c r="M33" s="11" t="n">
        <v>0.6187725764997636</v>
      </c>
      <c r="N33" s="5" t="n">
        <v>44</v>
      </c>
    </row>
    <row r="34">
      <c r="A34" s="10" t="n">
        <v>46204</v>
      </c>
      <c r="B34" s="5" t="inlineStr">
        <is>
          <t>Crhistoffer Miranda</t>
        </is>
      </c>
      <c r="C34" s="5" t="inlineStr">
        <is>
          <t>Marcia Assunção</t>
        </is>
      </c>
      <c r="D34" s="5" t="inlineStr">
        <is>
          <t>Voz</t>
        </is>
      </c>
      <c r="E34" s="5" t="inlineStr">
        <is>
          <t>Ouro/Diamante</t>
        </is>
      </c>
      <c r="F34" s="5" t="inlineStr">
        <is>
          <t>Manhã</t>
        </is>
      </c>
      <c r="G34" s="5" t="n">
        <v>1574</v>
      </c>
      <c r="H34" s="11" t="n">
        <v>0.8112592131923955</v>
      </c>
      <c r="I34" s="11" t="n">
        <v>0.05902831370089676</v>
      </c>
      <c r="J34" s="11" t="n">
        <v>0.09539732740263993</v>
      </c>
      <c r="K34" s="12" t="n">
        <v>7.731793000800591</v>
      </c>
      <c r="L34" s="13" t="n">
        <v>0.00683157786958674</v>
      </c>
      <c r="M34" s="11" t="n">
        <v>0.6686770656918167</v>
      </c>
      <c r="N34" s="5" t="n">
        <v>66</v>
      </c>
    </row>
    <row r="35">
      <c r="A35" s="10" t="n">
        <v>46204</v>
      </c>
      <c r="B35" s="5" t="inlineStr">
        <is>
          <t>Crhistoffer Miranda</t>
        </is>
      </c>
      <c r="C35" s="5" t="inlineStr">
        <is>
          <t>Marcia Assunção</t>
        </is>
      </c>
      <c r="D35" s="5" t="inlineStr">
        <is>
          <t>Voz</t>
        </is>
      </c>
      <c r="E35" s="5" t="inlineStr">
        <is>
          <t>Ouro/Diamante</t>
        </is>
      </c>
      <c r="F35" s="5" t="inlineStr">
        <is>
          <t>Tarde</t>
        </is>
      </c>
      <c r="G35" s="5" t="n">
        <v>394</v>
      </c>
      <c r="H35" s="11" t="n">
        <v>0.8623984786377127</v>
      </c>
      <c r="I35" s="11" t="n">
        <v>0.1234634121651449</v>
      </c>
      <c r="J35" s="11" t="n">
        <v>0.1352931177467618</v>
      </c>
      <c r="K35" s="12" t="n">
        <v>6.092231474420473</v>
      </c>
      <c r="L35" s="13" t="n">
        <v>0.007952363291948429</v>
      </c>
      <c r="M35" s="11" t="n">
        <v>0.6435543992760693</v>
      </c>
      <c r="N35" s="5" t="n">
        <v>22</v>
      </c>
    </row>
    <row r="36">
      <c r="A36" s="10" t="n">
        <v>46204</v>
      </c>
      <c r="B36" s="5" t="inlineStr">
        <is>
          <t>Livia Cardoso</t>
        </is>
      </c>
      <c r="C36" s="5" t="inlineStr">
        <is>
          <t>Jaqueline Azevedo</t>
        </is>
      </c>
      <c r="D36" s="5" t="inlineStr">
        <is>
          <t>Chat</t>
        </is>
      </c>
      <c r="E36" s="5" t="inlineStr">
        <is>
          <t>Bronze/Prata</t>
        </is>
      </c>
      <c r="F36" s="5" t="inlineStr">
        <is>
          <t>Manhã</t>
        </is>
      </c>
      <c r="G36" s="5" t="n">
        <v>1204</v>
      </c>
      <c r="H36" s="11" t="n">
        <v>0.8189417580655657</v>
      </c>
      <c r="I36" s="11" t="n">
        <v>0.1096800989026477</v>
      </c>
      <c r="J36" s="11" t="n">
        <v>0.1224791225624106</v>
      </c>
      <c r="K36" s="12" t="n">
        <v>10.33696800380477</v>
      </c>
      <c r="L36" s="13" t="n">
        <v>0.002705575123512035</v>
      </c>
      <c r="M36" s="11" t="n">
        <v>0.5080582305916141</v>
      </c>
      <c r="N36" s="5" t="n">
        <v>44</v>
      </c>
    </row>
    <row r="37">
      <c r="A37" s="10" t="n">
        <v>46204</v>
      </c>
      <c r="B37" s="5" t="inlineStr">
        <is>
          <t>Livia Cardoso</t>
        </is>
      </c>
      <c r="C37" s="5" t="inlineStr">
        <is>
          <t>Jaqueline Azevedo</t>
        </is>
      </c>
      <c r="D37" s="5" t="inlineStr">
        <is>
          <t>Chat</t>
        </is>
      </c>
      <c r="E37" s="5" t="inlineStr">
        <is>
          <t>Bronze/Prata</t>
        </is>
      </c>
      <c r="F37" s="5" t="inlineStr">
        <is>
          <t>Tarde</t>
        </is>
      </c>
      <c r="G37" s="5" t="n">
        <v>2087</v>
      </c>
      <c r="H37" s="11" t="n">
        <v>0.7957810767522091</v>
      </c>
      <c r="I37" s="11" t="n">
        <v>0.05519564641095182</v>
      </c>
      <c r="J37" s="11" t="n">
        <v>0.09773053529594683</v>
      </c>
      <c r="K37" s="12" t="n">
        <v>7.73430719245089</v>
      </c>
      <c r="L37" s="13" t="n">
        <v>0.007306469679534465</v>
      </c>
      <c r="M37" s="11" t="n">
        <v>0.6708648681404229</v>
      </c>
      <c r="N37" s="5" t="n">
        <v>110</v>
      </c>
    </row>
    <row r="38">
      <c r="A38" s="10" t="n">
        <v>46204</v>
      </c>
      <c r="B38" s="5" t="inlineStr">
        <is>
          <t>Livia Cardoso</t>
        </is>
      </c>
      <c r="C38" s="5" t="inlineStr">
        <is>
          <t>Jaqueline Azevedo</t>
        </is>
      </c>
      <c r="D38" s="5" t="inlineStr">
        <is>
          <t>Chat</t>
        </is>
      </c>
      <c r="E38" s="5" t="inlineStr">
        <is>
          <t>Ouro/Diamante</t>
        </is>
      </c>
      <c r="F38" s="5" t="inlineStr">
        <is>
          <t>Manhã</t>
        </is>
      </c>
      <c r="G38" s="5" t="n">
        <v>1151</v>
      </c>
      <c r="H38" s="11" t="n">
        <v>0.9166314295762475</v>
      </c>
      <c r="I38" s="11" t="n">
        <v>0.1113099419278336</v>
      </c>
      <c r="J38" s="11" t="n">
        <v>0.1316490028083249</v>
      </c>
      <c r="K38" s="12" t="n">
        <v>13.69830780523156</v>
      </c>
      <c r="L38" s="13" t="n">
        <v>0.006375700839494593</v>
      </c>
      <c r="M38" s="11" t="n">
        <v>0.7395287808860358</v>
      </c>
      <c r="N38" s="5" t="n">
        <v>44</v>
      </c>
    </row>
    <row r="39">
      <c r="A39" s="10" t="n">
        <v>46204</v>
      </c>
      <c r="B39" s="5" t="inlineStr">
        <is>
          <t>Livia Cardoso</t>
        </is>
      </c>
      <c r="C39" s="5" t="inlineStr">
        <is>
          <t>Jaqueline Azevedo</t>
        </is>
      </c>
      <c r="D39" s="5" t="inlineStr">
        <is>
          <t>Chat</t>
        </is>
      </c>
      <c r="E39" s="5" t="inlineStr">
        <is>
          <t>Ouro/Diamante</t>
        </is>
      </c>
      <c r="F39" s="5" t="inlineStr">
        <is>
          <t>Tarde</t>
        </is>
      </c>
      <c r="G39" s="5" t="n">
        <v>1214</v>
      </c>
      <c r="H39" s="11" t="n">
        <v>0.7974899672598686</v>
      </c>
      <c r="I39" s="11" t="n">
        <v>0.04644574477932908</v>
      </c>
      <c r="J39" s="11" t="n">
        <v>0.05270600077256108</v>
      </c>
      <c r="K39" s="12" t="n">
        <v>9.621063837484318</v>
      </c>
      <c r="L39" s="13" t="n">
        <v>0.005210716890068863</v>
      </c>
      <c r="M39" s="11" t="n">
        <v>0.6541500873592571</v>
      </c>
      <c r="N39" s="5" t="n">
        <v>66</v>
      </c>
    </row>
    <row r="40">
      <c r="A40" s="10" t="n">
        <v>46204</v>
      </c>
      <c r="B40" s="5" t="inlineStr">
        <is>
          <t>Livia Cardoso</t>
        </is>
      </c>
      <c r="C40" s="5" t="inlineStr">
        <is>
          <t>Jaqueline Azevedo</t>
        </is>
      </c>
      <c r="D40" s="5" t="inlineStr">
        <is>
          <t>Voz</t>
        </is>
      </c>
      <c r="E40" s="5" t="inlineStr">
        <is>
          <t>Bronze/Prata</t>
        </is>
      </c>
      <c r="F40" s="5" t="inlineStr">
        <is>
          <t>Manhã</t>
        </is>
      </c>
      <c r="G40" s="5" t="n">
        <v>1116</v>
      </c>
      <c r="H40" s="11" t="n">
        <v>0.7942428406461727</v>
      </c>
      <c r="I40" s="11" t="n">
        <v>0.08032464917110052</v>
      </c>
      <c r="J40" s="11" t="n">
        <v>0.08978128106340658</v>
      </c>
      <c r="K40" s="12" t="n">
        <v>6.375909641594427</v>
      </c>
      <c r="L40" s="13" t="n">
        <v>0.00282284098016095</v>
      </c>
      <c r="M40" s="11" t="n">
        <v>0.6291256717490366</v>
      </c>
      <c r="N40" s="5" t="n">
        <v>44</v>
      </c>
    </row>
    <row r="41">
      <c r="A41" s="10" t="n">
        <v>46204</v>
      </c>
      <c r="B41" s="5" t="inlineStr">
        <is>
          <t>Livia Cardoso</t>
        </is>
      </c>
      <c r="C41" s="5" t="inlineStr">
        <is>
          <t>Jaqueline Azevedo</t>
        </is>
      </c>
      <c r="D41" s="5" t="inlineStr">
        <is>
          <t>Voz</t>
        </is>
      </c>
      <c r="E41" s="5" t="inlineStr">
        <is>
          <t>Bronze/Prata</t>
        </is>
      </c>
      <c r="F41" s="5" t="inlineStr">
        <is>
          <t>Tarde</t>
        </is>
      </c>
      <c r="G41" s="5" t="n">
        <v>1409</v>
      </c>
      <c r="H41" s="11" t="n">
        <v>0.8962330383849013</v>
      </c>
      <c r="I41" s="11" t="n">
        <v>0.08955101935644927</v>
      </c>
      <c r="J41" s="11" t="n">
        <v>0.1358967603570664</v>
      </c>
      <c r="K41" s="12" t="n">
        <v>9.225144719422834</v>
      </c>
      <c r="L41" s="13" t="n">
        <v>0.002505362111589379</v>
      </c>
      <c r="M41" s="11" t="n">
        <v>0.6779378301000898</v>
      </c>
      <c r="N41" s="5" t="n">
        <v>66</v>
      </c>
    </row>
    <row r="42">
      <c r="A42" s="10" t="n">
        <v>46204</v>
      </c>
      <c r="B42" s="5" t="inlineStr">
        <is>
          <t>Livia Cardoso</t>
        </is>
      </c>
      <c r="C42" s="5" t="inlineStr">
        <is>
          <t>Jaqueline Azevedo</t>
        </is>
      </c>
      <c r="D42" s="5" t="inlineStr">
        <is>
          <t>Voz</t>
        </is>
      </c>
      <c r="E42" s="5" t="inlineStr">
        <is>
          <t>Ouro/Diamante</t>
        </is>
      </c>
      <c r="F42" s="5" t="inlineStr">
        <is>
          <t>Manhã</t>
        </is>
      </c>
      <c r="G42" s="5" t="n">
        <v>2212</v>
      </c>
      <c r="H42" s="11" t="n">
        <v>0.8303077336601267</v>
      </c>
      <c r="I42" s="11" t="n">
        <v>0.05168473572250222</v>
      </c>
      <c r="J42" s="11" t="n">
        <v>0.08269150167626477</v>
      </c>
      <c r="K42" s="12" t="n">
        <v>6.270696556230458</v>
      </c>
      <c r="L42" s="13" t="n">
        <v>0.007161212357639804</v>
      </c>
      <c r="M42" s="11" t="n">
        <v>0.7255177133015617</v>
      </c>
      <c r="N42" s="5" t="n">
        <v>88</v>
      </c>
    </row>
    <row r="43">
      <c r="A43" s="10" t="n">
        <v>46204</v>
      </c>
      <c r="B43" s="5" t="inlineStr">
        <is>
          <t>Livia Cardoso</t>
        </is>
      </c>
      <c r="C43" s="5" t="inlineStr">
        <is>
          <t>Jaqueline Azevedo</t>
        </is>
      </c>
      <c r="D43" s="5" t="inlineStr">
        <is>
          <t>Voz</t>
        </is>
      </c>
      <c r="E43" s="5" t="inlineStr">
        <is>
          <t>Ouro/Diamante</t>
        </is>
      </c>
      <c r="F43" s="5" t="inlineStr">
        <is>
          <t>Tarde</t>
        </is>
      </c>
      <c r="G43" s="5" t="n">
        <v>471</v>
      </c>
      <c r="H43" s="11" t="n">
        <v>0.8294007095245598</v>
      </c>
      <c r="I43" s="11" t="n">
        <v>0.08987611743992904</v>
      </c>
      <c r="J43" s="11" t="n">
        <v>0.106655208798304</v>
      </c>
      <c r="K43" s="12" t="n">
        <v>8.44500028672088</v>
      </c>
      <c r="L43" s="13" t="n">
        <v>0.006029764665433994</v>
      </c>
      <c r="M43" s="11" t="n">
        <v>0.5387909093680285</v>
      </c>
      <c r="N43" s="5" t="n">
        <v>22</v>
      </c>
    </row>
    <row r="44">
      <c r="A44" s="10" t="n">
        <v>46204</v>
      </c>
      <c r="B44" s="5" t="inlineStr">
        <is>
          <t>Livia Cardoso</t>
        </is>
      </c>
      <c r="C44" s="5" t="inlineStr">
        <is>
          <t>Karina Nunes</t>
        </is>
      </c>
      <c r="D44" s="5" t="inlineStr">
        <is>
          <t>Chat</t>
        </is>
      </c>
      <c r="E44" s="5" t="inlineStr">
        <is>
          <t>Bronze/Prata</t>
        </is>
      </c>
      <c r="F44" s="5" t="inlineStr">
        <is>
          <t>Tarde</t>
        </is>
      </c>
      <c r="G44" s="5" t="n">
        <v>1843</v>
      </c>
      <c r="H44" s="11" t="n">
        <v>0.924162311187026</v>
      </c>
      <c r="I44" s="11" t="n">
        <v>0.09192438247232972</v>
      </c>
      <c r="J44" s="11" t="n">
        <v>0.03554342116592463</v>
      </c>
      <c r="K44" s="12" t="n">
        <v>9.945318526787375</v>
      </c>
      <c r="L44" s="13" t="n">
        <v>0.003664862259458132</v>
      </c>
      <c r="M44" s="11" t="n">
        <v>0.6498586931527284</v>
      </c>
      <c r="N44" s="5" t="n">
        <v>88</v>
      </c>
    </row>
    <row r="45">
      <c r="A45" s="10" t="n">
        <v>46204</v>
      </c>
      <c r="B45" s="5" t="inlineStr">
        <is>
          <t>Livia Cardoso</t>
        </is>
      </c>
      <c r="C45" s="5" t="inlineStr">
        <is>
          <t>Karina Nunes</t>
        </is>
      </c>
      <c r="D45" s="5" t="inlineStr">
        <is>
          <t>Chat</t>
        </is>
      </c>
      <c r="E45" s="5" t="inlineStr">
        <is>
          <t>Ouro/Diamante</t>
        </is>
      </c>
      <c r="F45" s="5" t="inlineStr">
        <is>
          <t>Manhã</t>
        </is>
      </c>
      <c r="G45" s="5" t="n">
        <v>795</v>
      </c>
      <c r="H45" s="11" t="n">
        <v>0.8260768354272079</v>
      </c>
      <c r="I45" s="11" t="n">
        <v>0.04960199799638047</v>
      </c>
      <c r="J45" s="11" t="n">
        <v>0.0825312797544086</v>
      </c>
      <c r="K45" s="12" t="n">
        <v>13.89249014302626</v>
      </c>
      <c r="L45" s="13" t="n">
        <v>0.005789517945847405</v>
      </c>
      <c r="M45" s="11" t="n">
        <v>0.5658859957504672</v>
      </c>
      <c r="N45" s="5" t="n">
        <v>44</v>
      </c>
    </row>
    <row r="46">
      <c r="A46" s="10" t="n">
        <v>46204</v>
      </c>
      <c r="B46" s="5" t="inlineStr">
        <is>
          <t>Livia Cardoso</t>
        </is>
      </c>
      <c r="C46" s="5" t="inlineStr">
        <is>
          <t>Karina Nunes</t>
        </is>
      </c>
      <c r="D46" s="5" t="inlineStr">
        <is>
          <t>Chat</t>
        </is>
      </c>
      <c r="E46" s="5" t="inlineStr">
        <is>
          <t>Ouro/Diamante</t>
        </is>
      </c>
      <c r="F46" s="5" t="inlineStr">
        <is>
          <t>Tarde</t>
        </is>
      </c>
      <c r="G46" s="5" t="n">
        <v>1812</v>
      </c>
      <c r="H46" s="11" t="n">
        <v>0.79560939451247</v>
      </c>
      <c r="I46" s="11" t="n">
        <v>0.07557694563941392</v>
      </c>
      <c r="J46" s="11" t="n">
        <v>0.1191858045697119</v>
      </c>
      <c r="K46" s="12" t="n">
        <v>7.035864045663597</v>
      </c>
      <c r="L46" s="13" t="n">
        <v>0.007361374698472594</v>
      </c>
      <c r="M46" s="11" t="n">
        <v>0.5583131182431229</v>
      </c>
      <c r="N46" s="5" t="n">
        <v>66</v>
      </c>
    </row>
    <row r="47">
      <c r="A47" s="10" t="n">
        <v>46204</v>
      </c>
      <c r="B47" s="5" t="inlineStr">
        <is>
          <t>Livia Cardoso</t>
        </is>
      </c>
      <c r="C47" s="5" t="inlineStr">
        <is>
          <t>Karina Nunes</t>
        </is>
      </c>
      <c r="D47" s="5" t="inlineStr">
        <is>
          <t>Voz</t>
        </is>
      </c>
      <c r="E47" s="5" t="inlineStr">
        <is>
          <t>Bronze/Prata</t>
        </is>
      </c>
      <c r="F47" s="5" t="inlineStr">
        <is>
          <t>Manhã</t>
        </is>
      </c>
      <c r="G47" s="5" t="n">
        <v>383</v>
      </c>
      <c r="H47" s="11" t="n">
        <v>0.8226451313912578</v>
      </c>
      <c r="I47" s="11" t="n">
        <v>0.08582309123632959</v>
      </c>
      <c r="J47" s="11" t="n">
        <v>0.07210996251923277</v>
      </c>
      <c r="K47" s="12" t="n">
        <v>7.083841051102051</v>
      </c>
      <c r="L47" s="13" t="n">
        <v>0.002371886900071772</v>
      </c>
      <c r="M47" s="11" t="n">
        <v>0.5155759674172949</v>
      </c>
      <c r="N47" s="5" t="n">
        <v>22</v>
      </c>
    </row>
    <row r="48">
      <c r="A48" s="10" t="n">
        <v>46204</v>
      </c>
      <c r="B48" s="5" t="inlineStr">
        <is>
          <t>Livia Cardoso</t>
        </is>
      </c>
      <c r="C48" s="5" t="inlineStr">
        <is>
          <t>Karina Nunes</t>
        </is>
      </c>
      <c r="D48" s="5" t="inlineStr">
        <is>
          <t>Voz</t>
        </is>
      </c>
      <c r="E48" s="5" t="inlineStr">
        <is>
          <t>Bronze/Prata</t>
        </is>
      </c>
      <c r="F48" s="5" t="inlineStr">
        <is>
          <t>Tarde</t>
        </is>
      </c>
      <c r="G48" s="5" t="n">
        <v>1227</v>
      </c>
      <c r="H48" s="11" t="n">
        <v>0.855249286234927</v>
      </c>
      <c r="I48" s="11" t="n">
        <v>0.08718891420901488</v>
      </c>
      <c r="J48" s="11" t="n">
        <v>0.03938831139484099</v>
      </c>
      <c r="K48" s="12" t="n">
        <v>5.895801924107423</v>
      </c>
      <c r="L48" s="13" t="n">
        <v>0.008683276391582586</v>
      </c>
      <c r="M48" s="11" t="n">
        <v>0.6561196412228538</v>
      </c>
      <c r="N48" s="5" t="n">
        <v>44</v>
      </c>
    </row>
    <row r="49">
      <c r="A49" s="10" t="n">
        <v>46204</v>
      </c>
      <c r="B49" s="5" t="inlineStr">
        <is>
          <t>Livia Cardoso</t>
        </is>
      </c>
      <c r="C49" s="5" t="inlineStr">
        <is>
          <t>Karina Nunes</t>
        </is>
      </c>
      <c r="D49" s="5" t="inlineStr">
        <is>
          <t>Voz</t>
        </is>
      </c>
      <c r="E49" s="5" t="inlineStr">
        <is>
          <t>Ouro/Diamante</t>
        </is>
      </c>
      <c r="F49" s="5" t="inlineStr">
        <is>
          <t>Manhã</t>
        </is>
      </c>
      <c r="G49" s="5" t="n">
        <v>1003</v>
      </c>
      <c r="H49" s="11" t="n">
        <v>0.7890092281043661</v>
      </c>
      <c r="I49" s="11" t="n">
        <v>0.07927158621763576</v>
      </c>
      <c r="J49" s="11" t="n">
        <v>0.115628399439295</v>
      </c>
      <c r="K49" s="12" t="n">
        <v>6.673476921772755</v>
      </c>
      <c r="L49" s="13" t="n">
        <v>0.006154771324833533</v>
      </c>
      <c r="M49" s="11" t="n">
        <v>0.7207074090712147</v>
      </c>
      <c r="N49" s="5" t="n">
        <v>44</v>
      </c>
    </row>
    <row r="50">
      <c r="A50" s="10" t="n">
        <v>46204</v>
      </c>
      <c r="B50" s="5" t="inlineStr">
        <is>
          <t>Livia Cardoso</t>
        </is>
      </c>
      <c r="C50" s="5" t="inlineStr">
        <is>
          <t>Karina Nunes</t>
        </is>
      </c>
      <c r="D50" s="5" t="inlineStr">
        <is>
          <t>Voz</t>
        </is>
      </c>
      <c r="E50" s="5" t="inlineStr">
        <is>
          <t>Ouro/Diamante</t>
        </is>
      </c>
      <c r="F50" s="5" t="inlineStr">
        <is>
          <t>Tarde</t>
        </is>
      </c>
      <c r="G50" s="5" t="n">
        <v>534</v>
      </c>
      <c r="H50" s="11" t="n">
        <v>0.8880945370332421</v>
      </c>
      <c r="I50" s="11" t="n">
        <v>0.0436052422341679</v>
      </c>
      <c r="J50" s="11" t="n">
        <v>0.0326201255349776</v>
      </c>
      <c r="K50" s="12" t="n">
        <v>8.347798955562055</v>
      </c>
      <c r="L50" s="13" t="n">
        <v>0.004892787796909498</v>
      </c>
      <c r="M50" s="11" t="n">
        <v>0.7122623514167555</v>
      </c>
      <c r="N50" s="5" t="n">
        <v>22</v>
      </c>
    </row>
    <row r="51">
      <c r="A51" s="10" t="n">
        <v>46204</v>
      </c>
      <c r="B51" s="5" t="inlineStr">
        <is>
          <t>Livia Cardoso</t>
        </is>
      </c>
      <c r="C51" s="5" t="inlineStr">
        <is>
          <t>Maicon Teixeira</t>
        </is>
      </c>
      <c r="D51" s="5" t="inlineStr">
        <is>
          <t>Chat</t>
        </is>
      </c>
      <c r="E51" s="5" t="inlineStr">
        <is>
          <t>Bronze/Prata</t>
        </is>
      </c>
      <c r="F51" s="5" t="inlineStr">
        <is>
          <t>Manhã</t>
        </is>
      </c>
      <c r="G51" s="5" t="n">
        <v>1156</v>
      </c>
      <c r="H51" s="11" t="n">
        <v>0.9356104456088541</v>
      </c>
      <c r="I51" s="11" t="n">
        <v>0.0778539346269565</v>
      </c>
      <c r="J51" s="11" t="n">
        <v>0.1398955333212168</v>
      </c>
      <c r="K51" s="12" t="n">
        <v>12.29372284685094</v>
      </c>
      <c r="L51" s="13" t="n">
        <v>0.008242455038196792</v>
      </c>
      <c r="M51" s="11" t="n">
        <v>0.4944652482188742</v>
      </c>
      <c r="N51" s="5" t="n">
        <v>44</v>
      </c>
    </row>
    <row r="52">
      <c r="A52" s="10" t="n">
        <v>46204</v>
      </c>
      <c r="B52" s="5" t="inlineStr">
        <is>
          <t>Livia Cardoso</t>
        </is>
      </c>
      <c r="C52" s="5" t="inlineStr">
        <is>
          <t>Maicon Teixeira</t>
        </is>
      </c>
      <c r="D52" s="5" t="inlineStr">
        <is>
          <t>Chat</t>
        </is>
      </c>
      <c r="E52" s="5" t="inlineStr">
        <is>
          <t>Bronze/Prata</t>
        </is>
      </c>
      <c r="F52" s="5" t="inlineStr">
        <is>
          <t>Tarde</t>
        </is>
      </c>
      <c r="G52" s="5" t="n">
        <v>1702</v>
      </c>
      <c r="H52" s="11" t="n">
        <v>0.851762899620945</v>
      </c>
      <c r="I52" s="11" t="n">
        <v>0.1372088113998808</v>
      </c>
      <c r="J52" s="11" t="n">
        <v>0.1393589710492261</v>
      </c>
      <c r="K52" s="12" t="n">
        <v>8.516880063377798</v>
      </c>
      <c r="L52" s="13" t="n">
        <v>0.004949906530488455</v>
      </c>
      <c r="M52" s="11" t="n">
        <v>0.5312715123726163</v>
      </c>
      <c r="N52" s="5" t="n">
        <v>66</v>
      </c>
    </row>
    <row r="53">
      <c r="A53" s="10" t="n">
        <v>46204</v>
      </c>
      <c r="B53" s="5" t="inlineStr">
        <is>
          <t>Livia Cardoso</t>
        </is>
      </c>
      <c r="C53" s="5" t="inlineStr">
        <is>
          <t>Maicon Teixeira</t>
        </is>
      </c>
      <c r="D53" s="5" t="inlineStr">
        <is>
          <t>Chat</t>
        </is>
      </c>
      <c r="E53" s="5" t="inlineStr">
        <is>
          <t>Ouro/Diamante</t>
        </is>
      </c>
      <c r="F53" s="5" t="inlineStr">
        <is>
          <t>Manhã</t>
        </is>
      </c>
      <c r="G53" s="5" t="n">
        <v>492</v>
      </c>
      <c r="H53" s="11" t="n">
        <v>0.8287064552337363</v>
      </c>
      <c r="I53" s="11" t="n">
        <v>0.1066506578276854</v>
      </c>
      <c r="J53" s="11" t="n">
        <v>0.04356691661938664</v>
      </c>
      <c r="K53" s="12" t="n">
        <v>8.184572430746895</v>
      </c>
      <c r="L53" s="13" t="n">
        <v>0.005203657325643268</v>
      </c>
      <c r="M53" s="11" t="n">
        <v>0.4721720822619606</v>
      </c>
      <c r="N53" s="5" t="n">
        <v>22</v>
      </c>
    </row>
    <row r="54">
      <c r="A54" s="10" t="n">
        <v>46204</v>
      </c>
      <c r="B54" s="5" t="inlineStr">
        <is>
          <t>Livia Cardoso</t>
        </is>
      </c>
      <c r="C54" s="5" t="inlineStr">
        <is>
          <t>Maicon Teixeira</t>
        </is>
      </c>
      <c r="D54" s="5" t="inlineStr">
        <is>
          <t>Chat</t>
        </is>
      </c>
      <c r="E54" s="5" t="inlineStr">
        <is>
          <t>Ouro/Diamante</t>
        </is>
      </c>
      <c r="F54" s="5" t="inlineStr">
        <is>
          <t>Tarde</t>
        </is>
      </c>
      <c r="G54" s="5" t="n">
        <v>1414</v>
      </c>
      <c r="H54" s="11" t="n">
        <v>0.93255850828906</v>
      </c>
      <c r="I54" s="11" t="n">
        <v>0.1285327414792611</v>
      </c>
      <c r="J54" s="11" t="n">
        <v>0.05161825702561884</v>
      </c>
      <c r="K54" s="12" t="n">
        <v>7.129374192889622</v>
      </c>
      <c r="L54" s="13" t="n">
        <v>0.007798034879988779</v>
      </c>
      <c r="M54" s="11" t="n">
        <v>0.7382329418904994</v>
      </c>
      <c r="N54" s="5" t="n">
        <v>66</v>
      </c>
    </row>
    <row r="55">
      <c r="A55" s="10" t="n">
        <v>46204</v>
      </c>
      <c r="B55" s="5" t="inlineStr">
        <is>
          <t>Livia Cardoso</t>
        </is>
      </c>
      <c r="C55" s="5" t="inlineStr">
        <is>
          <t>Maicon Teixeira</t>
        </is>
      </c>
      <c r="D55" s="5" t="inlineStr">
        <is>
          <t>Voz</t>
        </is>
      </c>
      <c r="E55" s="5" t="inlineStr">
        <is>
          <t>Bronze/Prata</t>
        </is>
      </c>
      <c r="F55" s="5" t="inlineStr">
        <is>
          <t>Manhã</t>
        </is>
      </c>
      <c r="G55" s="5" t="n">
        <v>523</v>
      </c>
      <c r="H55" s="11" t="n">
        <v>0.8031770051239926</v>
      </c>
      <c r="I55" s="11" t="n">
        <v>0.06365563070570009</v>
      </c>
      <c r="J55" s="11" t="n">
        <v>0.1312197831282847</v>
      </c>
      <c r="K55" s="12" t="n">
        <v>9.187825799693702</v>
      </c>
      <c r="L55" s="13" t="n">
        <v>0.002217700191591976</v>
      </c>
      <c r="M55" s="11" t="n">
        <v>0.5054408888795702</v>
      </c>
      <c r="N55" s="5" t="n">
        <v>22</v>
      </c>
    </row>
    <row r="56">
      <c r="A56" s="10" t="n">
        <v>46204</v>
      </c>
      <c r="B56" s="5" t="inlineStr">
        <is>
          <t>Livia Cardoso</t>
        </is>
      </c>
      <c r="C56" s="5" t="inlineStr">
        <is>
          <t>Maicon Teixeira</t>
        </is>
      </c>
      <c r="D56" s="5" t="inlineStr">
        <is>
          <t>Voz</t>
        </is>
      </c>
      <c r="E56" s="5" t="inlineStr">
        <is>
          <t>Bronze/Prata</t>
        </is>
      </c>
      <c r="F56" s="5" t="inlineStr">
        <is>
          <t>Tarde</t>
        </is>
      </c>
      <c r="G56" s="5" t="n">
        <v>482</v>
      </c>
      <c r="H56" s="11" t="n">
        <v>0.8253387594396634</v>
      </c>
      <c r="I56" s="11" t="n">
        <v>0.1153877659543304</v>
      </c>
      <c r="J56" s="11" t="n">
        <v>0.07102364001241038</v>
      </c>
      <c r="K56" s="12" t="n">
        <v>8.375928938932766</v>
      </c>
      <c r="L56" s="13" t="n">
        <v>0.003063851863566717</v>
      </c>
      <c r="M56" s="11" t="n">
        <v>0.6054961902565273</v>
      </c>
      <c r="N56" s="5" t="n">
        <v>22</v>
      </c>
    </row>
    <row r="57">
      <c r="A57" s="10" t="n">
        <v>46204</v>
      </c>
      <c r="B57" s="5" t="inlineStr">
        <is>
          <t>Livia Cardoso</t>
        </is>
      </c>
      <c r="C57" s="5" t="inlineStr">
        <is>
          <t>Maicon Teixeira</t>
        </is>
      </c>
      <c r="D57" s="5" t="inlineStr">
        <is>
          <t>Voz</t>
        </is>
      </c>
      <c r="E57" s="5" t="inlineStr">
        <is>
          <t>Ouro/Diamante</t>
        </is>
      </c>
      <c r="F57" s="5" t="inlineStr">
        <is>
          <t>Manhã</t>
        </is>
      </c>
      <c r="G57" s="5" t="n">
        <v>1227</v>
      </c>
      <c r="H57" s="11" t="n">
        <v>0.8993409252523514</v>
      </c>
      <c r="I57" s="11" t="n">
        <v>0.0490062530961949</v>
      </c>
      <c r="J57" s="11" t="n">
        <v>0.04220816442104144</v>
      </c>
      <c r="K57" s="12" t="n">
        <v>7.717541888334878</v>
      </c>
      <c r="L57" s="13" t="n">
        <v>0.004624921784737139</v>
      </c>
      <c r="M57" s="11" t="n">
        <v>0.5606093464190599</v>
      </c>
      <c r="N57" s="5" t="n">
        <v>44</v>
      </c>
    </row>
    <row r="58">
      <c r="A58" s="10" t="n">
        <v>46204</v>
      </c>
      <c r="B58" s="5" t="inlineStr">
        <is>
          <t>Livia Cardoso</t>
        </is>
      </c>
      <c r="C58" s="5" t="inlineStr">
        <is>
          <t>Maicon Teixeira</t>
        </is>
      </c>
      <c r="D58" s="5" t="inlineStr">
        <is>
          <t>Voz</t>
        </is>
      </c>
      <c r="E58" s="5" t="inlineStr">
        <is>
          <t>Ouro/Diamante</t>
        </is>
      </c>
      <c r="F58" s="5" t="inlineStr">
        <is>
          <t>Tarde</t>
        </is>
      </c>
      <c r="G58" s="5" t="n">
        <v>989</v>
      </c>
      <c r="H58" s="11" t="n">
        <v>0.8788893103999774</v>
      </c>
      <c r="I58" s="11" t="n">
        <v>0.1365853652885497</v>
      </c>
      <c r="J58" s="11" t="n">
        <v>0.05650071148688003</v>
      </c>
      <c r="K58" s="12" t="n">
        <v>7.343354349600791</v>
      </c>
      <c r="L58" s="13" t="n">
        <v>0.003841431186517049</v>
      </c>
      <c r="M58" s="11" t="n">
        <v>0.6136067927166013</v>
      </c>
      <c r="N58" s="5" t="n">
        <v>44</v>
      </c>
    </row>
    <row r="59">
      <c r="A59" s="10" t="n">
        <v>46204</v>
      </c>
      <c r="B59" s="5" t="inlineStr">
        <is>
          <t>Livia Cardoso</t>
        </is>
      </c>
      <c r="C59" s="5" t="inlineStr">
        <is>
          <t>Ualifer Azevedo</t>
        </is>
      </c>
      <c r="D59" s="5" t="inlineStr">
        <is>
          <t>Chat</t>
        </is>
      </c>
      <c r="E59" s="5" t="inlineStr">
        <is>
          <t>Bronze/Prata</t>
        </is>
      </c>
      <c r="F59" s="5" t="inlineStr">
        <is>
          <t>Manhã</t>
        </is>
      </c>
      <c r="G59" s="5" t="n">
        <v>555</v>
      </c>
      <c r="H59" s="11" t="n">
        <v>0.8027117375312659</v>
      </c>
      <c r="I59" s="11" t="n">
        <v>0.08811528225617754</v>
      </c>
      <c r="J59" s="11" t="n">
        <v>0.1076334658723248</v>
      </c>
      <c r="K59" s="12" t="n">
        <v>7.056987182099395</v>
      </c>
      <c r="L59" s="13" t="n">
        <v>0.007397918272608939</v>
      </c>
      <c r="M59" s="11" t="n">
        <v>0.5756559429297359</v>
      </c>
      <c r="N59" s="5" t="n">
        <v>22</v>
      </c>
    </row>
    <row r="60">
      <c r="A60" s="10" t="n">
        <v>46204</v>
      </c>
      <c r="B60" s="5" t="inlineStr">
        <is>
          <t>Livia Cardoso</t>
        </is>
      </c>
      <c r="C60" s="5" t="inlineStr">
        <is>
          <t>Ualifer Azevedo</t>
        </is>
      </c>
      <c r="D60" s="5" t="inlineStr">
        <is>
          <t>Chat</t>
        </is>
      </c>
      <c r="E60" s="5" t="inlineStr">
        <is>
          <t>Bronze/Prata</t>
        </is>
      </c>
      <c r="F60" s="5" t="inlineStr">
        <is>
          <t>Tarde</t>
        </is>
      </c>
      <c r="G60" s="5" t="n">
        <v>2504</v>
      </c>
      <c r="H60" s="11" t="n">
        <v>0.8837857894608752</v>
      </c>
      <c r="I60" s="11" t="n">
        <v>0.1192894723316443</v>
      </c>
      <c r="J60" s="11" t="n">
        <v>0.03616654506685657</v>
      </c>
      <c r="K60" s="12" t="n">
        <v>10.50383912525811</v>
      </c>
      <c r="L60" s="13" t="n">
        <v>0.002268033384127461</v>
      </c>
      <c r="M60" s="11" t="n">
        <v>0.5656465639564197</v>
      </c>
      <c r="N60" s="5" t="n">
        <v>110</v>
      </c>
    </row>
    <row r="61">
      <c r="A61" s="10" t="n">
        <v>46204</v>
      </c>
      <c r="B61" s="5" t="inlineStr">
        <is>
          <t>Livia Cardoso</t>
        </is>
      </c>
      <c r="C61" s="5" t="inlineStr">
        <is>
          <t>Ualifer Azevedo</t>
        </is>
      </c>
      <c r="D61" s="5" t="inlineStr">
        <is>
          <t>Chat</t>
        </is>
      </c>
      <c r="E61" s="5" t="inlineStr">
        <is>
          <t>Ouro/Diamante</t>
        </is>
      </c>
      <c r="F61" s="5" t="inlineStr">
        <is>
          <t>Manhã</t>
        </is>
      </c>
      <c r="G61" s="5" t="n">
        <v>462</v>
      </c>
      <c r="H61" s="11" t="n">
        <v>0.7836376569779141</v>
      </c>
      <c r="I61" s="11" t="n">
        <v>0.06977443668215133</v>
      </c>
      <c r="J61" s="11" t="n">
        <v>0.07950260088801056</v>
      </c>
      <c r="K61" s="12" t="n">
        <v>11.58413900333603</v>
      </c>
      <c r="L61" s="13" t="n">
        <v>0.008473546544784546</v>
      </c>
      <c r="M61" s="11" t="n">
        <v>0.5611357582406233</v>
      </c>
      <c r="N61" s="5" t="n">
        <v>22</v>
      </c>
    </row>
    <row r="62">
      <c r="A62" s="10" t="n">
        <v>46204</v>
      </c>
      <c r="B62" s="5" t="inlineStr">
        <is>
          <t>Livia Cardoso</t>
        </is>
      </c>
      <c r="C62" s="5" t="inlineStr">
        <is>
          <t>Ualifer Azevedo</t>
        </is>
      </c>
      <c r="D62" s="5" t="inlineStr">
        <is>
          <t>Chat</t>
        </is>
      </c>
      <c r="E62" s="5" t="inlineStr">
        <is>
          <t>Ouro/Diamante</t>
        </is>
      </c>
      <c r="F62" s="5" t="inlineStr">
        <is>
          <t>Tarde</t>
        </is>
      </c>
      <c r="G62" s="5" t="n">
        <v>2536</v>
      </c>
      <c r="H62" s="11" t="n">
        <v>0.9012403838271397</v>
      </c>
      <c r="I62" s="11" t="n">
        <v>0.133729497189982</v>
      </c>
      <c r="J62" s="11" t="n">
        <v>0.1344619532149895</v>
      </c>
      <c r="K62" s="12" t="n">
        <v>13.91618358824198</v>
      </c>
      <c r="L62" s="13" t="n">
        <v>0.00411240747516889</v>
      </c>
      <c r="M62" s="11" t="n">
        <v>0.499993364343513</v>
      </c>
      <c r="N62" s="5" t="n">
        <v>110</v>
      </c>
    </row>
    <row r="63">
      <c r="A63" s="10" t="n">
        <v>46204</v>
      </c>
      <c r="B63" s="5" t="inlineStr">
        <is>
          <t>Livia Cardoso</t>
        </is>
      </c>
      <c r="C63" s="5" t="inlineStr">
        <is>
          <t>Ualifer Azevedo</t>
        </is>
      </c>
      <c r="D63" s="5" t="inlineStr">
        <is>
          <t>Voz</t>
        </is>
      </c>
      <c r="E63" s="5" t="inlineStr">
        <is>
          <t>Bronze/Prata</t>
        </is>
      </c>
      <c r="F63" s="5" t="inlineStr">
        <is>
          <t>Manhã</t>
        </is>
      </c>
      <c r="G63" s="5" t="n">
        <v>1207</v>
      </c>
      <c r="H63" s="11" t="n">
        <v>0.793154924061841</v>
      </c>
      <c r="I63" s="11" t="n">
        <v>0.08487240765631655</v>
      </c>
      <c r="J63" s="11" t="n">
        <v>0.1109830849865586</v>
      </c>
      <c r="K63" s="12" t="n">
        <v>7.143703655126208</v>
      </c>
      <c r="L63" s="13" t="n">
        <v>0.004721211267182408</v>
      </c>
      <c r="M63" s="11" t="n">
        <v>0.7273537684531621</v>
      </c>
      <c r="N63" s="5" t="n">
        <v>44</v>
      </c>
    </row>
    <row r="64">
      <c r="A64" s="10" t="n">
        <v>46204</v>
      </c>
      <c r="B64" s="5" t="inlineStr">
        <is>
          <t>Livia Cardoso</t>
        </is>
      </c>
      <c r="C64" s="5" t="inlineStr">
        <is>
          <t>Ualifer Azevedo</t>
        </is>
      </c>
      <c r="D64" s="5" t="inlineStr">
        <is>
          <t>Voz</t>
        </is>
      </c>
      <c r="E64" s="5" t="inlineStr">
        <is>
          <t>Bronze/Prata</t>
        </is>
      </c>
      <c r="F64" s="5" t="inlineStr">
        <is>
          <t>Tarde</t>
        </is>
      </c>
      <c r="G64" s="5" t="n">
        <v>2259</v>
      </c>
      <c r="H64" s="11" t="n">
        <v>0.8737933961557349</v>
      </c>
      <c r="I64" s="11" t="n">
        <v>0.1229669620161592</v>
      </c>
      <c r="J64" s="11" t="n">
        <v>0.04518055237965502</v>
      </c>
      <c r="K64" s="12" t="n">
        <v>6.25482847031804</v>
      </c>
      <c r="L64" s="13" t="n">
        <v>0.005459986880621414</v>
      </c>
      <c r="M64" s="11" t="n">
        <v>0.6197754500017437</v>
      </c>
      <c r="N64" s="5" t="n">
        <v>110</v>
      </c>
    </row>
    <row r="65">
      <c r="A65" s="10" t="n">
        <v>46204</v>
      </c>
      <c r="B65" s="5" t="inlineStr">
        <is>
          <t>Livia Cardoso</t>
        </is>
      </c>
      <c r="C65" s="5" t="inlineStr">
        <is>
          <t>Ualifer Azevedo</t>
        </is>
      </c>
      <c r="D65" s="5" t="inlineStr">
        <is>
          <t>Voz</t>
        </is>
      </c>
      <c r="E65" s="5" t="inlineStr">
        <is>
          <t>Ouro/Diamante</t>
        </is>
      </c>
      <c r="F65" s="5" t="inlineStr">
        <is>
          <t>Manhã</t>
        </is>
      </c>
      <c r="G65" s="5" t="n">
        <v>1719</v>
      </c>
      <c r="H65" s="11" t="n">
        <v>0.8571698007522207</v>
      </c>
      <c r="I65" s="11" t="n">
        <v>0.04598249639724129</v>
      </c>
      <c r="J65" s="11" t="n">
        <v>0.03967170441788799</v>
      </c>
      <c r="K65" s="12" t="n">
        <v>6.210512112275268</v>
      </c>
      <c r="L65" s="13" t="n">
        <v>0.003006516297304667</v>
      </c>
      <c r="M65" s="11" t="n">
        <v>0.7402581930327019</v>
      </c>
      <c r="N65" s="5" t="n">
        <v>88</v>
      </c>
    </row>
    <row r="66">
      <c r="A66" s="10" t="n">
        <v>46204</v>
      </c>
      <c r="B66" s="5" t="inlineStr">
        <is>
          <t>Livia Cardoso</t>
        </is>
      </c>
      <c r="C66" s="5" t="inlineStr">
        <is>
          <t>Ualifer Azevedo</t>
        </is>
      </c>
      <c r="D66" s="5" t="inlineStr">
        <is>
          <t>Voz</t>
        </is>
      </c>
      <c r="E66" s="5" t="inlineStr">
        <is>
          <t>Ouro/Diamante</t>
        </is>
      </c>
      <c r="F66" s="5" t="inlineStr">
        <is>
          <t>Tarde</t>
        </is>
      </c>
      <c r="G66" s="5" t="n">
        <v>443</v>
      </c>
      <c r="H66" s="11" t="n">
        <v>0.826876333447339</v>
      </c>
      <c r="I66" s="11" t="n">
        <v>0.1183691504179291</v>
      </c>
      <c r="J66" s="11" t="n">
        <v>0.1115273433452864</v>
      </c>
      <c r="K66" s="12" t="n">
        <v>5.810536386495114</v>
      </c>
      <c r="L66" s="13" t="n">
        <v>0.007804201239151524</v>
      </c>
      <c r="M66" s="11" t="n">
        <v>0.6377171365596194</v>
      </c>
      <c r="N66" s="5" t="n">
        <v>22</v>
      </c>
    </row>
    <row r="67">
      <c r="A67" s="10" t="n">
        <v>46235</v>
      </c>
      <c r="B67" s="5" t="inlineStr">
        <is>
          <t>Crhistoffer Miranda</t>
        </is>
      </c>
      <c r="C67" s="5" t="inlineStr">
        <is>
          <t>Bruna Almeida</t>
        </is>
      </c>
      <c r="D67" s="5" t="inlineStr">
        <is>
          <t>Chat</t>
        </is>
      </c>
      <c r="E67" s="5" t="inlineStr">
        <is>
          <t>Bronze/Prata</t>
        </is>
      </c>
      <c r="F67" s="5" t="inlineStr">
        <is>
          <t>Manhã</t>
        </is>
      </c>
      <c r="G67" s="5" t="n">
        <v>473</v>
      </c>
      <c r="H67" s="11" t="n">
        <v>0.8868978181046496</v>
      </c>
      <c r="I67" s="11" t="n">
        <v>0.0645716368422002</v>
      </c>
      <c r="J67" s="11" t="n">
        <v>0.05897302147091849</v>
      </c>
      <c r="K67" s="12" t="n">
        <v>13.13564474229992</v>
      </c>
      <c r="L67" s="13" t="n">
        <v>0.005070491771445911</v>
      </c>
      <c r="M67" s="11" t="n">
        <v>0.7191847171701903</v>
      </c>
      <c r="N67" s="5" t="n">
        <v>22</v>
      </c>
    </row>
    <row r="68">
      <c r="A68" s="10" t="n">
        <v>46235</v>
      </c>
      <c r="B68" s="5" t="inlineStr">
        <is>
          <t>Crhistoffer Miranda</t>
        </is>
      </c>
      <c r="C68" s="5" t="inlineStr">
        <is>
          <t>Bruna Almeida</t>
        </is>
      </c>
      <c r="D68" s="5" t="inlineStr">
        <is>
          <t>Chat</t>
        </is>
      </c>
      <c r="E68" s="5" t="inlineStr">
        <is>
          <t>Bronze/Prata</t>
        </is>
      </c>
      <c r="F68" s="5" t="inlineStr">
        <is>
          <t>Tarde</t>
        </is>
      </c>
      <c r="G68" s="5" t="n">
        <v>844</v>
      </c>
      <c r="H68" s="11" t="n">
        <v>0.8033413464289648</v>
      </c>
      <c r="I68" s="11" t="n">
        <v>0.04519527040547627</v>
      </c>
      <c r="J68" s="11" t="n">
        <v>0.1113703372259307</v>
      </c>
      <c r="K68" s="12" t="n">
        <v>10.92852924663007</v>
      </c>
      <c r="L68" s="13" t="n">
        <v>0.002067529418999362</v>
      </c>
      <c r="M68" s="11" t="n">
        <v>0.4629879259178152</v>
      </c>
      <c r="N68" s="5" t="n">
        <v>44</v>
      </c>
    </row>
    <row r="69">
      <c r="A69" s="10" t="n">
        <v>46235</v>
      </c>
      <c r="B69" s="5" t="inlineStr">
        <is>
          <t>Crhistoffer Miranda</t>
        </is>
      </c>
      <c r="C69" s="5" t="inlineStr">
        <is>
          <t>Bruna Almeida</t>
        </is>
      </c>
      <c r="D69" s="5" t="inlineStr">
        <is>
          <t>Chat</t>
        </is>
      </c>
      <c r="E69" s="5" t="inlineStr">
        <is>
          <t>Ouro/Diamante</t>
        </is>
      </c>
      <c r="F69" s="5" t="inlineStr">
        <is>
          <t>Manhã</t>
        </is>
      </c>
      <c r="G69" s="5" t="n">
        <v>1733</v>
      </c>
      <c r="H69" s="11" t="n">
        <v>0.8640440975471094</v>
      </c>
      <c r="I69" s="11" t="n">
        <v>0.1271318702769224</v>
      </c>
      <c r="J69" s="11" t="n">
        <v>0.03437444838032253</v>
      </c>
      <c r="K69" s="12" t="n">
        <v>11.12198615729678</v>
      </c>
      <c r="L69" s="13" t="n">
        <v>0.002822176194848037</v>
      </c>
      <c r="M69" s="11" t="n">
        <v>0.6663362492574028</v>
      </c>
      <c r="N69" s="5" t="n">
        <v>66</v>
      </c>
    </row>
    <row r="70">
      <c r="A70" s="10" t="n">
        <v>46235</v>
      </c>
      <c r="B70" s="5" t="inlineStr">
        <is>
          <t>Crhistoffer Miranda</t>
        </is>
      </c>
      <c r="C70" s="5" t="inlineStr">
        <is>
          <t>Bruna Almeida</t>
        </is>
      </c>
      <c r="D70" s="5" t="inlineStr">
        <is>
          <t>Chat</t>
        </is>
      </c>
      <c r="E70" s="5" t="inlineStr">
        <is>
          <t>Ouro/Diamante</t>
        </is>
      </c>
      <c r="F70" s="5" t="inlineStr">
        <is>
          <t>Tarde</t>
        </is>
      </c>
      <c r="G70" s="5" t="n">
        <v>1053</v>
      </c>
      <c r="H70" s="11" t="n">
        <v>0.8840477883674085</v>
      </c>
      <c r="I70" s="11" t="n">
        <v>0.06215212996036849</v>
      </c>
      <c r="J70" s="11" t="n">
        <v>0.1343923380715801</v>
      </c>
      <c r="K70" s="12" t="n">
        <v>7.777174658629491</v>
      </c>
      <c r="L70" s="13" t="n">
        <v>0.002448286801833153</v>
      </c>
      <c r="M70" s="11" t="n">
        <v>0.6552145278268289</v>
      </c>
      <c r="N70" s="5" t="n">
        <v>44</v>
      </c>
    </row>
    <row r="71">
      <c r="A71" s="10" t="n">
        <v>46235</v>
      </c>
      <c r="B71" s="5" t="inlineStr">
        <is>
          <t>Crhistoffer Miranda</t>
        </is>
      </c>
      <c r="C71" s="5" t="inlineStr">
        <is>
          <t>Bruna Almeida</t>
        </is>
      </c>
      <c r="D71" s="5" t="inlineStr">
        <is>
          <t>Voz</t>
        </is>
      </c>
      <c r="E71" s="5" t="inlineStr">
        <is>
          <t>Bronze/Prata</t>
        </is>
      </c>
      <c r="F71" s="5" t="inlineStr">
        <is>
          <t>Manhã</t>
        </is>
      </c>
      <c r="G71" s="5" t="n">
        <v>804</v>
      </c>
      <c r="H71" s="11" t="n">
        <v>0.7913618940985556</v>
      </c>
      <c r="I71" s="11" t="n">
        <v>0.08602928482282415</v>
      </c>
      <c r="J71" s="11" t="n">
        <v>0.1013760445095318</v>
      </c>
      <c r="K71" s="12" t="n">
        <v>8.960346309136948</v>
      </c>
      <c r="L71" s="13" t="n">
        <v>0.007046054757189673</v>
      </c>
      <c r="M71" s="11" t="n">
        <v>0.4708074978510217</v>
      </c>
      <c r="N71" s="5" t="n">
        <v>44</v>
      </c>
    </row>
    <row r="72">
      <c r="A72" s="10" t="n">
        <v>46235</v>
      </c>
      <c r="B72" s="5" t="inlineStr">
        <is>
          <t>Crhistoffer Miranda</t>
        </is>
      </c>
      <c r="C72" s="5" t="inlineStr">
        <is>
          <t>Bruna Almeida</t>
        </is>
      </c>
      <c r="D72" s="5" t="inlineStr">
        <is>
          <t>Voz</t>
        </is>
      </c>
      <c r="E72" s="5" t="inlineStr">
        <is>
          <t>Bronze/Prata</t>
        </is>
      </c>
      <c r="F72" s="5" t="inlineStr">
        <is>
          <t>Tarde</t>
        </is>
      </c>
      <c r="G72" s="5" t="n">
        <v>1603</v>
      </c>
      <c r="H72" s="11" t="n">
        <v>0.9234172195678255</v>
      </c>
      <c r="I72" s="11" t="n">
        <v>0.05205235749865835</v>
      </c>
      <c r="J72" s="11" t="n">
        <v>0.112994915199157</v>
      </c>
      <c r="K72" s="12" t="n">
        <v>5.793258721136673</v>
      </c>
      <c r="L72" s="13" t="n">
        <v>0.004090498306552969</v>
      </c>
      <c r="M72" s="11" t="n">
        <v>0.4504497257146586</v>
      </c>
      <c r="N72" s="5" t="n">
        <v>66</v>
      </c>
    </row>
    <row r="73">
      <c r="A73" s="10" t="n">
        <v>46235</v>
      </c>
      <c r="B73" s="5" t="inlineStr">
        <is>
          <t>Crhistoffer Miranda</t>
        </is>
      </c>
      <c r="C73" s="5" t="inlineStr">
        <is>
          <t>Bruna Almeida</t>
        </is>
      </c>
      <c r="D73" s="5" t="inlineStr">
        <is>
          <t>Voz</t>
        </is>
      </c>
      <c r="E73" s="5" t="inlineStr">
        <is>
          <t>Ouro/Diamante</t>
        </is>
      </c>
      <c r="F73" s="5" t="inlineStr">
        <is>
          <t>Manhã</t>
        </is>
      </c>
      <c r="G73" s="5" t="n">
        <v>1123</v>
      </c>
      <c r="H73" s="11" t="n">
        <v>0.8676779970660177</v>
      </c>
      <c r="I73" s="11" t="n">
        <v>0.1301966679826661</v>
      </c>
      <c r="J73" s="11" t="n">
        <v>0.08120845937649385</v>
      </c>
      <c r="K73" s="12" t="n">
        <v>5.27710623502697</v>
      </c>
      <c r="L73" s="13" t="n">
        <v>0.003514823083607847</v>
      </c>
      <c r="M73" s="11" t="n">
        <v>0.5290078579961368</v>
      </c>
      <c r="N73" s="5" t="n">
        <v>44</v>
      </c>
    </row>
    <row r="74">
      <c r="A74" s="10" t="n">
        <v>46235</v>
      </c>
      <c r="B74" s="5" t="inlineStr">
        <is>
          <t>Crhistoffer Miranda</t>
        </is>
      </c>
      <c r="C74" s="5" t="inlineStr">
        <is>
          <t>Bruna Almeida</t>
        </is>
      </c>
      <c r="D74" s="5" t="inlineStr">
        <is>
          <t>Voz</t>
        </is>
      </c>
      <c r="E74" s="5" t="inlineStr">
        <is>
          <t>Ouro/Diamante</t>
        </is>
      </c>
      <c r="F74" s="5" t="inlineStr">
        <is>
          <t>Tarde</t>
        </is>
      </c>
      <c r="G74" s="5" t="n">
        <v>3036</v>
      </c>
      <c r="H74" s="11" t="n">
        <v>0.8148919550910226</v>
      </c>
      <c r="I74" s="11" t="n">
        <v>0.04882031183705425</v>
      </c>
      <c r="J74" s="11" t="n">
        <v>0.06880099564284903</v>
      </c>
      <c r="K74" s="12" t="n">
        <v>4.895585061606007</v>
      </c>
      <c r="L74" s="13" t="n">
        <v>0.004976415932657308</v>
      </c>
      <c r="M74" s="11" t="n">
        <v>0.6364848610419753</v>
      </c>
      <c r="N74" s="5" t="n">
        <v>110</v>
      </c>
    </row>
    <row r="75">
      <c r="A75" s="10" t="n">
        <v>46235</v>
      </c>
      <c r="B75" s="5" t="inlineStr">
        <is>
          <t>Crhistoffer Miranda</t>
        </is>
      </c>
      <c r="C75" s="5" t="inlineStr">
        <is>
          <t>Emir Anjos</t>
        </is>
      </c>
      <c r="D75" s="5" t="inlineStr">
        <is>
          <t>Chat</t>
        </is>
      </c>
      <c r="E75" s="5" t="inlineStr">
        <is>
          <t>Bronze/Prata</t>
        </is>
      </c>
      <c r="F75" s="5" t="inlineStr">
        <is>
          <t>Manhã</t>
        </is>
      </c>
      <c r="G75" s="5" t="n">
        <v>536</v>
      </c>
      <c r="H75" s="11" t="n">
        <v>0.8097174342232581</v>
      </c>
      <c r="I75" s="11" t="n">
        <v>0.05388076761000584</v>
      </c>
      <c r="J75" s="11" t="n">
        <v>0.08403262547163515</v>
      </c>
      <c r="K75" s="12" t="n">
        <v>11.81036551680556</v>
      </c>
      <c r="L75" s="13" t="n">
        <v>0.005130065534617128</v>
      </c>
      <c r="M75" s="11" t="n">
        <v>0.6219817430020473</v>
      </c>
      <c r="N75" s="5" t="n">
        <v>22</v>
      </c>
    </row>
    <row r="76">
      <c r="A76" s="10" t="n">
        <v>46235</v>
      </c>
      <c r="B76" s="5" t="inlineStr">
        <is>
          <t>Crhistoffer Miranda</t>
        </is>
      </c>
      <c r="C76" s="5" t="inlineStr">
        <is>
          <t>Emir Anjos</t>
        </is>
      </c>
      <c r="D76" s="5" t="inlineStr">
        <is>
          <t>Chat</t>
        </is>
      </c>
      <c r="E76" s="5" t="inlineStr">
        <is>
          <t>Bronze/Prata</t>
        </is>
      </c>
      <c r="F76" s="5" t="inlineStr">
        <is>
          <t>Tarde</t>
        </is>
      </c>
      <c r="G76" s="5" t="n">
        <v>1796</v>
      </c>
      <c r="H76" s="11" t="n">
        <v>0.8046598628443111</v>
      </c>
      <c r="I76" s="11" t="n">
        <v>0.06678361353515627</v>
      </c>
      <c r="J76" s="11" t="n">
        <v>0.08431382302410592</v>
      </c>
      <c r="K76" s="12" t="n">
        <v>10.75280394149184</v>
      </c>
      <c r="L76" s="13" t="n">
        <v>0.008301294256128074</v>
      </c>
      <c r="M76" s="11" t="n">
        <v>0.6165904870028631</v>
      </c>
      <c r="N76" s="5" t="n">
        <v>66</v>
      </c>
    </row>
    <row r="77">
      <c r="A77" s="10" t="n">
        <v>46235</v>
      </c>
      <c r="B77" s="5" t="inlineStr">
        <is>
          <t>Crhistoffer Miranda</t>
        </is>
      </c>
      <c r="C77" s="5" t="inlineStr">
        <is>
          <t>Emir Anjos</t>
        </is>
      </c>
      <c r="D77" s="5" t="inlineStr">
        <is>
          <t>Chat</t>
        </is>
      </c>
      <c r="E77" s="5" t="inlineStr">
        <is>
          <t>Ouro/Diamante</t>
        </is>
      </c>
      <c r="F77" s="5" t="inlineStr">
        <is>
          <t>Manhã</t>
        </is>
      </c>
      <c r="G77" s="5" t="n">
        <v>1616</v>
      </c>
      <c r="H77" s="11" t="n">
        <v>0.8513334526411117</v>
      </c>
      <c r="I77" s="11" t="n">
        <v>0.1184279631460551</v>
      </c>
      <c r="J77" s="11" t="n">
        <v>0.1219522917604878</v>
      </c>
      <c r="K77" s="12" t="n">
        <v>9.055213647474975</v>
      </c>
      <c r="L77" s="13" t="n">
        <v>0.00275477639118247</v>
      </c>
      <c r="M77" s="11" t="n">
        <v>0.5277608098657541</v>
      </c>
      <c r="N77" s="5" t="n">
        <v>66</v>
      </c>
    </row>
    <row r="78">
      <c r="A78" s="10" t="n">
        <v>46235</v>
      </c>
      <c r="B78" s="5" t="inlineStr">
        <is>
          <t>Crhistoffer Miranda</t>
        </is>
      </c>
      <c r="C78" s="5" t="inlineStr">
        <is>
          <t>Emir Anjos</t>
        </is>
      </c>
      <c r="D78" s="5" t="inlineStr">
        <is>
          <t>Chat</t>
        </is>
      </c>
      <c r="E78" s="5" t="inlineStr">
        <is>
          <t>Ouro/Diamante</t>
        </is>
      </c>
      <c r="F78" s="5" t="inlineStr">
        <is>
          <t>Tarde</t>
        </is>
      </c>
      <c r="G78" s="5" t="n">
        <v>931</v>
      </c>
      <c r="H78" s="11" t="n">
        <v>0.931246588287973</v>
      </c>
      <c r="I78" s="11" t="n">
        <v>0.06645975462100495</v>
      </c>
      <c r="J78" s="11" t="n">
        <v>0.09923174513888702</v>
      </c>
      <c r="K78" s="12" t="n">
        <v>11.48441672775062</v>
      </c>
      <c r="L78" s="13" t="n">
        <v>0.008693500933750022</v>
      </c>
      <c r="M78" s="11" t="n">
        <v>0.4849419631578333</v>
      </c>
      <c r="N78" s="5" t="n">
        <v>44</v>
      </c>
    </row>
    <row r="79">
      <c r="A79" s="10" t="n">
        <v>46235</v>
      </c>
      <c r="B79" s="5" t="inlineStr">
        <is>
          <t>Crhistoffer Miranda</t>
        </is>
      </c>
      <c r="C79" s="5" t="inlineStr">
        <is>
          <t>Emir Anjos</t>
        </is>
      </c>
      <c r="D79" s="5" t="inlineStr">
        <is>
          <t>Voz</t>
        </is>
      </c>
      <c r="E79" s="5" t="inlineStr">
        <is>
          <t>Bronze/Prata</t>
        </is>
      </c>
      <c r="F79" s="5" t="inlineStr">
        <is>
          <t>Manhã</t>
        </is>
      </c>
      <c r="G79" s="5" t="n">
        <v>2259</v>
      </c>
      <c r="H79" s="11" t="n">
        <v>0.8371898814015898</v>
      </c>
      <c r="I79" s="11" t="n">
        <v>0.05029538279081617</v>
      </c>
      <c r="J79" s="11" t="n">
        <v>0.09952390865461816</v>
      </c>
      <c r="K79" s="12" t="n">
        <v>8.721696732781576</v>
      </c>
      <c r="L79" s="13" t="n">
        <v>0.006077326880781794</v>
      </c>
      <c r="M79" s="11" t="n">
        <v>0.4649525592694391</v>
      </c>
      <c r="N79" s="5" t="n">
        <v>88</v>
      </c>
    </row>
    <row r="80">
      <c r="A80" s="10" t="n">
        <v>46235</v>
      </c>
      <c r="B80" s="5" t="inlineStr">
        <is>
          <t>Crhistoffer Miranda</t>
        </is>
      </c>
      <c r="C80" s="5" t="inlineStr">
        <is>
          <t>Emir Anjos</t>
        </is>
      </c>
      <c r="D80" s="5" t="inlineStr">
        <is>
          <t>Voz</t>
        </is>
      </c>
      <c r="E80" s="5" t="inlineStr">
        <is>
          <t>Bronze/Prata</t>
        </is>
      </c>
      <c r="F80" s="5" t="inlineStr">
        <is>
          <t>Tarde</t>
        </is>
      </c>
      <c r="G80" s="5" t="n">
        <v>1839</v>
      </c>
      <c r="H80" s="11" t="n">
        <v>0.8453016596233588</v>
      </c>
      <c r="I80" s="11" t="n">
        <v>0.1036312748005159</v>
      </c>
      <c r="J80" s="11" t="n">
        <v>0.1096386597621666</v>
      </c>
      <c r="K80" s="12" t="n">
        <v>5.803381364786951</v>
      </c>
      <c r="L80" s="13" t="n">
        <v>0.00485844069722698</v>
      </c>
      <c r="M80" s="11" t="n">
        <v>0.5487936255689195</v>
      </c>
      <c r="N80" s="5" t="n">
        <v>66</v>
      </c>
    </row>
    <row r="81">
      <c r="A81" s="10" t="n">
        <v>46235</v>
      </c>
      <c r="B81" s="5" t="inlineStr">
        <is>
          <t>Crhistoffer Miranda</t>
        </is>
      </c>
      <c r="C81" s="5" t="inlineStr">
        <is>
          <t>Emir Anjos</t>
        </is>
      </c>
      <c r="D81" s="5" t="inlineStr">
        <is>
          <t>Voz</t>
        </is>
      </c>
      <c r="E81" s="5" t="inlineStr">
        <is>
          <t>Ouro/Diamante</t>
        </is>
      </c>
      <c r="F81" s="5" t="inlineStr">
        <is>
          <t>Manhã</t>
        </is>
      </c>
      <c r="G81" s="5" t="n">
        <v>2015</v>
      </c>
      <c r="H81" s="11" t="n">
        <v>0.7909518005680598</v>
      </c>
      <c r="I81" s="11" t="n">
        <v>0.1116860162743456</v>
      </c>
      <c r="J81" s="11" t="n">
        <v>0.07515870824367027</v>
      </c>
      <c r="K81" s="12" t="n">
        <v>8.848388739248623</v>
      </c>
      <c r="L81" s="13" t="n">
        <v>0.002439012784236858</v>
      </c>
      <c r="M81" s="11" t="n">
        <v>0.5404283100416649</v>
      </c>
      <c r="N81" s="5" t="n">
        <v>110</v>
      </c>
    </row>
    <row r="82">
      <c r="A82" s="10" t="n">
        <v>46235</v>
      </c>
      <c r="B82" s="5" t="inlineStr">
        <is>
          <t>Crhistoffer Miranda</t>
        </is>
      </c>
      <c r="C82" s="5" t="inlineStr">
        <is>
          <t>Emir Anjos</t>
        </is>
      </c>
      <c r="D82" s="5" t="inlineStr">
        <is>
          <t>Voz</t>
        </is>
      </c>
      <c r="E82" s="5" t="inlineStr">
        <is>
          <t>Ouro/Diamante</t>
        </is>
      </c>
      <c r="F82" s="5" t="inlineStr">
        <is>
          <t>Tarde</t>
        </is>
      </c>
      <c r="G82" s="5" t="n">
        <v>1692</v>
      </c>
      <c r="H82" s="11" t="n">
        <v>0.9403800968532781</v>
      </c>
      <c r="I82" s="11" t="n">
        <v>0.1190537802407363</v>
      </c>
      <c r="J82" s="11" t="n">
        <v>0.1285977447434585</v>
      </c>
      <c r="K82" s="12" t="n">
        <v>7.031881831832823</v>
      </c>
      <c r="L82" s="13" t="n">
        <v>0.002729249806943747</v>
      </c>
      <c r="M82" s="11" t="n">
        <v>0.5748443575316136</v>
      </c>
      <c r="N82" s="5" t="n">
        <v>88</v>
      </c>
    </row>
    <row r="83">
      <c r="A83" s="10" t="n">
        <v>46235</v>
      </c>
      <c r="B83" s="5" t="inlineStr">
        <is>
          <t>Crhistoffer Miranda</t>
        </is>
      </c>
      <c r="C83" s="5" t="inlineStr">
        <is>
          <t>Francisco Nascimento</t>
        </is>
      </c>
      <c r="D83" s="5" t="inlineStr">
        <is>
          <t>Chat</t>
        </is>
      </c>
      <c r="E83" s="5" t="inlineStr">
        <is>
          <t>Bronze/Prata</t>
        </is>
      </c>
      <c r="F83" s="5" t="inlineStr">
        <is>
          <t>Manhã</t>
        </is>
      </c>
      <c r="G83" s="5" t="n">
        <v>434</v>
      </c>
      <c r="H83" s="11" t="n">
        <v>0.7845695283239942</v>
      </c>
      <c r="I83" s="11" t="n">
        <v>0.09649729113366046</v>
      </c>
      <c r="J83" s="11" t="n">
        <v>0.06189770073942509</v>
      </c>
      <c r="K83" s="12" t="n">
        <v>7.754989518012256</v>
      </c>
      <c r="L83" s="13" t="n">
        <v>0.00558096393393775</v>
      </c>
      <c r="M83" s="11" t="n">
        <v>0.7299526498366327</v>
      </c>
      <c r="N83" s="5" t="n">
        <v>22</v>
      </c>
    </row>
    <row r="84">
      <c r="A84" s="10" t="n">
        <v>46235</v>
      </c>
      <c r="B84" s="5" t="inlineStr">
        <is>
          <t>Crhistoffer Miranda</t>
        </is>
      </c>
      <c r="C84" s="5" t="inlineStr">
        <is>
          <t>Francisco Nascimento</t>
        </is>
      </c>
      <c r="D84" s="5" t="inlineStr">
        <is>
          <t>Chat</t>
        </is>
      </c>
      <c r="E84" s="5" t="inlineStr">
        <is>
          <t>Bronze/Prata</t>
        </is>
      </c>
      <c r="F84" s="5" t="inlineStr">
        <is>
          <t>Tarde</t>
        </is>
      </c>
      <c r="G84" s="5" t="n">
        <v>1214</v>
      </c>
      <c r="H84" s="11" t="n">
        <v>0.8592407369214812</v>
      </c>
      <c r="I84" s="11" t="n">
        <v>0.05027512414020784</v>
      </c>
      <c r="J84" s="11" t="n">
        <v>0.114557882451001</v>
      </c>
      <c r="K84" s="12" t="n">
        <v>7.803624796162066</v>
      </c>
      <c r="L84" s="13" t="n">
        <v>0.005761805949102817</v>
      </c>
      <c r="M84" s="11" t="n">
        <v>0.4751111998886545</v>
      </c>
      <c r="N84" s="5" t="n">
        <v>44</v>
      </c>
    </row>
    <row r="85">
      <c r="A85" s="10" t="n">
        <v>46235</v>
      </c>
      <c r="B85" s="5" t="inlineStr">
        <is>
          <t>Crhistoffer Miranda</t>
        </is>
      </c>
      <c r="C85" s="5" t="inlineStr">
        <is>
          <t>Francisco Nascimento</t>
        </is>
      </c>
      <c r="D85" s="5" t="inlineStr">
        <is>
          <t>Chat</t>
        </is>
      </c>
      <c r="E85" s="5" t="inlineStr">
        <is>
          <t>Ouro/Diamante</t>
        </is>
      </c>
      <c r="F85" s="5" t="inlineStr">
        <is>
          <t>Tarde</t>
        </is>
      </c>
      <c r="G85" s="5" t="n">
        <v>1233</v>
      </c>
      <c r="H85" s="11" t="n">
        <v>0.8722632638715085</v>
      </c>
      <c r="I85" s="11" t="n">
        <v>0.08374763601636506</v>
      </c>
      <c r="J85" s="11" t="n">
        <v>0.05993988531611851</v>
      </c>
      <c r="K85" s="12" t="n">
        <v>10.85653881860742</v>
      </c>
      <c r="L85" s="13" t="n">
        <v>0.008810601932897764</v>
      </c>
      <c r="M85" s="11" t="n">
        <v>0.5783620365839175</v>
      </c>
      <c r="N85" s="5" t="n">
        <v>44</v>
      </c>
    </row>
    <row r="86">
      <c r="A86" s="10" t="n">
        <v>46235</v>
      </c>
      <c r="B86" s="5" t="inlineStr">
        <is>
          <t>Crhistoffer Miranda</t>
        </is>
      </c>
      <c r="C86" s="5" t="inlineStr">
        <is>
          <t>Francisco Nascimento</t>
        </is>
      </c>
      <c r="D86" s="5" t="inlineStr">
        <is>
          <t>Voz</t>
        </is>
      </c>
      <c r="E86" s="5" t="inlineStr">
        <is>
          <t>Bronze/Prata</t>
        </is>
      </c>
      <c r="F86" s="5" t="inlineStr">
        <is>
          <t>Manhã</t>
        </is>
      </c>
      <c r="G86" s="5" t="n">
        <v>1290</v>
      </c>
      <c r="H86" s="11" t="n">
        <v>0.8674920063230043</v>
      </c>
      <c r="I86" s="11" t="n">
        <v>0.1318236368400408</v>
      </c>
      <c r="J86" s="11" t="n">
        <v>0.07199440875790424</v>
      </c>
      <c r="K86" s="12" t="n">
        <v>7.669272772254609</v>
      </c>
      <c r="L86" s="13" t="n">
        <v>0.008431116307850879</v>
      </c>
      <c r="M86" s="11" t="n">
        <v>0.5477056165370791</v>
      </c>
      <c r="N86" s="5" t="n">
        <v>66</v>
      </c>
    </row>
    <row r="87">
      <c r="A87" s="10" t="n">
        <v>46235</v>
      </c>
      <c r="B87" s="5" t="inlineStr">
        <is>
          <t>Crhistoffer Miranda</t>
        </is>
      </c>
      <c r="C87" s="5" t="inlineStr">
        <is>
          <t>Francisco Nascimento</t>
        </is>
      </c>
      <c r="D87" s="5" t="inlineStr">
        <is>
          <t>Voz</t>
        </is>
      </c>
      <c r="E87" s="5" t="inlineStr">
        <is>
          <t>Bronze/Prata</t>
        </is>
      </c>
      <c r="F87" s="5" t="inlineStr">
        <is>
          <t>Tarde</t>
        </is>
      </c>
      <c r="G87" s="5" t="n">
        <v>2873</v>
      </c>
      <c r="H87" s="11" t="n">
        <v>0.8699320075072376</v>
      </c>
      <c r="I87" s="11" t="n">
        <v>0.053947783638646</v>
      </c>
      <c r="J87" s="11" t="n">
        <v>0.03589377376556128</v>
      </c>
      <c r="K87" s="12" t="n">
        <v>9.194976197229023</v>
      </c>
      <c r="L87" s="13" t="n">
        <v>0.00526195984441691</v>
      </c>
      <c r="M87" s="11" t="n">
        <v>0.5829536845227427</v>
      </c>
      <c r="N87" s="5" t="n">
        <v>110</v>
      </c>
    </row>
    <row r="88">
      <c r="A88" s="10" t="n">
        <v>46235</v>
      </c>
      <c r="B88" s="5" t="inlineStr">
        <is>
          <t>Crhistoffer Miranda</t>
        </is>
      </c>
      <c r="C88" s="5" t="inlineStr">
        <is>
          <t>Francisco Nascimento</t>
        </is>
      </c>
      <c r="D88" s="5" t="inlineStr">
        <is>
          <t>Voz</t>
        </is>
      </c>
      <c r="E88" s="5" t="inlineStr">
        <is>
          <t>Ouro/Diamante</t>
        </is>
      </c>
      <c r="F88" s="5" t="inlineStr">
        <is>
          <t>Manhã</t>
        </is>
      </c>
      <c r="G88" s="5" t="n">
        <v>600</v>
      </c>
      <c r="H88" s="11" t="n">
        <v>0.8775759250524744</v>
      </c>
      <c r="I88" s="11" t="n">
        <v>0.09001709405764863</v>
      </c>
      <c r="J88" s="11" t="n">
        <v>0.06125517948167072</v>
      </c>
      <c r="K88" s="12" t="n">
        <v>8.220804923347028</v>
      </c>
      <c r="L88" s="13" t="n">
        <v>0.003793644370114824</v>
      </c>
      <c r="M88" s="11" t="n">
        <v>0.5911562794535283</v>
      </c>
      <c r="N88" s="5" t="n">
        <v>22</v>
      </c>
    </row>
    <row r="89">
      <c r="A89" s="10" t="n">
        <v>46235</v>
      </c>
      <c r="B89" s="5" t="inlineStr">
        <is>
          <t>Crhistoffer Miranda</t>
        </is>
      </c>
      <c r="C89" s="5" t="inlineStr">
        <is>
          <t>Francisco Nascimento</t>
        </is>
      </c>
      <c r="D89" s="5" t="inlineStr">
        <is>
          <t>Voz</t>
        </is>
      </c>
      <c r="E89" s="5" t="inlineStr">
        <is>
          <t>Ouro/Diamante</t>
        </is>
      </c>
      <c r="F89" s="5" t="inlineStr">
        <is>
          <t>Tarde</t>
        </is>
      </c>
      <c r="G89" s="5" t="n">
        <v>562</v>
      </c>
      <c r="H89" s="11" t="n">
        <v>0.882826814478026</v>
      </c>
      <c r="I89" s="11" t="n">
        <v>0.05341962709721629</v>
      </c>
      <c r="J89" s="11" t="n">
        <v>0.05229937099133551</v>
      </c>
      <c r="K89" s="12" t="n">
        <v>7.974951645365099</v>
      </c>
      <c r="L89" s="13" t="n">
        <v>0.007103158864254214</v>
      </c>
      <c r="M89" s="11" t="n">
        <v>0.4807861636099496</v>
      </c>
      <c r="N89" s="5" t="n">
        <v>22</v>
      </c>
    </row>
    <row r="90">
      <c r="A90" s="10" t="n">
        <v>46235</v>
      </c>
      <c r="B90" s="5" t="inlineStr">
        <is>
          <t>Crhistoffer Miranda</t>
        </is>
      </c>
      <c r="C90" s="5" t="inlineStr">
        <is>
          <t>Marcia Assunção</t>
        </is>
      </c>
      <c r="D90" s="5" t="inlineStr">
        <is>
          <t>Chat</t>
        </is>
      </c>
      <c r="E90" s="5" t="inlineStr">
        <is>
          <t>Bronze/Prata</t>
        </is>
      </c>
      <c r="F90" s="5" t="inlineStr">
        <is>
          <t>Manhã</t>
        </is>
      </c>
      <c r="G90" s="5" t="n">
        <v>2477</v>
      </c>
      <c r="H90" s="11" t="n">
        <v>0.8026752759699126</v>
      </c>
      <c r="I90" s="11" t="n">
        <v>0.05677025827957737</v>
      </c>
      <c r="J90" s="11" t="n">
        <v>0.03987082778757953</v>
      </c>
      <c r="K90" s="12" t="n">
        <v>10.12474093436562</v>
      </c>
      <c r="L90" s="13" t="n">
        <v>0.006337392093597032</v>
      </c>
      <c r="M90" s="11" t="n">
        <v>0.7071904033649198</v>
      </c>
      <c r="N90" s="5" t="n">
        <v>88</v>
      </c>
    </row>
    <row r="91">
      <c r="A91" s="10" t="n">
        <v>46235</v>
      </c>
      <c r="B91" s="5" t="inlineStr">
        <is>
          <t>Crhistoffer Miranda</t>
        </is>
      </c>
      <c r="C91" s="5" t="inlineStr">
        <is>
          <t>Marcia Assunção</t>
        </is>
      </c>
      <c r="D91" s="5" t="inlineStr">
        <is>
          <t>Chat</t>
        </is>
      </c>
      <c r="E91" s="5" t="inlineStr">
        <is>
          <t>Bronze/Prata</t>
        </is>
      </c>
      <c r="F91" s="5" t="inlineStr">
        <is>
          <t>Tarde</t>
        </is>
      </c>
      <c r="G91" s="5" t="n">
        <v>419</v>
      </c>
      <c r="H91" s="11" t="n">
        <v>0.8987840156399365</v>
      </c>
      <c r="I91" s="11" t="n">
        <v>0.05052240528013272</v>
      </c>
      <c r="J91" s="11" t="n">
        <v>0.09384191876167584</v>
      </c>
      <c r="K91" s="12" t="n">
        <v>8.763146142617401</v>
      </c>
      <c r="L91" s="13" t="n">
        <v>0.004493884562582398</v>
      </c>
      <c r="M91" s="11" t="n">
        <v>0.4657474157419386</v>
      </c>
      <c r="N91" s="5" t="n">
        <v>22</v>
      </c>
    </row>
    <row r="92">
      <c r="A92" s="10" t="n">
        <v>46235</v>
      </c>
      <c r="B92" s="5" t="inlineStr">
        <is>
          <t>Crhistoffer Miranda</t>
        </is>
      </c>
      <c r="C92" s="5" t="inlineStr">
        <is>
          <t>Marcia Assunção</t>
        </is>
      </c>
      <c r="D92" s="5" t="inlineStr">
        <is>
          <t>Chat</t>
        </is>
      </c>
      <c r="E92" s="5" t="inlineStr">
        <is>
          <t>Ouro/Diamante</t>
        </is>
      </c>
      <c r="F92" s="5" t="inlineStr">
        <is>
          <t>Manhã</t>
        </is>
      </c>
      <c r="G92" s="5" t="n">
        <v>1105</v>
      </c>
      <c r="H92" s="11" t="n">
        <v>0.8007891077930608</v>
      </c>
      <c r="I92" s="11" t="n">
        <v>0.1164156669555063</v>
      </c>
      <c r="J92" s="11" t="n">
        <v>0.06701173576367929</v>
      </c>
      <c r="K92" s="12" t="n">
        <v>11.14200695878921</v>
      </c>
      <c r="L92" s="13" t="n">
        <v>0.006473633653646918</v>
      </c>
      <c r="M92" s="11" t="n">
        <v>0.596612763125288</v>
      </c>
      <c r="N92" s="5" t="n">
        <v>44</v>
      </c>
    </row>
    <row r="93">
      <c r="A93" s="10" t="n">
        <v>46235</v>
      </c>
      <c r="B93" s="5" t="inlineStr">
        <is>
          <t>Crhistoffer Miranda</t>
        </is>
      </c>
      <c r="C93" s="5" t="inlineStr">
        <is>
          <t>Marcia Assunção</t>
        </is>
      </c>
      <c r="D93" s="5" t="inlineStr">
        <is>
          <t>Chat</t>
        </is>
      </c>
      <c r="E93" s="5" t="inlineStr">
        <is>
          <t>Ouro/Diamante</t>
        </is>
      </c>
      <c r="F93" s="5" t="inlineStr">
        <is>
          <t>Tarde</t>
        </is>
      </c>
      <c r="G93" s="5" t="n">
        <v>1179</v>
      </c>
      <c r="H93" s="11" t="n">
        <v>0.9363066299457659</v>
      </c>
      <c r="I93" s="11" t="n">
        <v>0.06820703357859195</v>
      </c>
      <c r="J93" s="11" t="n">
        <v>0.06671730619941479</v>
      </c>
      <c r="K93" s="12" t="n">
        <v>13.13860628024053</v>
      </c>
      <c r="L93" s="13" t="n">
        <v>0.002929775041844337</v>
      </c>
      <c r="M93" s="11" t="n">
        <v>0.5760182133932965</v>
      </c>
      <c r="N93" s="5" t="n">
        <v>44</v>
      </c>
    </row>
    <row r="94">
      <c r="A94" s="10" t="n">
        <v>46235</v>
      </c>
      <c r="B94" s="5" t="inlineStr">
        <is>
          <t>Crhistoffer Miranda</t>
        </is>
      </c>
      <c r="C94" s="5" t="inlineStr">
        <is>
          <t>Marcia Assunção</t>
        </is>
      </c>
      <c r="D94" s="5" t="inlineStr">
        <is>
          <t>Voz</t>
        </is>
      </c>
      <c r="E94" s="5" t="inlineStr">
        <is>
          <t>Bronze/Prata</t>
        </is>
      </c>
      <c r="F94" s="5" t="inlineStr">
        <is>
          <t>Manhã</t>
        </is>
      </c>
      <c r="G94" s="5" t="n">
        <v>959</v>
      </c>
      <c r="H94" s="11" t="n">
        <v>0.9459845512466627</v>
      </c>
      <c r="I94" s="11" t="n">
        <v>0.05282445139426204</v>
      </c>
      <c r="J94" s="11" t="n">
        <v>0.102057365711141</v>
      </c>
      <c r="K94" s="12" t="n">
        <v>8.285130975825039</v>
      </c>
      <c r="L94" s="13" t="n">
        <v>0.007098064990563688</v>
      </c>
      <c r="M94" s="11" t="n">
        <v>0.4503137703705236</v>
      </c>
      <c r="N94" s="5" t="n">
        <v>44</v>
      </c>
    </row>
    <row r="95">
      <c r="A95" s="10" t="n">
        <v>46235</v>
      </c>
      <c r="B95" s="5" t="inlineStr">
        <is>
          <t>Crhistoffer Miranda</t>
        </is>
      </c>
      <c r="C95" s="5" t="inlineStr">
        <is>
          <t>Marcia Assunção</t>
        </is>
      </c>
      <c r="D95" s="5" t="inlineStr">
        <is>
          <t>Voz</t>
        </is>
      </c>
      <c r="E95" s="5" t="inlineStr">
        <is>
          <t>Bronze/Prata</t>
        </is>
      </c>
      <c r="F95" s="5" t="inlineStr">
        <is>
          <t>Tarde</t>
        </is>
      </c>
      <c r="G95" s="5" t="n">
        <v>1212</v>
      </c>
      <c r="H95" s="11" t="n">
        <v>0.8331155017302041</v>
      </c>
      <c r="I95" s="11" t="n">
        <v>0.1253064361344894</v>
      </c>
      <c r="J95" s="11" t="n">
        <v>0.1027473738121434</v>
      </c>
      <c r="K95" s="12" t="n">
        <v>6.604039222812028</v>
      </c>
      <c r="L95" s="13" t="n">
        <v>0.007863693983407225</v>
      </c>
      <c r="M95" s="11" t="n">
        <v>0.6527329365781206</v>
      </c>
      <c r="N95" s="5" t="n">
        <v>44</v>
      </c>
    </row>
    <row r="96">
      <c r="A96" s="10" t="n">
        <v>46235</v>
      </c>
      <c r="B96" s="5" t="inlineStr">
        <is>
          <t>Crhistoffer Miranda</t>
        </is>
      </c>
      <c r="C96" s="5" t="inlineStr">
        <is>
          <t>Marcia Assunção</t>
        </is>
      </c>
      <c r="D96" s="5" t="inlineStr">
        <is>
          <t>Voz</t>
        </is>
      </c>
      <c r="E96" s="5" t="inlineStr">
        <is>
          <t>Ouro/Diamante</t>
        </is>
      </c>
      <c r="F96" s="5" t="inlineStr">
        <is>
          <t>Manhã</t>
        </is>
      </c>
      <c r="G96" s="5" t="n">
        <v>1384</v>
      </c>
      <c r="H96" s="11" t="n">
        <v>0.9044120710277357</v>
      </c>
      <c r="I96" s="11" t="n">
        <v>0.09051529506433426</v>
      </c>
      <c r="J96" s="11" t="n">
        <v>0.1082716640517913</v>
      </c>
      <c r="K96" s="12" t="n">
        <v>7.571880258212877</v>
      </c>
      <c r="L96" s="13" t="n">
        <v>0.00757212368473009</v>
      </c>
      <c r="M96" s="11" t="n">
        <v>0.4977927436908839</v>
      </c>
      <c r="N96" s="5" t="n">
        <v>66</v>
      </c>
    </row>
    <row r="97">
      <c r="A97" s="10" t="n">
        <v>46235</v>
      </c>
      <c r="B97" s="5" t="inlineStr">
        <is>
          <t>Crhistoffer Miranda</t>
        </is>
      </c>
      <c r="C97" s="5" t="inlineStr">
        <is>
          <t>Marcia Assunção</t>
        </is>
      </c>
      <c r="D97" s="5" t="inlineStr">
        <is>
          <t>Voz</t>
        </is>
      </c>
      <c r="E97" s="5" t="inlineStr">
        <is>
          <t>Ouro/Diamante</t>
        </is>
      </c>
      <c r="F97" s="5" t="inlineStr">
        <is>
          <t>Tarde</t>
        </is>
      </c>
      <c r="G97" s="5" t="n">
        <v>498</v>
      </c>
      <c r="H97" s="11" t="n">
        <v>0.7802058457704965</v>
      </c>
      <c r="I97" s="11" t="n">
        <v>0.1190812466165029</v>
      </c>
      <c r="J97" s="11" t="n">
        <v>0.1148656821342306</v>
      </c>
      <c r="K97" s="12" t="n">
        <v>8.68548726935618</v>
      </c>
      <c r="L97" s="13" t="n">
        <v>0.002302207362589144</v>
      </c>
      <c r="M97" s="11" t="n">
        <v>0.6105701744602748</v>
      </c>
      <c r="N97" s="5" t="n">
        <v>22</v>
      </c>
    </row>
    <row r="98">
      <c r="A98" s="10" t="n">
        <v>46235</v>
      </c>
      <c r="B98" s="5" t="inlineStr">
        <is>
          <t>Livia Cardoso</t>
        </is>
      </c>
      <c r="C98" s="5" t="inlineStr">
        <is>
          <t>Jaqueline Azevedo</t>
        </is>
      </c>
      <c r="D98" s="5" t="inlineStr">
        <is>
          <t>Chat</t>
        </is>
      </c>
      <c r="E98" s="5" t="inlineStr">
        <is>
          <t>Bronze/Prata</t>
        </is>
      </c>
      <c r="F98" s="5" t="inlineStr">
        <is>
          <t>Manhã</t>
        </is>
      </c>
      <c r="G98" s="5" t="n">
        <v>989</v>
      </c>
      <c r="H98" s="11" t="n">
        <v>0.8003142973428226</v>
      </c>
      <c r="I98" s="11" t="n">
        <v>0.06025740382744773</v>
      </c>
      <c r="J98" s="11" t="n">
        <v>0.1371790990143676</v>
      </c>
      <c r="K98" s="12" t="n">
        <v>12.96847477965888</v>
      </c>
      <c r="L98" s="13" t="n">
        <v>0.00366723852352409</v>
      </c>
      <c r="M98" s="11" t="n">
        <v>0.6987362766252687</v>
      </c>
      <c r="N98" s="5" t="n">
        <v>44</v>
      </c>
    </row>
    <row r="99">
      <c r="A99" s="10" t="n">
        <v>46235</v>
      </c>
      <c r="B99" s="5" t="inlineStr">
        <is>
          <t>Livia Cardoso</t>
        </is>
      </c>
      <c r="C99" s="5" t="inlineStr">
        <is>
          <t>Jaqueline Azevedo</t>
        </is>
      </c>
      <c r="D99" s="5" t="inlineStr">
        <is>
          <t>Chat</t>
        </is>
      </c>
      <c r="E99" s="5" t="inlineStr">
        <is>
          <t>Bronze/Prata</t>
        </is>
      </c>
      <c r="F99" s="5" t="inlineStr">
        <is>
          <t>Tarde</t>
        </is>
      </c>
      <c r="G99" s="5" t="n">
        <v>2681</v>
      </c>
      <c r="H99" s="11" t="n">
        <v>0.8454335850551643</v>
      </c>
      <c r="I99" s="11" t="n">
        <v>0.1044732109184732</v>
      </c>
      <c r="J99" s="11" t="n">
        <v>0.05519072935741941</v>
      </c>
      <c r="K99" s="12" t="n">
        <v>8.916307780449472</v>
      </c>
      <c r="L99" s="13" t="n">
        <v>0.002070637423062043</v>
      </c>
      <c r="M99" s="11" t="n">
        <v>0.6469937486258354</v>
      </c>
      <c r="N99" s="5" t="n">
        <v>110</v>
      </c>
    </row>
    <row r="100">
      <c r="A100" s="10" t="n">
        <v>46235</v>
      </c>
      <c r="B100" s="5" t="inlineStr">
        <is>
          <t>Livia Cardoso</t>
        </is>
      </c>
      <c r="C100" s="5" t="inlineStr">
        <is>
          <t>Jaqueline Azevedo</t>
        </is>
      </c>
      <c r="D100" s="5" t="inlineStr">
        <is>
          <t>Chat</t>
        </is>
      </c>
      <c r="E100" s="5" t="inlineStr">
        <is>
          <t>Ouro/Diamante</t>
        </is>
      </c>
      <c r="F100" s="5" t="inlineStr">
        <is>
          <t>Manhã</t>
        </is>
      </c>
      <c r="G100" s="5" t="n">
        <v>1039</v>
      </c>
      <c r="H100" s="11" t="n">
        <v>0.9063799631466843</v>
      </c>
      <c r="I100" s="11" t="n">
        <v>0.09037832138923037</v>
      </c>
      <c r="J100" s="11" t="n">
        <v>0.07783515843779312</v>
      </c>
      <c r="K100" s="12" t="n">
        <v>9.144902084477629</v>
      </c>
      <c r="L100" s="13" t="n">
        <v>0.007147190002028447</v>
      </c>
      <c r="M100" s="11" t="n">
        <v>0.5618383271043941</v>
      </c>
      <c r="N100" s="5" t="n">
        <v>44</v>
      </c>
    </row>
    <row r="101">
      <c r="A101" s="10" t="n">
        <v>46235</v>
      </c>
      <c r="B101" s="5" t="inlineStr">
        <is>
          <t>Livia Cardoso</t>
        </is>
      </c>
      <c r="C101" s="5" t="inlineStr">
        <is>
          <t>Jaqueline Azevedo</t>
        </is>
      </c>
      <c r="D101" s="5" t="inlineStr">
        <is>
          <t>Chat</t>
        </is>
      </c>
      <c r="E101" s="5" t="inlineStr">
        <is>
          <t>Ouro/Diamante</t>
        </is>
      </c>
      <c r="F101" s="5" t="inlineStr">
        <is>
          <t>Tarde</t>
        </is>
      </c>
      <c r="G101" s="5" t="n">
        <v>1569</v>
      </c>
      <c r="H101" s="11" t="n">
        <v>0.9087953629108011</v>
      </c>
      <c r="I101" s="11" t="n">
        <v>0.08445325343652316</v>
      </c>
      <c r="J101" s="11" t="n">
        <v>0.1054755777115063</v>
      </c>
      <c r="K101" s="12" t="n">
        <v>7.430847169777144</v>
      </c>
      <c r="L101" s="13" t="n">
        <v>0.003823352789241302</v>
      </c>
      <c r="M101" s="11" t="n">
        <v>0.7021904178022932</v>
      </c>
      <c r="N101" s="5" t="n">
        <v>66</v>
      </c>
    </row>
    <row r="102">
      <c r="A102" s="10" t="n">
        <v>46235</v>
      </c>
      <c r="B102" s="5" t="inlineStr">
        <is>
          <t>Livia Cardoso</t>
        </is>
      </c>
      <c r="C102" s="5" t="inlineStr">
        <is>
          <t>Jaqueline Azevedo</t>
        </is>
      </c>
      <c r="D102" s="5" t="inlineStr">
        <is>
          <t>Voz</t>
        </is>
      </c>
      <c r="E102" s="5" t="inlineStr">
        <is>
          <t>Bronze/Prata</t>
        </is>
      </c>
      <c r="F102" s="5" t="inlineStr">
        <is>
          <t>Manhã</t>
        </is>
      </c>
      <c r="G102" s="5" t="n">
        <v>830</v>
      </c>
      <c r="H102" s="11" t="n">
        <v>0.7896617560744402</v>
      </c>
      <c r="I102" s="11" t="n">
        <v>0.04144765912706753</v>
      </c>
      <c r="J102" s="11" t="n">
        <v>0.1142705941266183</v>
      </c>
      <c r="K102" s="12" t="n">
        <v>5.031506097770889</v>
      </c>
      <c r="L102" s="13" t="n">
        <v>0.005206679539561786</v>
      </c>
      <c r="M102" s="11" t="n">
        <v>0.5815284980062831</v>
      </c>
      <c r="N102" s="5" t="n">
        <v>44</v>
      </c>
    </row>
    <row r="103">
      <c r="A103" s="10" t="n">
        <v>46235</v>
      </c>
      <c r="B103" s="5" t="inlineStr">
        <is>
          <t>Livia Cardoso</t>
        </is>
      </c>
      <c r="C103" s="5" t="inlineStr">
        <is>
          <t>Jaqueline Azevedo</t>
        </is>
      </c>
      <c r="D103" s="5" t="inlineStr">
        <is>
          <t>Voz</t>
        </is>
      </c>
      <c r="E103" s="5" t="inlineStr">
        <is>
          <t>Bronze/Prata</t>
        </is>
      </c>
      <c r="F103" s="5" t="inlineStr">
        <is>
          <t>Tarde</t>
        </is>
      </c>
      <c r="G103" s="5" t="n">
        <v>1718</v>
      </c>
      <c r="H103" s="11" t="n">
        <v>0.861025398441749</v>
      </c>
      <c r="I103" s="11" t="n">
        <v>0.09217770045589919</v>
      </c>
      <c r="J103" s="11" t="n">
        <v>0.03272775750323046</v>
      </c>
      <c r="K103" s="12" t="n">
        <v>8.47632426392609</v>
      </c>
      <c r="L103" s="13" t="n">
        <v>0.007371771948694521</v>
      </c>
      <c r="M103" s="11" t="n">
        <v>0.6370517279176581</v>
      </c>
      <c r="N103" s="5" t="n">
        <v>66</v>
      </c>
    </row>
    <row r="104">
      <c r="A104" s="10" t="n">
        <v>46235</v>
      </c>
      <c r="B104" s="5" t="inlineStr">
        <is>
          <t>Livia Cardoso</t>
        </is>
      </c>
      <c r="C104" s="5" t="inlineStr">
        <is>
          <t>Jaqueline Azevedo</t>
        </is>
      </c>
      <c r="D104" s="5" t="inlineStr">
        <is>
          <t>Voz</t>
        </is>
      </c>
      <c r="E104" s="5" t="inlineStr">
        <is>
          <t>Ouro/Diamante</t>
        </is>
      </c>
      <c r="F104" s="5" t="inlineStr">
        <is>
          <t>Manhã</t>
        </is>
      </c>
      <c r="G104" s="5" t="n">
        <v>2321</v>
      </c>
      <c r="H104" s="11" t="n">
        <v>0.8843917307460392</v>
      </c>
      <c r="I104" s="11" t="n">
        <v>0.1116011352154106</v>
      </c>
      <c r="J104" s="11" t="n">
        <v>0.1236071465437793</v>
      </c>
      <c r="K104" s="12" t="n">
        <v>7.586793281301033</v>
      </c>
      <c r="L104" s="13" t="n">
        <v>0.002141937006711161</v>
      </c>
      <c r="M104" s="11" t="n">
        <v>0.7153542625396498</v>
      </c>
      <c r="N104" s="5" t="n">
        <v>88</v>
      </c>
    </row>
    <row r="105">
      <c r="A105" s="10" t="n">
        <v>46235</v>
      </c>
      <c r="B105" s="5" t="inlineStr">
        <is>
          <t>Livia Cardoso</t>
        </is>
      </c>
      <c r="C105" s="5" t="inlineStr">
        <is>
          <t>Jaqueline Azevedo</t>
        </is>
      </c>
      <c r="D105" s="5" t="inlineStr">
        <is>
          <t>Voz</t>
        </is>
      </c>
      <c r="E105" s="5" t="inlineStr">
        <is>
          <t>Ouro/Diamante</t>
        </is>
      </c>
      <c r="F105" s="5" t="inlineStr">
        <is>
          <t>Tarde</t>
        </is>
      </c>
      <c r="G105" s="5" t="n">
        <v>617</v>
      </c>
      <c r="H105" s="11" t="n">
        <v>0.8142252270476237</v>
      </c>
      <c r="I105" s="11" t="n">
        <v>0.04660713739427822</v>
      </c>
      <c r="J105" s="11" t="n">
        <v>0.06739535117228979</v>
      </c>
      <c r="K105" s="12" t="n">
        <v>5.000678439963157</v>
      </c>
      <c r="L105" s="13" t="n">
        <v>0.004585470394888988</v>
      </c>
      <c r="M105" s="11" t="n">
        <v>0.4767594654235959</v>
      </c>
      <c r="N105" s="5" t="n">
        <v>22</v>
      </c>
    </row>
    <row r="106">
      <c r="A106" s="10" t="n">
        <v>46235</v>
      </c>
      <c r="B106" s="5" t="inlineStr">
        <is>
          <t>Livia Cardoso</t>
        </is>
      </c>
      <c r="C106" s="5" t="inlineStr">
        <is>
          <t>Karina Nunes</t>
        </is>
      </c>
      <c r="D106" s="5" t="inlineStr">
        <is>
          <t>Chat</t>
        </is>
      </c>
      <c r="E106" s="5" t="inlineStr">
        <is>
          <t>Bronze/Prata</t>
        </is>
      </c>
      <c r="F106" s="5" t="inlineStr">
        <is>
          <t>Tarde</t>
        </is>
      </c>
      <c r="G106" s="5" t="n">
        <v>1731</v>
      </c>
      <c r="H106" s="11" t="n">
        <v>0.7805599658615728</v>
      </c>
      <c r="I106" s="11" t="n">
        <v>0.08286717404273999</v>
      </c>
      <c r="J106" s="11" t="n">
        <v>0.06300077185501768</v>
      </c>
      <c r="K106" s="12" t="n">
        <v>12.10151763335323</v>
      </c>
      <c r="L106" s="13" t="n">
        <v>0.004721219157726411</v>
      </c>
      <c r="M106" s="11" t="n">
        <v>0.4998073244955563</v>
      </c>
      <c r="N106" s="5" t="n">
        <v>88</v>
      </c>
    </row>
    <row r="107">
      <c r="A107" s="10" t="n">
        <v>46235</v>
      </c>
      <c r="B107" s="5" t="inlineStr">
        <is>
          <t>Livia Cardoso</t>
        </is>
      </c>
      <c r="C107" s="5" t="inlineStr">
        <is>
          <t>Karina Nunes</t>
        </is>
      </c>
      <c r="D107" s="5" t="inlineStr">
        <is>
          <t>Chat</t>
        </is>
      </c>
      <c r="E107" s="5" t="inlineStr">
        <is>
          <t>Ouro/Diamante</t>
        </is>
      </c>
      <c r="F107" s="5" t="inlineStr">
        <is>
          <t>Manhã</t>
        </is>
      </c>
      <c r="G107" s="5" t="n">
        <v>1217</v>
      </c>
      <c r="H107" s="11" t="n">
        <v>0.9320621282253861</v>
      </c>
      <c r="I107" s="11" t="n">
        <v>0.1089225965648209</v>
      </c>
      <c r="J107" s="11" t="n">
        <v>0.05387301038587031</v>
      </c>
      <c r="K107" s="12" t="n">
        <v>9.818345228587532</v>
      </c>
      <c r="L107" s="13" t="n">
        <v>0.005156987317139267</v>
      </c>
      <c r="M107" s="11" t="n">
        <v>0.5726137495657762</v>
      </c>
      <c r="N107" s="5" t="n">
        <v>44</v>
      </c>
    </row>
    <row r="108">
      <c r="A108" s="10" t="n">
        <v>46235</v>
      </c>
      <c r="B108" s="5" t="inlineStr">
        <is>
          <t>Livia Cardoso</t>
        </is>
      </c>
      <c r="C108" s="5" t="inlineStr">
        <is>
          <t>Karina Nunes</t>
        </is>
      </c>
      <c r="D108" s="5" t="inlineStr">
        <is>
          <t>Chat</t>
        </is>
      </c>
      <c r="E108" s="5" t="inlineStr">
        <is>
          <t>Ouro/Diamante</t>
        </is>
      </c>
      <c r="F108" s="5" t="inlineStr">
        <is>
          <t>Tarde</t>
        </is>
      </c>
      <c r="G108" s="5" t="n">
        <v>1158</v>
      </c>
      <c r="H108" s="11" t="n">
        <v>0.857470309505009</v>
      </c>
      <c r="I108" s="11" t="n">
        <v>0.1167667123685275</v>
      </c>
      <c r="J108" s="11" t="n">
        <v>0.1062783380272222</v>
      </c>
      <c r="K108" s="12" t="n">
        <v>13.02200776241364</v>
      </c>
      <c r="L108" s="13" t="n">
        <v>0.006780554502210631</v>
      </c>
      <c r="M108" s="11" t="n">
        <v>0.678821607139888</v>
      </c>
      <c r="N108" s="5" t="n">
        <v>66</v>
      </c>
    </row>
    <row r="109">
      <c r="A109" s="10" t="n">
        <v>46235</v>
      </c>
      <c r="B109" s="5" t="inlineStr">
        <is>
          <t>Livia Cardoso</t>
        </is>
      </c>
      <c r="C109" s="5" t="inlineStr">
        <is>
          <t>Karina Nunes</t>
        </is>
      </c>
      <c r="D109" s="5" t="inlineStr">
        <is>
          <t>Voz</t>
        </is>
      </c>
      <c r="E109" s="5" t="inlineStr">
        <is>
          <t>Bronze/Prata</t>
        </is>
      </c>
      <c r="F109" s="5" t="inlineStr">
        <is>
          <t>Manhã</t>
        </is>
      </c>
      <c r="G109" s="5" t="n">
        <v>588</v>
      </c>
      <c r="H109" s="11" t="n">
        <v>0.9359152038531959</v>
      </c>
      <c r="I109" s="11" t="n">
        <v>0.1193042047414959</v>
      </c>
      <c r="J109" s="11" t="n">
        <v>0.07577016257223174</v>
      </c>
      <c r="K109" s="12" t="n">
        <v>7.798787992437764</v>
      </c>
      <c r="L109" s="13" t="n">
        <v>0.006607795118726232</v>
      </c>
      <c r="M109" s="11" t="n">
        <v>0.7148166168309189</v>
      </c>
      <c r="N109" s="5" t="n">
        <v>22</v>
      </c>
    </row>
    <row r="110">
      <c r="A110" s="10" t="n">
        <v>46235</v>
      </c>
      <c r="B110" s="5" t="inlineStr">
        <is>
          <t>Livia Cardoso</t>
        </is>
      </c>
      <c r="C110" s="5" t="inlineStr">
        <is>
          <t>Karina Nunes</t>
        </is>
      </c>
      <c r="D110" s="5" t="inlineStr">
        <is>
          <t>Voz</t>
        </is>
      </c>
      <c r="E110" s="5" t="inlineStr">
        <is>
          <t>Bronze/Prata</t>
        </is>
      </c>
      <c r="F110" s="5" t="inlineStr">
        <is>
          <t>Tarde</t>
        </is>
      </c>
      <c r="G110" s="5" t="n">
        <v>1102</v>
      </c>
      <c r="H110" s="11" t="n">
        <v>0.8553795580904693</v>
      </c>
      <c r="I110" s="11" t="n">
        <v>0.05907531932191179</v>
      </c>
      <c r="J110" s="11" t="n">
        <v>0.06602095025796377</v>
      </c>
      <c r="K110" s="12" t="n">
        <v>5.751756314786445</v>
      </c>
      <c r="L110" s="13" t="n">
        <v>0.006773374639962782</v>
      </c>
      <c r="M110" s="11" t="n">
        <v>0.6808179260332148</v>
      </c>
      <c r="N110" s="5" t="n">
        <v>44</v>
      </c>
    </row>
    <row r="111">
      <c r="A111" s="10" t="n">
        <v>46235</v>
      </c>
      <c r="B111" s="5" t="inlineStr">
        <is>
          <t>Livia Cardoso</t>
        </is>
      </c>
      <c r="C111" s="5" t="inlineStr">
        <is>
          <t>Karina Nunes</t>
        </is>
      </c>
      <c r="D111" s="5" t="inlineStr">
        <is>
          <t>Voz</t>
        </is>
      </c>
      <c r="E111" s="5" t="inlineStr">
        <is>
          <t>Ouro/Diamante</t>
        </is>
      </c>
      <c r="F111" s="5" t="inlineStr">
        <is>
          <t>Manhã</t>
        </is>
      </c>
      <c r="G111" s="5" t="n">
        <v>852</v>
      </c>
      <c r="H111" s="11" t="n">
        <v>0.870690431482224</v>
      </c>
      <c r="I111" s="11" t="n">
        <v>0.1240274163790994</v>
      </c>
      <c r="J111" s="11" t="n">
        <v>0.07021922684952175</v>
      </c>
      <c r="K111" s="12" t="n">
        <v>4.973536465636004</v>
      </c>
      <c r="L111" s="13" t="n">
        <v>0.006239215038947731</v>
      </c>
      <c r="M111" s="11" t="n">
        <v>0.5587178725349113</v>
      </c>
      <c r="N111" s="5" t="n">
        <v>44</v>
      </c>
    </row>
    <row r="112">
      <c r="A112" s="10" t="n">
        <v>46235</v>
      </c>
      <c r="B112" s="5" t="inlineStr">
        <is>
          <t>Livia Cardoso</t>
        </is>
      </c>
      <c r="C112" s="5" t="inlineStr">
        <is>
          <t>Karina Nunes</t>
        </is>
      </c>
      <c r="D112" s="5" t="inlineStr">
        <is>
          <t>Voz</t>
        </is>
      </c>
      <c r="E112" s="5" t="inlineStr">
        <is>
          <t>Ouro/Diamante</t>
        </is>
      </c>
      <c r="F112" s="5" t="inlineStr">
        <is>
          <t>Tarde</t>
        </is>
      </c>
      <c r="G112" s="5" t="n">
        <v>414</v>
      </c>
      <c r="H112" s="11" t="n">
        <v>0.8289637003910566</v>
      </c>
      <c r="I112" s="11" t="n">
        <v>0.04068870152845276</v>
      </c>
      <c r="J112" s="11" t="n">
        <v>0.04637705272135853</v>
      </c>
      <c r="K112" s="12" t="n">
        <v>6.626686533843776</v>
      </c>
      <c r="L112" s="13" t="n">
        <v>0.002734545858202956</v>
      </c>
      <c r="M112" s="11" t="n">
        <v>0.4518011183312852</v>
      </c>
      <c r="N112" s="5" t="n">
        <v>22</v>
      </c>
    </row>
    <row r="113">
      <c r="A113" s="10" t="n">
        <v>46235</v>
      </c>
      <c r="B113" s="5" t="inlineStr">
        <is>
          <t>Livia Cardoso</t>
        </is>
      </c>
      <c r="C113" s="5" t="inlineStr">
        <is>
          <t>Maicon Teixeira</t>
        </is>
      </c>
      <c r="D113" s="5" t="inlineStr">
        <is>
          <t>Chat</t>
        </is>
      </c>
      <c r="E113" s="5" t="inlineStr">
        <is>
          <t>Bronze/Prata</t>
        </is>
      </c>
      <c r="F113" s="5" t="inlineStr">
        <is>
          <t>Manhã</t>
        </is>
      </c>
      <c r="G113" s="5" t="n">
        <v>1023</v>
      </c>
      <c r="H113" s="11" t="n">
        <v>0.9428183699464202</v>
      </c>
      <c r="I113" s="11" t="n">
        <v>0.1234009594457888</v>
      </c>
      <c r="J113" s="11" t="n">
        <v>0.06587702512671181</v>
      </c>
      <c r="K113" s="12" t="n">
        <v>13.47123392819266</v>
      </c>
      <c r="L113" s="13" t="n">
        <v>0.002558822895694055</v>
      </c>
      <c r="M113" s="11" t="n">
        <v>0.4951262385418622</v>
      </c>
      <c r="N113" s="5" t="n">
        <v>44</v>
      </c>
    </row>
    <row r="114">
      <c r="A114" s="10" t="n">
        <v>46235</v>
      </c>
      <c r="B114" s="5" t="inlineStr">
        <is>
          <t>Livia Cardoso</t>
        </is>
      </c>
      <c r="C114" s="5" t="inlineStr">
        <is>
          <t>Maicon Teixeira</t>
        </is>
      </c>
      <c r="D114" s="5" t="inlineStr">
        <is>
          <t>Chat</t>
        </is>
      </c>
      <c r="E114" s="5" t="inlineStr">
        <is>
          <t>Bronze/Prata</t>
        </is>
      </c>
      <c r="F114" s="5" t="inlineStr">
        <is>
          <t>Tarde</t>
        </is>
      </c>
      <c r="G114" s="5" t="n">
        <v>1144</v>
      </c>
      <c r="H114" s="11" t="n">
        <v>0.7899421914882845</v>
      </c>
      <c r="I114" s="11" t="n">
        <v>0.1001814302575952</v>
      </c>
      <c r="J114" s="11" t="n">
        <v>0.1132678099528631</v>
      </c>
      <c r="K114" s="12" t="n">
        <v>10.34368140140864</v>
      </c>
      <c r="L114" s="13" t="n">
        <v>0.007623303487902619</v>
      </c>
      <c r="M114" s="11" t="n">
        <v>0.5853784245686946</v>
      </c>
      <c r="N114" s="5" t="n">
        <v>66</v>
      </c>
    </row>
    <row r="115">
      <c r="A115" s="10" t="n">
        <v>46235</v>
      </c>
      <c r="B115" s="5" t="inlineStr">
        <is>
          <t>Livia Cardoso</t>
        </is>
      </c>
      <c r="C115" s="5" t="inlineStr">
        <is>
          <t>Maicon Teixeira</t>
        </is>
      </c>
      <c r="D115" s="5" t="inlineStr">
        <is>
          <t>Chat</t>
        </is>
      </c>
      <c r="E115" s="5" t="inlineStr">
        <is>
          <t>Ouro/Diamante</t>
        </is>
      </c>
      <c r="F115" s="5" t="inlineStr">
        <is>
          <t>Manhã</t>
        </is>
      </c>
      <c r="G115" s="5" t="n">
        <v>600</v>
      </c>
      <c r="H115" s="11" t="n">
        <v>0.8833624247072247</v>
      </c>
      <c r="I115" s="11" t="n">
        <v>0.09369497866364915</v>
      </c>
      <c r="J115" s="11" t="n">
        <v>0.04877546432058152</v>
      </c>
      <c r="K115" s="12" t="n">
        <v>9.985531009072519</v>
      </c>
      <c r="L115" s="13" t="n">
        <v>0.005082303314257826</v>
      </c>
      <c r="M115" s="11" t="n">
        <v>0.696838825232921</v>
      </c>
      <c r="N115" s="5" t="n">
        <v>22</v>
      </c>
    </row>
    <row r="116">
      <c r="A116" s="10" t="n">
        <v>46235</v>
      </c>
      <c r="B116" s="5" t="inlineStr">
        <is>
          <t>Livia Cardoso</t>
        </is>
      </c>
      <c r="C116" s="5" t="inlineStr">
        <is>
          <t>Maicon Teixeira</t>
        </is>
      </c>
      <c r="D116" s="5" t="inlineStr">
        <is>
          <t>Chat</t>
        </is>
      </c>
      <c r="E116" s="5" t="inlineStr">
        <is>
          <t>Ouro/Diamante</t>
        </is>
      </c>
      <c r="F116" s="5" t="inlineStr">
        <is>
          <t>Tarde</t>
        </is>
      </c>
      <c r="G116" s="5" t="n">
        <v>1305</v>
      </c>
      <c r="H116" s="11" t="n">
        <v>0.8300916533065419</v>
      </c>
      <c r="I116" s="11" t="n">
        <v>0.1216601682559049</v>
      </c>
      <c r="J116" s="11" t="n">
        <v>0.03779981207410675</v>
      </c>
      <c r="K116" s="12" t="n">
        <v>10.75878416291243</v>
      </c>
      <c r="L116" s="13" t="n">
        <v>0.003537371170392318</v>
      </c>
      <c r="M116" s="11" t="n">
        <v>0.6495524897909521</v>
      </c>
      <c r="N116" s="5" t="n">
        <v>66</v>
      </c>
    </row>
    <row r="117">
      <c r="A117" s="10" t="n">
        <v>46235</v>
      </c>
      <c r="B117" s="5" t="inlineStr">
        <is>
          <t>Livia Cardoso</t>
        </is>
      </c>
      <c r="C117" s="5" t="inlineStr">
        <is>
          <t>Maicon Teixeira</t>
        </is>
      </c>
      <c r="D117" s="5" t="inlineStr">
        <is>
          <t>Voz</t>
        </is>
      </c>
      <c r="E117" s="5" t="inlineStr">
        <is>
          <t>Bronze/Prata</t>
        </is>
      </c>
      <c r="F117" s="5" t="inlineStr">
        <is>
          <t>Manhã</t>
        </is>
      </c>
      <c r="G117" s="5" t="n">
        <v>522</v>
      </c>
      <c r="H117" s="11" t="n">
        <v>0.7960330383760913</v>
      </c>
      <c r="I117" s="11" t="n">
        <v>0.1130247149804821</v>
      </c>
      <c r="J117" s="11" t="n">
        <v>0.07480257510505539</v>
      </c>
      <c r="K117" s="12" t="n">
        <v>6.103429889321253</v>
      </c>
      <c r="L117" s="13" t="n">
        <v>0.007995869132772636</v>
      </c>
      <c r="M117" s="11" t="n">
        <v>0.6836266101338733</v>
      </c>
      <c r="N117" s="5" t="n">
        <v>22</v>
      </c>
    </row>
    <row r="118">
      <c r="A118" s="10" t="n">
        <v>46235</v>
      </c>
      <c r="B118" s="5" t="inlineStr">
        <is>
          <t>Livia Cardoso</t>
        </is>
      </c>
      <c r="C118" s="5" t="inlineStr">
        <is>
          <t>Maicon Teixeira</t>
        </is>
      </c>
      <c r="D118" s="5" t="inlineStr">
        <is>
          <t>Voz</t>
        </is>
      </c>
      <c r="E118" s="5" t="inlineStr">
        <is>
          <t>Bronze/Prata</t>
        </is>
      </c>
      <c r="F118" s="5" t="inlineStr">
        <is>
          <t>Tarde</t>
        </is>
      </c>
      <c r="G118" s="5" t="n">
        <v>454</v>
      </c>
      <c r="H118" s="11" t="n">
        <v>0.8952142101711672</v>
      </c>
      <c r="I118" s="11" t="n">
        <v>0.05234911451260611</v>
      </c>
      <c r="J118" s="11" t="n">
        <v>0.08707686653684778</v>
      </c>
      <c r="K118" s="12" t="n">
        <v>4.912525525859156</v>
      </c>
      <c r="L118" s="13" t="n">
        <v>0.006485339686996594</v>
      </c>
      <c r="M118" s="11" t="n">
        <v>0.7248030953441842</v>
      </c>
      <c r="N118" s="5" t="n">
        <v>22</v>
      </c>
    </row>
    <row r="119">
      <c r="A119" s="10" t="n">
        <v>46235</v>
      </c>
      <c r="B119" s="5" t="inlineStr">
        <is>
          <t>Livia Cardoso</t>
        </is>
      </c>
      <c r="C119" s="5" t="inlineStr">
        <is>
          <t>Maicon Teixeira</t>
        </is>
      </c>
      <c r="D119" s="5" t="inlineStr">
        <is>
          <t>Voz</t>
        </is>
      </c>
      <c r="E119" s="5" t="inlineStr">
        <is>
          <t>Ouro/Diamante</t>
        </is>
      </c>
      <c r="F119" s="5" t="inlineStr">
        <is>
          <t>Manhã</t>
        </is>
      </c>
      <c r="G119" s="5" t="n">
        <v>1065</v>
      </c>
      <c r="H119" s="11" t="n">
        <v>0.7869177548796321</v>
      </c>
      <c r="I119" s="11" t="n">
        <v>0.09131323775619637</v>
      </c>
      <c r="J119" s="11" t="n">
        <v>0.0816460350439739</v>
      </c>
      <c r="K119" s="12" t="n">
        <v>6.715253275029827</v>
      </c>
      <c r="L119" s="13" t="n">
        <v>0.003058074243138413</v>
      </c>
      <c r="M119" s="11" t="n">
        <v>0.5334663471938504</v>
      </c>
      <c r="N119" s="5" t="n">
        <v>44</v>
      </c>
    </row>
    <row r="120">
      <c r="A120" s="10" t="n">
        <v>46235</v>
      </c>
      <c r="B120" s="5" t="inlineStr">
        <is>
          <t>Livia Cardoso</t>
        </is>
      </c>
      <c r="C120" s="5" t="inlineStr">
        <is>
          <t>Maicon Teixeira</t>
        </is>
      </c>
      <c r="D120" s="5" t="inlineStr">
        <is>
          <t>Voz</t>
        </is>
      </c>
      <c r="E120" s="5" t="inlineStr">
        <is>
          <t>Ouro/Diamante</t>
        </is>
      </c>
      <c r="F120" s="5" t="inlineStr">
        <is>
          <t>Tarde</t>
        </is>
      </c>
      <c r="G120" s="5" t="n">
        <v>975</v>
      </c>
      <c r="H120" s="11" t="n">
        <v>0.7920900556809578</v>
      </c>
      <c r="I120" s="11" t="n">
        <v>0.1074383189653362</v>
      </c>
      <c r="J120" s="11" t="n">
        <v>0.0567904960878954</v>
      </c>
      <c r="K120" s="12" t="n">
        <v>5.951374919394125</v>
      </c>
      <c r="L120" s="13" t="n">
        <v>0.002635802821292616</v>
      </c>
      <c r="M120" s="11" t="n">
        <v>0.5407833540577038</v>
      </c>
      <c r="N120" s="5" t="n">
        <v>44</v>
      </c>
    </row>
    <row r="121">
      <c r="A121" s="10" t="n">
        <v>46235</v>
      </c>
      <c r="B121" s="5" t="inlineStr">
        <is>
          <t>Livia Cardoso</t>
        </is>
      </c>
      <c r="C121" s="5" t="inlineStr">
        <is>
          <t>Ualifer Azevedo</t>
        </is>
      </c>
      <c r="D121" s="5" t="inlineStr">
        <is>
          <t>Chat</t>
        </is>
      </c>
      <c r="E121" s="5" t="inlineStr">
        <is>
          <t>Bronze/Prata</t>
        </is>
      </c>
      <c r="F121" s="5" t="inlineStr">
        <is>
          <t>Manhã</t>
        </is>
      </c>
      <c r="G121" s="5" t="n">
        <v>603</v>
      </c>
      <c r="H121" s="11" t="n">
        <v>0.8296100510681008</v>
      </c>
      <c r="I121" s="11" t="n">
        <v>0.04959424611906166</v>
      </c>
      <c r="J121" s="11" t="n">
        <v>0.06803621768094506</v>
      </c>
      <c r="K121" s="12" t="n">
        <v>13.61532869910888</v>
      </c>
      <c r="L121" s="13" t="n">
        <v>0.002615566700087361</v>
      </c>
      <c r="M121" s="11" t="n">
        <v>0.5527409342024656</v>
      </c>
      <c r="N121" s="5" t="n">
        <v>22</v>
      </c>
    </row>
    <row r="122">
      <c r="A122" s="10" t="n">
        <v>46235</v>
      </c>
      <c r="B122" s="5" t="inlineStr">
        <is>
          <t>Livia Cardoso</t>
        </is>
      </c>
      <c r="C122" s="5" t="inlineStr">
        <is>
          <t>Ualifer Azevedo</t>
        </is>
      </c>
      <c r="D122" s="5" t="inlineStr">
        <is>
          <t>Chat</t>
        </is>
      </c>
      <c r="E122" s="5" t="inlineStr">
        <is>
          <t>Bronze/Prata</t>
        </is>
      </c>
      <c r="F122" s="5" t="inlineStr">
        <is>
          <t>Tarde</t>
        </is>
      </c>
      <c r="G122" s="5" t="n">
        <v>2150</v>
      </c>
      <c r="H122" s="11" t="n">
        <v>0.8959086195205825</v>
      </c>
      <c r="I122" s="11" t="n">
        <v>0.08616188505665391</v>
      </c>
      <c r="J122" s="11" t="n">
        <v>0.04081320338936235</v>
      </c>
      <c r="K122" s="12" t="n">
        <v>13.03593173232472</v>
      </c>
      <c r="L122" s="13" t="n">
        <v>0.004296703936517038</v>
      </c>
      <c r="M122" s="11" t="n">
        <v>0.655820900125125</v>
      </c>
      <c r="N122" s="5" t="n">
        <v>110</v>
      </c>
    </row>
    <row r="123">
      <c r="A123" s="10" t="n">
        <v>46235</v>
      </c>
      <c r="B123" s="5" t="inlineStr">
        <is>
          <t>Livia Cardoso</t>
        </is>
      </c>
      <c r="C123" s="5" t="inlineStr">
        <is>
          <t>Ualifer Azevedo</t>
        </is>
      </c>
      <c r="D123" s="5" t="inlineStr">
        <is>
          <t>Chat</t>
        </is>
      </c>
      <c r="E123" s="5" t="inlineStr">
        <is>
          <t>Ouro/Diamante</t>
        </is>
      </c>
      <c r="F123" s="5" t="inlineStr">
        <is>
          <t>Manhã</t>
        </is>
      </c>
      <c r="G123" s="5" t="n">
        <v>488</v>
      </c>
      <c r="H123" s="11" t="n">
        <v>0.9281924824284455</v>
      </c>
      <c r="I123" s="11" t="n">
        <v>0.04581608756998749</v>
      </c>
      <c r="J123" s="11" t="n">
        <v>0.05508875122547632</v>
      </c>
      <c r="K123" s="12" t="n">
        <v>8.999373161543353</v>
      </c>
      <c r="L123" s="13" t="n">
        <v>0.003850377561297138</v>
      </c>
      <c r="M123" s="11" t="n">
        <v>0.6965967868779513</v>
      </c>
      <c r="N123" s="5" t="n">
        <v>22</v>
      </c>
    </row>
    <row r="124">
      <c r="A124" s="10" t="n">
        <v>46235</v>
      </c>
      <c r="B124" s="5" t="inlineStr">
        <is>
          <t>Livia Cardoso</t>
        </is>
      </c>
      <c r="C124" s="5" t="inlineStr">
        <is>
          <t>Ualifer Azevedo</t>
        </is>
      </c>
      <c r="D124" s="5" t="inlineStr">
        <is>
          <t>Chat</t>
        </is>
      </c>
      <c r="E124" s="5" t="inlineStr">
        <is>
          <t>Ouro/Diamante</t>
        </is>
      </c>
      <c r="F124" s="5" t="inlineStr">
        <is>
          <t>Tarde</t>
        </is>
      </c>
      <c r="G124" s="5" t="n">
        <v>2502</v>
      </c>
      <c r="H124" s="11" t="n">
        <v>0.8389469114487224</v>
      </c>
      <c r="I124" s="11" t="n">
        <v>0.09068628124409556</v>
      </c>
      <c r="J124" s="11" t="n">
        <v>0.1230386197279974</v>
      </c>
      <c r="K124" s="12" t="n">
        <v>10.98816109582063</v>
      </c>
      <c r="L124" s="13" t="n">
        <v>0.005160102336785334</v>
      </c>
      <c r="M124" s="11" t="n">
        <v>0.6470522318698423</v>
      </c>
      <c r="N124" s="5" t="n">
        <v>110</v>
      </c>
    </row>
    <row r="125">
      <c r="A125" s="10" t="n">
        <v>46235</v>
      </c>
      <c r="B125" s="5" t="inlineStr">
        <is>
          <t>Livia Cardoso</t>
        </is>
      </c>
      <c r="C125" s="5" t="inlineStr">
        <is>
          <t>Ualifer Azevedo</t>
        </is>
      </c>
      <c r="D125" s="5" t="inlineStr">
        <is>
          <t>Voz</t>
        </is>
      </c>
      <c r="E125" s="5" t="inlineStr">
        <is>
          <t>Bronze/Prata</t>
        </is>
      </c>
      <c r="F125" s="5" t="inlineStr">
        <is>
          <t>Manhã</t>
        </is>
      </c>
      <c r="G125" s="5" t="n">
        <v>1055</v>
      </c>
      <c r="H125" s="11" t="n">
        <v>0.8489328014761175</v>
      </c>
      <c r="I125" s="11" t="n">
        <v>0.08263214329183644</v>
      </c>
      <c r="J125" s="11" t="n">
        <v>0.04448699777547984</v>
      </c>
      <c r="K125" s="12" t="n">
        <v>6.695371140642608</v>
      </c>
      <c r="L125" s="13" t="n">
        <v>0.00815250965405746</v>
      </c>
      <c r="M125" s="11" t="n">
        <v>0.5418037104298778</v>
      </c>
      <c r="N125" s="5" t="n">
        <v>44</v>
      </c>
    </row>
    <row r="126">
      <c r="A126" s="10" t="n">
        <v>46235</v>
      </c>
      <c r="B126" s="5" t="inlineStr">
        <is>
          <t>Livia Cardoso</t>
        </is>
      </c>
      <c r="C126" s="5" t="inlineStr">
        <is>
          <t>Ualifer Azevedo</t>
        </is>
      </c>
      <c r="D126" s="5" t="inlineStr">
        <is>
          <t>Voz</t>
        </is>
      </c>
      <c r="E126" s="5" t="inlineStr">
        <is>
          <t>Bronze/Prata</t>
        </is>
      </c>
      <c r="F126" s="5" t="inlineStr">
        <is>
          <t>Tarde</t>
        </is>
      </c>
      <c r="G126" s="5" t="n">
        <v>2338</v>
      </c>
      <c r="H126" s="11" t="n">
        <v>0.8825602180492226</v>
      </c>
      <c r="I126" s="11" t="n">
        <v>0.09904593624786998</v>
      </c>
      <c r="J126" s="11" t="n">
        <v>0.04928953626027412</v>
      </c>
      <c r="K126" s="12" t="n">
        <v>6.729557824996975</v>
      </c>
      <c r="L126" s="13" t="n">
        <v>0.007137515694925189</v>
      </c>
      <c r="M126" s="11" t="n">
        <v>0.4624259559089444</v>
      </c>
      <c r="N126" s="5" t="n">
        <v>110</v>
      </c>
    </row>
    <row r="127">
      <c r="A127" s="10" t="n">
        <v>46235</v>
      </c>
      <c r="B127" s="5" t="inlineStr">
        <is>
          <t>Livia Cardoso</t>
        </is>
      </c>
      <c r="C127" s="5" t="inlineStr">
        <is>
          <t>Ualifer Azevedo</t>
        </is>
      </c>
      <c r="D127" s="5" t="inlineStr">
        <is>
          <t>Voz</t>
        </is>
      </c>
      <c r="E127" s="5" t="inlineStr">
        <is>
          <t>Ouro/Diamante</t>
        </is>
      </c>
      <c r="F127" s="5" t="inlineStr">
        <is>
          <t>Manhã</t>
        </is>
      </c>
      <c r="G127" s="5" t="n">
        <v>1624</v>
      </c>
      <c r="H127" s="11" t="n">
        <v>0.9084185027999316</v>
      </c>
      <c r="I127" s="11" t="n">
        <v>0.130523565596177</v>
      </c>
      <c r="J127" s="11" t="n">
        <v>0.03742510349636938</v>
      </c>
      <c r="K127" s="12" t="n">
        <v>4.907204974253352</v>
      </c>
      <c r="L127" s="13" t="n">
        <v>0.006386091620066758</v>
      </c>
      <c r="M127" s="11" t="n">
        <v>0.5353571007369794</v>
      </c>
      <c r="N127" s="5" t="n">
        <v>88</v>
      </c>
    </row>
    <row r="128">
      <c r="A128" s="10" t="n">
        <v>46235</v>
      </c>
      <c r="B128" s="5" t="inlineStr">
        <is>
          <t>Livia Cardoso</t>
        </is>
      </c>
      <c r="C128" s="5" t="inlineStr">
        <is>
          <t>Ualifer Azevedo</t>
        </is>
      </c>
      <c r="D128" s="5" t="inlineStr">
        <is>
          <t>Voz</t>
        </is>
      </c>
      <c r="E128" s="5" t="inlineStr">
        <is>
          <t>Ouro/Diamante</t>
        </is>
      </c>
      <c r="F128" s="5" t="inlineStr">
        <is>
          <t>Tarde</t>
        </is>
      </c>
      <c r="G128" s="5" t="n">
        <v>537</v>
      </c>
      <c r="H128" s="11" t="n">
        <v>0.7858188221133888</v>
      </c>
      <c r="I128" s="11" t="n">
        <v>0.08565555698913843</v>
      </c>
      <c r="J128" s="11" t="n">
        <v>0.04778293092859728</v>
      </c>
      <c r="K128" s="12" t="n">
        <v>6.160932508409585</v>
      </c>
      <c r="L128" s="13" t="n">
        <v>0.006854779787195059</v>
      </c>
      <c r="M128" s="11" t="n">
        <v>0.6030148131339773</v>
      </c>
      <c r="N128" s="5" t="n">
        <v>22</v>
      </c>
    </row>
    <row r="129">
      <c r="A129" s="10" t="n">
        <v>46266</v>
      </c>
      <c r="B129" s="5" t="inlineStr">
        <is>
          <t>Crhistoffer Miranda</t>
        </is>
      </c>
      <c r="C129" s="5" t="inlineStr">
        <is>
          <t>Bruna Almeida</t>
        </is>
      </c>
      <c r="D129" s="5" t="inlineStr">
        <is>
          <t>Chat</t>
        </is>
      </c>
      <c r="E129" s="5" t="inlineStr">
        <is>
          <t>Bronze/Prata</t>
        </is>
      </c>
      <c r="F129" s="5" t="inlineStr">
        <is>
          <t>Manhã</t>
        </is>
      </c>
      <c r="G129" s="5" t="n">
        <v>584</v>
      </c>
      <c r="H129" s="11" t="n">
        <v>0.9230923157130267</v>
      </c>
      <c r="I129" s="11" t="n">
        <v>0.101940006511384</v>
      </c>
      <c r="J129" s="11" t="n">
        <v>0.1232260929365087</v>
      </c>
      <c r="K129" s="12" t="n">
        <v>8.241730083215224</v>
      </c>
      <c r="L129" s="13" t="n">
        <v>0.005321543395349196</v>
      </c>
      <c r="M129" s="11" t="n">
        <v>0.5458678182575168</v>
      </c>
      <c r="N129" s="5" t="n">
        <v>22</v>
      </c>
    </row>
    <row r="130">
      <c r="A130" s="10" t="n">
        <v>46266</v>
      </c>
      <c r="B130" s="5" t="inlineStr">
        <is>
          <t>Crhistoffer Miranda</t>
        </is>
      </c>
      <c r="C130" s="5" t="inlineStr">
        <is>
          <t>Bruna Almeida</t>
        </is>
      </c>
      <c r="D130" s="5" t="inlineStr">
        <is>
          <t>Chat</t>
        </is>
      </c>
      <c r="E130" s="5" t="inlineStr">
        <is>
          <t>Bronze/Prata</t>
        </is>
      </c>
      <c r="F130" s="5" t="inlineStr">
        <is>
          <t>Tarde</t>
        </is>
      </c>
      <c r="G130" s="5" t="n">
        <v>1059</v>
      </c>
      <c r="H130" s="11" t="n">
        <v>0.7989191004962182</v>
      </c>
      <c r="I130" s="11" t="n">
        <v>0.128526486809083</v>
      </c>
      <c r="J130" s="11" t="n">
        <v>0.07075384826399669</v>
      </c>
      <c r="K130" s="12" t="n">
        <v>12.48628473564971</v>
      </c>
      <c r="L130" s="13" t="n">
        <v>0.008599734696696597</v>
      </c>
      <c r="M130" s="11" t="n">
        <v>0.7320648128881689</v>
      </c>
      <c r="N130" s="5" t="n">
        <v>44</v>
      </c>
    </row>
    <row r="131">
      <c r="A131" s="10" t="n">
        <v>46266</v>
      </c>
      <c r="B131" s="5" t="inlineStr">
        <is>
          <t>Crhistoffer Miranda</t>
        </is>
      </c>
      <c r="C131" s="5" t="inlineStr">
        <is>
          <t>Bruna Almeida</t>
        </is>
      </c>
      <c r="D131" s="5" t="inlineStr">
        <is>
          <t>Chat</t>
        </is>
      </c>
      <c r="E131" s="5" t="inlineStr">
        <is>
          <t>Ouro/Diamante</t>
        </is>
      </c>
      <c r="F131" s="5" t="inlineStr">
        <is>
          <t>Manhã</t>
        </is>
      </c>
      <c r="G131" s="5" t="n">
        <v>1420</v>
      </c>
      <c r="H131" s="11" t="n">
        <v>0.92567074586743</v>
      </c>
      <c r="I131" s="11" t="n">
        <v>0.1396997559552029</v>
      </c>
      <c r="J131" s="11" t="n">
        <v>0.04431882989334157</v>
      </c>
      <c r="K131" s="12" t="n">
        <v>12.23228075058978</v>
      </c>
      <c r="L131" s="13" t="n">
        <v>0.007090565314859254</v>
      </c>
      <c r="M131" s="11" t="n">
        <v>0.5873157695471576</v>
      </c>
      <c r="N131" s="5" t="n">
        <v>66</v>
      </c>
    </row>
    <row r="132">
      <c r="A132" s="10" t="n">
        <v>46266</v>
      </c>
      <c r="B132" s="5" t="inlineStr">
        <is>
          <t>Crhistoffer Miranda</t>
        </is>
      </c>
      <c r="C132" s="5" t="inlineStr">
        <is>
          <t>Bruna Almeida</t>
        </is>
      </c>
      <c r="D132" s="5" t="inlineStr">
        <is>
          <t>Chat</t>
        </is>
      </c>
      <c r="E132" s="5" t="inlineStr">
        <is>
          <t>Ouro/Diamante</t>
        </is>
      </c>
      <c r="F132" s="5" t="inlineStr">
        <is>
          <t>Tarde</t>
        </is>
      </c>
      <c r="G132" s="5" t="n">
        <v>893</v>
      </c>
      <c r="H132" s="11" t="n">
        <v>0.8094743825290882</v>
      </c>
      <c r="I132" s="11" t="n">
        <v>0.08116727039925589</v>
      </c>
      <c r="J132" s="11" t="n">
        <v>0.1325073583810457</v>
      </c>
      <c r="K132" s="12" t="n">
        <v>9.813936406434809</v>
      </c>
      <c r="L132" s="13" t="n">
        <v>0.003787565695968899</v>
      </c>
      <c r="M132" s="11" t="n">
        <v>0.6358318295082008</v>
      </c>
      <c r="N132" s="5" t="n">
        <v>44</v>
      </c>
    </row>
    <row r="133">
      <c r="A133" s="10" t="n">
        <v>46266</v>
      </c>
      <c r="B133" s="5" t="inlineStr">
        <is>
          <t>Crhistoffer Miranda</t>
        </is>
      </c>
      <c r="C133" s="5" t="inlineStr">
        <is>
          <t>Bruna Almeida</t>
        </is>
      </c>
      <c r="D133" s="5" t="inlineStr">
        <is>
          <t>Voz</t>
        </is>
      </c>
      <c r="E133" s="5" t="inlineStr">
        <is>
          <t>Bronze/Prata</t>
        </is>
      </c>
      <c r="F133" s="5" t="inlineStr">
        <is>
          <t>Manhã</t>
        </is>
      </c>
      <c r="G133" s="5" t="n">
        <v>969</v>
      </c>
      <c r="H133" s="11" t="n">
        <v>0.8843043657221288</v>
      </c>
      <c r="I133" s="11" t="n">
        <v>0.08544936278342308</v>
      </c>
      <c r="J133" s="11" t="n">
        <v>0.06150051609872149</v>
      </c>
      <c r="K133" s="12" t="n">
        <v>4.677462555247551</v>
      </c>
      <c r="L133" s="13" t="n">
        <v>0.007728434483370375</v>
      </c>
      <c r="M133" s="11" t="n">
        <v>0.6476967090497578</v>
      </c>
      <c r="N133" s="5" t="n">
        <v>44</v>
      </c>
    </row>
    <row r="134">
      <c r="A134" s="10" t="n">
        <v>46266</v>
      </c>
      <c r="B134" s="5" t="inlineStr">
        <is>
          <t>Crhistoffer Miranda</t>
        </is>
      </c>
      <c r="C134" s="5" t="inlineStr">
        <is>
          <t>Bruna Almeida</t>
        </is>
      </c>
      <c r="D134" s="5" t="inlineStr">
        <is>
          <t>Voz</t>
        </is>
      </c>
      <c r="E134" s="5" t="inlineStr">
        <is>
          <t>Bronze/Prata</t>
        </is>
      </c>
      <c r="F134" s="5" t="inlineStr">
        <is>
          <t>Tarde</t>
        </is>
      </c>
      <c r="G134" s="5" t="n">
        <v>1315</v>
      </c>
      <c r="H134" s="11" t="n">
        <v>0.864887950187782</v>
      </c>
      <c r="I134" s="11" t="n">
        <v>0.09809193005251216</v>
      </c>
      <c r="J134" s="11" t="n">
        <v>0.08539333412716407</v>
      </c>
      <c r="K134" s="12" t="n">
        <v>9.004669387390134</v>
      </c>
      <c r="L134" s="13" t="n">
        <v>0.00745042116106726</v>
      </c>
      <c r="M134" s="11" t="n">
        <v>0.5419275442493591</v>
      </c>
      <c r="N134" s="5" t="n">
        <v>66</v>
      </c>
    </row>
    <row r="135">
      <c r="A135" s="10" t="n">
        <v>46266</v>
      </c>
      <c r="B135" s="5" t="inlineStr">
        <is>
          <t>Crhistoffer Miranda</t>
        </is>
      </c>
      <c r="C135" s="5" t="inlineStr">
        <is>
          <t>Bruna Almeida</t>
        </is>
      </c>
      <c r="D135" s="5" t="inlineStr">
        <is>
          <t>Voz</t>
        </is>
      </c>
      <c r="E135" s="5" t="inlineStr">
        <is>
          <t>Ouro/Diamante</t>
        </is>
      </c>
      <c r="F135" s="5" t="inlineStr">
        <is>
          <t>Manhã</t>
        </is>
      </c>
      <c r="G135" s="5" t="n">
        <v>922</v>
      </c>
      <c r="H135" s="11" t="n">
        <v>0.8840029770813722</v>
      </c>
      <c r="I135" s="11" t="n">
        <v>0.05623260888979664</v>
      </c>
      <c r="J135" s="11" t="n">
        <v>0.1327573108776632</v>
      </c>
      <c r="K135" s="12" t="n">
        <v>4.727139822996339</v>
      </c>
      <c r="L135" s="13" t="n">
        <v>0.005496656874056568</v>
      </c>
      <c r="M135" s="11" t="n">
        <v>0.532006056179279</v>
      </c>
      <c r="N135" s="5" t="n">
        <v>44</v>
      </c>
    </row>
    <row r="136">
      <c r="A136" s="10" t="n">
        <v>46266</v>
      </c>
      <c r="B136" s="5" t="inlineStr">
        <is>
          <t>Crhistoffer Miranda</t>
        </is>
      </c>
      <c r="C136" s="5" t="inlineStr">
        <is>
          <t>Bruna Almeida</t>
        </is>
      </c>
      <c r="D136" s="5" t="inlineStr">
        <is>
          <t>Voz</t>
        </is>
      </c>
      <c r="E136" s="5" t="inlineStr">
        <is>
          <t>Ouro/Diamante</t>
        </is>
      </c>
      <c r="F136" s="5" t="inlineStr">
        <is>
          <t>Tarde</t>
        </is>
      </c>
      <c r="G136" s="5" t="n">
        <v>2531</v>
      </c>
      <c r="H136" s="11" t="n">
        <v>0.7877528201536034</v>
      </c>
      <c r="I136" s="11" t="n">
        <v>0.06242248579303999</v>
      </c>
      <c r="J136" s="11" t="n">
        <v>0.1387950192862145</v>
      </c>
      <c r="K136" s="12" t="n">
        <v>8.440240417213715</v>
      </c>
      <c r="L136" s="13" t="n">
        <v>0.003547194611854231</v>
      </c>
      <c r="M136" s="11" t="n">
        <v>0.5868145712097949</v>
      </c>
      <c r="N136" s="5" t="n">
        <v>110</v>
      </c>
    </row>
    <row r="137">
      <c r="A137" s="10" t="n">
        <v>46266</v>
      </c>
      <c r="B137" s="5" t="inlineStr">
        <is>
          <t>Crhistoffer Miranda</t>
        </is>
      </c>
      <c r="C137" s="5" t="inlineStr">
        <is>
          <t>Emir Anjos</t>
        </is>
      </c>
      <c r="D137" s="5" t="inlineStr">
        <is>
          <t>Chat</t>
        </is>
      </c>
      <c r="E137" s="5" t="inlineStr">
        <is>
          <t>Bronze/Prata</t>
        </is>
      </c>
      <c r="F137" s="5" t="inlineStr">
        <is>
          <t>Manhã</t>
        </is>
      </c>
      <c r="G137" s="5" t="n">
        <v>387</v>
      </c>
      <c r="H137" s="11" t="n">
        <v>0.8007422278749246</v>
      </c>
      <c r="I137" s="11" t="n">
        <v>0.05918375351180048</v>
      </c>
      <c r="J137" s="11" t="n">
        <v>0.1382720353922955</v>
      </c>
      <c r="K137" s="12" t="n">
        <v>9.182537077642955</v>
      </c>
      <c r="L137" s="13" t="n">
        <v>0.003733942488526986</v>
      </c>
      <c r="M137" s="11" t="n">
        <v>0.4695950716011816</v>
      </c>
      <c r="N137" s="5" t="n">
        <v>22</v>
      </c>
    </row>
    <row r="138">
      <c r="A138" s="10" t="n">
        <v>46266</v>
      </c>
      <c r="B138" s="5" t="inlineStr">
        <is>
          <t>Crhistoffer Miranda</t>
        </is>
      </c>
      <c r="C138" s="5" t="inlineStr">
        <is>
          <t>Emir Anjos</t>
        </is>
      </c>
      <c r="D138" s="5" t="inlineStr">
        <is>
          <t>Chat</t>
        </is>
      </c>
      <c r="E138" s="5" t="inlineStr">
        <is>
          <t>Bronze/Prata</t>
        </is>
      </c>
      <c r="F138" s="5" t="inlineStr">
        <is>
          <t>Tarde</t>
        </is>
      </c>
      <c r="G138" s="5" t="n">
        <v>1219</v>
      </c>
      <c r="H138" s="11" t="n">
        <v>0.9492078361078473</v>
      </c>
      <c r="I138" s="11" t="n">
        <v>0.1140192983928895</v>
      </c>
      <c r="J138" s="11" t="n">
        <v>0.1312379369243928</v>
      </c>
      <c r="K138" s="12" t="n">
        <v>12.8498487357563</v>
      </c>
      <c r="L138" s="13" t="n">
        <v>0.007478531564476339</v>
      </c>
      <c r="M138" s="11" t="n">
        <v>0.5265012578907741</v>
      </c>
      <c r="N138" s="5" t="n">
        <v>66</v>
      </c>
    </row>
    <row r="139">
      <c r="A139" s="10" t="n">
        <v>46266</v>
      </c>
      <c r="B139" s="5" t="inlineStr">
        <is>
          <t>Crhistoffer Miranda</t>
        </is>
      </c>
      <c r="C139" s="5" t="inlineStr">
        <is>
          <t>Emir Anjos</t>
        </is>
      </c>
      <c r="D139" s="5" t="inlineStr">
        <is>
          <t>Chat</t>
        </is>
      </c>
      <c r="E139" s="5" t="inlineStr">
        <is>
          <t>Ouro/Diamante</t>
        </is>
      </c>
      <c r="F139" s="5" t="inlineStr">
        <is>
          <t>Manhã</t>
        </is>
      </c>
      <c r="G139" s="5" t="n">
        <v>1261</v>
      </c>
      <c r="H139" s="11" t="n">
        <v>0.8258930067871775</v>
      </c>
      <c r="I139" s="11" t="n">
        <v>0.04654282450027693</v>
      </c>
      <c r="J139" s="11" t="n">
        <v>0.04929843609417427</v>
      </c>
      <c r="K139" s="12" t="n">
        <v>12.03920010285039</v>
      </c>
      <c r="L139" s="13" t="n">
        <v>0.005437262198838061</v>
      </c>
      <c r="M139" s="11" t="n">
        <v>0.4531461904208128</v>
      </c>
      <c r="N139" s="5" t="n">
        <v>66</v>
      </c>
    </row>
    <row r="140">
      <c r="A140" s="10" t="n">
        <v>46266</v>
      </c>
      <c r="B140" s="5" t="inlineStr">
        <is>
          <t>Crhistoffer Miranda</t>
        </is>
      </c>
      <c r="C140" s="5" t="inlineStr">
        <is>
          <t>Emir Anjos</t>
        </is>
      </c>
      <c r="D140" s="5" t="inlineStr">
        <is>
          <t>Chat</t>
        </is>
      </c>
      <c r="E140" s="5" t="inlineStr">
        <is>
          <t>Ouro/Diamante</t>
        </is>
      </c>
      <c r="F140" s="5" t="inlineStr">
        <is>
          <t>Tarde</t>
        </is>
      </c>
      <c r="G140" s="5" t="n">
        <v>906</v>
      </c>
      <c r="H140" s="11" t="n">
        <v>0.9244241287520588</v>
      </c>
      <c r="I140" s="11" t="n">
        <v>0.1250951031261913</v>
      </c>
      <c r="J140" s="11" t="n">
        <v>0.1102433503578007</v>
      </c>
      <c r="K140" s="12" t="n">
        <v>12.12010731765202</v>
      </c>
      <c r="L140" s="13" t="n">
        <v>0.008382332478490906</v>
      </c>
      <c r="M140" s="11" t="n">
        <v>0.6171505389026569</v>
      </c>
      <c r="N140" s="5" t="n">
        <v>44</v>
      </c>
    </row>
    <row r="141">
      <c r="A141" s="10" t="n">
        <v>46266</v>
      </c>
      <c r="B141" s="5" t="inlineStr">
        <is>
          <t>Crhistoffer Miranda</t>
        </is>
      </c>
      <c r="C141" s="5" t="inlineStr">
        <is>
          <t>Emir Anjos</t>
        </is>
      </c>
      <c r="D141" s="5" t="inlineStr">
        <is>
          <t>Voz</t>
        </is>
      </c>
      <c r="E141" s="5" t="inlineStr">
        <is>
          <t>Bronze/Prata</t>
        </is>
      </c>
      <c r="F141" s="5" t="inlineStr">
        <is>
          <t>Manhã</t>
        </is>
      </c>
      <c r="G141" s="5" t="n">
        <v>1887</v>
      </c>
      <c r="H141" s="11" t="n">
        <v>0.8774437180645335</v>
      </c>
      <c r="I141" s="11" t="n">
        <v>0.06824289834830696</v>
      </c>
      <c r="J141" s="11" t="n">
        <v>0.03401054125757023</v>
      </c>
      <c r="K141" s="12" t="n">
        <v>5.799808584286284</v>
      </c>
      <c r="L141" s="13" t="n">
        <v>0.005203175686534502</v>
      </c>
      <c r="M141" s="11" t="n">
        <v>0.4860480861545375</v>
      </c>
      <c r="N141" s="5" t="n">
        <v>88</v>
      </c>
    </row>
    <row r="142">
      <c r="A142" s="10" t="n">
        <v>46266</v>
      </c>
      <c r="B142" s="5" t="inlineStr">
        <is>
          <t>Crhistoffer Miranda</t>
        </is>
      </c>
      <c r="C142" s="5" t="inlineStr">
        <is>
          <t>Emir Anjos</t>
        </is>
      </c>
      <c r="D142" s="5" t="inlineStr">
        <is>
          <t>Voz</t>
        </is>
      </c>
      <c r="E142" s="5" t="inlineStr">
        <is>
          <t>Bronze/Prata</t>
        </is>
      </c>
      <c r="F142" s="5" t="inlineStr">
        <is>
          <t>Tarde</t>
        </is>
      </c>
      <c r="G142" s="5" t="n">
        <v>1198</v>
      </c>
      <c r="H142" s="11" t="n">
        <v>0.8220405442592476</v>
      </c>
      <c r="I142" s="11" t="n">
        <v>0.07681473228420428</v>
      </c>
      <c r="J142" s="11" t="n">
        <v>0.135280016642756</v>
      </c>
      <c r="K142" s="12" t="n">
        <v>6.934886656947745</v>
      </c>
      <c r="L142" s="13" t="n">
        <v>0.007858636139901886</v>
      </c>
      <c r="M142" s="11" t="n">
        <v>0.6733131028755087</v>
      </c>
      <c r="N142" s="5" t="n">
        <v>66</v>
      </c>
    </row>
    <row r="143">
      <c r="A143" s="10" t="n">
        <v>46266</v>
      </c>
      <c r="B143" s="5" t="inlineStr">
        <is>
          <t>Crhistoffer Miranda</t>
        </is>
      </c>
      <c r="C143" s="5" t="inlineStr">
        <is>
          <t>Emir Anjos</t>
        </is>
      </c>
      <c r="D143" s="5" t="inlineStr">
        <is>
          <t>Voz</t>
        </is>
      </c>
      <c r="E143" s="5" t="inlineStr">
        <is>
          <t>Ouro/Diamante</t>
        </is>
      </c>
      <c r="F143" s="5" t="inlineStr">
        <is>
          <t>Manhã</t>
        </is>
      </c>
      <c r="G143" s="5" t="n">
        <v>2610</v>
      </c>
      <c r="H143" s="11" t="n">
        <v>0.8347750304542946</v>
      </c>
      <c r="I143" s="11" t="n">
        <v>0.07926616113876651</v>
      </c>
      <c r="J143" s="11" t="n">
        <v>0.06488754972413253</v>
      </c>
      <c r="K143" s="12" t="n">
        <v>7.671651073379407</v>
      </c>
      <c r="L143" s="13" t="n">
        <v>0.007985352790990444</v>
      </c>
      <c r="M143" s="11" t="n">
        <v>0.6871803304194557</v>
      </c>
      <c r="N143" s="5" t="n">
        <v>110</v>
      </c>
    </row>
    <row r="144">
      <c r="A144" s="10" t="n">
        <v>46266</v>
      </c>
      <c r="B144" s="5" t="inlineStr">
        <is>
          <t>Crhistoffer Miranda</t>
        </is>
      </c>
      <c r="C144" s="5" t="inlineStr">
        <is>
          <t>Emir Anjos</t>
        </is>
      </c>
      <c r="D144" s="5" t="inlineStr">
        <is>
          <t>Voz</t>
        </is>
      </c>
      <c r="E144" s="5" t="inlineStr">
        <is>
          <t>Ouro/Diamante</t>
        </is>
      </c>
      <c r="F144" s="5" t="inlineStr">
        <is>
          <t>Tarde</t>
        </is>
      </c>
      <c r="G144" s="5" t="n">
        <v>1803</v>
      </c>
      <c r="H144" s="11" t="n">
        <v>0.8054221934569292</v>
      </c>
      <c r="I144" s="11" t="n">
        <v>0.04089246227731523</v>
      </c>
      <c r="J144" s="11" t="n">
        <v>0.09429736705016423</v>
      </c>
      <c r="K144" s="12" t="n">
        <v>5.640329685436589</v>
      </c>
      <c r="L144" s="13" t="n">
        <v>0.002038800984241605</v>
      </c>
      <c r="M144" s="11" t="n">
        <v>0.5406162010635402</v>
      </c>
      <c r="N144" s="5" t="n">
        <v>88</v>
      </c>
    </row>
    <row r="145">
      <c r="A145" s="10" t="n">
        <v>46266</v>
      </c>
      <c r="B145" s="5" t="inlineStr">
        <is>
          <t>Crhistoffer Miranda</t>
        </is>
      </c>
      <c r="C145" s="5" t="inlineStr">
        <is>
          <t>Francisco Nascimento</t>
        </is>
      </c>
      <c r="D145" s="5" t="inlineStr">
        <is>
          <t>Chat</t>
        </is>
      </c>
      <c r="E145" s="5" t="inlineStr">
        <is>
          <t>Bronze/Prata</t>
        </is>
      </c>
      <c r="F145" s="5" t="inlineStr">
        <is>
          <t>Manhã</t>
        </is>
      </c>
      <c r="G145" s="5" t="n">
        <v>434</v>
      </c>
      <c r="H145" s="11" t="n">
        <v>0.8148970885209017</v>
      </c>
      <c r="I145" s="11" t="n">
        <v>0.1064386858392818</v>
      </c>
      <c r="J145" s="11" t="n">
        <v>0.0942782884385332</v>
      </c>
      <c r="K145" s="12" t="n">
        <v>8.972059114956956</v>
      </c>
      <c r="L145" s="13" t="n">
        <v>0.007114371120710579</v>
      </c>
      <c r="M145" s="11" t="n">
        <v>0.5119393559389369</v>
      </c>
      <c r="N145" s="5" t="n">
        <v>22</v>
      </c>
    </row>
    <row r="146">
      <c r="A146" s="10" t="n">
        <v>46266</v>
      </c>
      <c r="B146" s="5" t="inlineStr">
        <is>
          <t>Crhistoffer Miranda</t>
        </is>
      </c>
      <c r="C146" s="5" t="inlineStr">
        <is>
          <t>Francisco Nascimento</t>
        </is>
      </c>
      <c r="D146" s="5" t="inlineStr">
        <is>
          <t>Chat</t>
        </is>
      </c>
      <c r="E146" s="5" t="inlineStr">
        <is>
          <t>Bronze/Prata</t>
        </is>
      </c>
      <c r="F146" s="5" t="inlineStr">
        <is>
          <t>Tarde</t>
        </is>
      </c>
      <c r="G146" s="5" t="n">
        <v>1202</v>
      </c>
      <c r="H146" s="11" t="n">
        <v>0.8002075938359791</v>
      </c>
      <c r="I146" s="11" t="n">
        <v>0.09920006306102953</v>
      </c>
      <c r="J146" s="11" t="n">
        <v>0.1075384659482561</v>
      </c>
      <c r="K146" s="12" t="n">
        <v>12.12701125572147</v>
      </c>
      <c r="L146" s="13" t="n">
        <v>0.005410276454336928</v>
      </c>
      <c r="M146" s="11" t="n">
        <v>0.7114589686077084</v>
      </c>
      <c r="N146" s="5" t="n">
        <v>44</v>
      </c>
    </row>
    <row r="147">
      <c r="A147" s="10" t="n">
        <v>46266</v>
      </c>
      <c r="B147" s="5" t="inlineStr">
        <is>
          <t>Crhistoffer Miranda</t>
        </is>
      </c>
      <c r="C147" s="5" t="inlineStr">
        <is>
          <t>Francisco Nascimento</t>
        </is>
      </c>
      <c r="D147" s="5" t="inlineStr">
        <is>
          <t>Chat</t>
        </is>
      </c>
      <c r="E147" s="5" t="inlineStr">
        <is>
          <t>Ouro/Diamante</t>
        </is>
      </c>
      <c r="F147" s="5" t="inlineStr">
        <is>
          <t>Tarde</t>
        </is>
      </c>
      <c r="G147" s="5" t="n">
        <v>1061</v>
      </c>
      <c r="H147" s="11" t="n">
        <v>0.8974390825866498</v>
      </c>
      <c r="I147" s="11" t="n">
        <v>0.04790643065927573</v>
      </c>
      <c r="J147" s="11" t="n">
        <v>0.05053818490266511</v>
      </c>
      <c r="K147" s="12" t="n">
        <v>10.26031101945189</v>
      </c>
      <c r="L147" s="13" t="n">
        <v>0.005816755552219941</v>
      </c>
      <c r="M147" s="11" t="n">
        <v>0.478553075364834</v>
      </c>
      <c r="N147" s="5" t="n">
        <v>44</v>
      </c>
    </row>
    <row r="148">
      <c r="A148" s="10" t="n">
        <v>46266</v>
      </c>
      <c r="B148" s="5" t="inlineStr">
        <is>
          <t>Crhistoffer Miranda</t>
        </is>
      </c>
      <c r="C148" s="5" t="inlineStr">
        <is>
          <t>Francisco Nascimento</t>
        </is>
      </c>
      <c r="D148" s="5" t="inlineStr">
        <is>
          <t>Voz</t>
        </is>
      </c>
      <c r="E148" s="5" t="inlineStr">
        <is>
          <t>Bronze/Prata</t>
        </is>
      </c>
      <c r="F148" s="5" t="inlineStr">
        <is>
          <t>Manhã</t>
        </is>
      </c>
      <c r="G148" s="5" t="n">
        <v>1674</v>
      </c>
      <c r="H148" s="11" t="n">
        <v>0.8389187195635975</v>
      </c>
      <c r="I148" s="11" t="n">
        <v>0.08751487295697075</v>
      </c>
      <c r="J148" s="11" t="n">
        <v>0.08741872883644987</v>
      </c>
      <c r="K148" s="12" t="n">
        <v>8.694007032154287</v>
      </c>
      <c r="L148" s="13" t="n">
        <v>0.004114845112684985</v>
      </c>
      <c r="M148" s="11" t="n">
        <v>0.6179293516990928</v>
      </c>
      <c r="N148" s="5" t="n">
        <v>66</v>
      </c>
    </row>
    <row r="149">
      <c r="A149" s="10" t="n">
        <v>46266</v>
      </c>
      <c r="B149" s="5" t="inlineStr">
        <is>
          <t>Crhistoffer Miranda</t>
        </is>
      </c>
      <c r="C149" s="5" t="inlineStr">
        <is>
          <t>Francisco Nascimento</t>
        </is>
      </c>
      <c r="D149" s="5" t="inlineStr">
        <is>
          <t>Voz</t>
        </is>
      </c>
      <c r="E149" s="5" t="inlineStr">
        <is>
          <t>Bronze/Prata</t>
        </is>
      </c>
      <c r="F149" s="5" t="inlineStr">
        <is>
          <t>Tarde</t>
        </is>
      </c>
      <c r="G149" s="5" t="n">
        <v>2626</v>
      </c>
      <c r="H149" s="11" t="n">
        <v>0.8914163025746179</v>
      </c>
      <c r="I149" s="11" t="n">
        <v>0.07122033803086594</v>
      </c>
      <c r="J149" s="11" t="n">
        <v>0.06070096472052166</v>
      </c>
      <c r="K149" s="12" t="n">
        <v>6.852006727902278</v>
      </c>
      <c r="L149" s="13" t="n">
        <v>0.006207189740535021</v>
      </c>
      <c r="M149" s="11" t="n">
        <v>0.6434023112145079</v>
      </c>
      <c r="N149" s="5" t="n">
        <v>110</v>
      </c>
    </row>
    <row r="150">
      <c r="A150" s="10" t="n">
        <v>46266</v>
      </c>
      <c r="B150" s="5" t="inlineStr">
        <is>
          <t>Crhistoffer Miranda</t>
        </is>
      </c>
      <c r="C150" s="5" t="inlineStr">
        <is>
          <t>Francisco Nascimento</t>
        </is>
      </c>
      <c r="D150" s="5" t="inlineStr">
        <is>
          <t>Voz</t>
        </is>
      </c>
      <c r="E150" s="5" t="inlineStr">
        <is>
          <t>Ouro/Diamante</t>
        </is>
      </c>
      <c r="F150" s="5" t="inlineStr">
        <is>
          <t>Manhã</t>
        </is>
      </c>
      <c r="G150" s="5" t="n">
        <v>412</v>
      </c>
      <c r="H150" s="11" t="n">
        <v>0.8558428948608372</v>
      </c>
      <c r="I150" s="11" t="n">
        <v>0.09602674754781104</v>
      </c>
      <c r="J150" s="11" t="n">
        <v>0.05142160275254161</v>
      </c>
      <c r="K150" s="12" t="n">
        <v>5.010898404220174</v>
      </c>
      <c r="L150" s="13" t="n">
        <v>0.008502627960564745</v>
      </c>
      <c r="M150" s="11" t="n">
        <v>0.4562409123332719</v>
      </c>
      <c r="N150" s="5" t="n">
        <v>22</v>
      </c>
    </row>
    <row r="151">
      <c r="A151" s="10" t="n">
        <v>46266</v>
      </c>
      <c r="B151" s="5" t="inlineStr">
        <is>
          <t>Crhistoffer Miranda</t>
        </is>
      </c>
      <c r="C151" s="5" t="inlineStr">
        <is>
          <t>Francisco Nascimento</t>
        </is>
      </c>
      <c r="D151" s="5" t="inlineStr">
        <is>
          <t>Voz</t>
        </is>
      </c>
      <c r="E151" s="5" t="inlineStr">
        <is>
          <t>Ouro/Diamante</t>
        </is>
      </c>
      <c r="F151" s="5" t="inlineStr">
        <is>
          <t>Tarde</t>
        </is>
      </c>
      <c r="G151" s="5" t="n">
        <v>499</v>
      </c>
      <c r="H151" s="11" t="n">
        <v>0.830093937537571</v>
      </c>
      <c r="I151" s="11" t="n">
        <v>0.04311045214420837</v>
      </c>
      <c r="J151" s="11" t="n">
        <v>0.05969190529605496</v>
      </c>
      <c r="K151" s="12" t="n">
        <v>5.307178440584923</v>
      </c>
      <c r="L151" s="13" t="n">
        <v>0.004801312802639266</v>
      </c>
      <c r="M151" s="11" t="n">
        <v>0.722941053518327</v>
      </c>
      <c r="N151" s="5" t="n">
        <v>22</v>
      </c>
    </row>
    <row r="152">
      <c r="A152" s="10" t="n">
        <v>46266</v>
      </c>
      <c r="B152" s="5" t="inlineStr">
        <is>
          <t>Crhistoffer Miranda</t>
        </is>
      </c>
      <c r="C152" s="5" t="inlineStr">
        <is>
          <t>Marcia Assunção</t>
        </is>
      </c>
      <c r="D152" s="5" t="inlineStr">
        <is>
          <t>Chat</t>
        </is>
      </c>
      <c r="E152" s="5" t="inlineStr">
        <is>
          <t>Bronze/Prata</t>
        </is>
      </c>
      <c r="F152" s="5" t="inlineStr">
        <is>
          <t>Manhã</t>
        </is>
      </c>
      <c r="G152" s="5" t="n">
        <v>1596</v>
      </c>
      <c r="H152" s="11" t="n">
        <v>0.8397848637624649</v>
      </c>
      <c r="I152" s="11" t="n">
        <v>0.1094967255835993</v>
      </c>
      <c r="J152" s="11" t="n">
        <v>0.09874018510247244</v>
      </c>
      <c r="K152" s="12" t="n">
        <v>7.145787017239673</v>
      </c>
      <c r="L152" s="13" t="n">
        <v>0.00360145150574879</v>
      </c>
      <c r="M152" s="11" t="n">
        <v>0.5343286688762862</v>
      </c>
      <c r="N152" s="5" t="n">
        <v>88</v>
      </c>
    </row>
    <row r="153">
      <c r="A153" s="10" t="n">
        <v>46266</v>
      </c>
      <c r="B153" s="5" t="inlineStr">
        <is>
          <t>Crhistoffer Miranda</t>
        </is>
      </c>
      <c r="C153" s="5" t="inlineStr">
        <is>
          <t>Marcia Assunção</t>
        </is>
      </c>
      <c r="D153" s="5" t="inlineStr">
        <is>
          <t>Chat</t>
        </is>
      </c>
      <c r="E153" s="5" t="inlineStr">
        <is>
          <t>Bronze/Prata</t>
        </is>
      </c>
      <c r="F153" s="5" t="inlineStr">
        <is>
          <t>Tarde</t>
        </is>
      </c>
      <c r="G153" s="5" t="n">
        <v>594</v>
      </c>
      <c r="H153" s="11" t="n">
        <v>0.8551562745673215</v>
      </c>
      <c r="I153" s="11" t="n">
        <v>0.06575520729069846</v>
      </c>
      <c r="J153" s="11" t="n">
        <v>0.08282065051379793</v>
      </c>
      <c r="K153" s="12" t="n">
        <v>10.39594679962112</v>
      </c>
      <c r="L153" s="13" t="n">
        <v>0.003046153961438016</v>
      </c>
      <c r="M153" s="11" t="n">
        <v>0.6501212661524426</v>
      </c>
      <c r="N153" s="5" t="n">
        <v>22</v>
      </c>
    </row>
    <row r="154">
      <c r="A154" s="10" t="n">
        <v>46266</v>
      </c>
      <c r="B154" s="5" t="inlineStr">
        <is>
          <t>Crhistoffer Miranda</t>
        </is>
      </c>
      <c r="C154" s="5" t="inlineStr">
        <is>
          <t>Marcia Assunção</t>
        </is>
      </c>
      <c r="D154" s="5" t="inlineStr">
        <is>
          <t>Chat</t>
        </is>
      </c>
      <c r="E154" s="5" t="inlineStr">
        <is>
          <t>Ouro/Diamante</t>
        </is>
      </c>
      <c r="F154" s="5" t="inlineStr">
        <is>
          <t>Manhã</t>
        </is>
      </c>
      <c r="G154" s="5" t="n">
        <v>1106</v>
      </c>
      <c r="H154" s="11" t="n">
        <v>0.861133784648711</v>
      </c>
      <c r="I154" s="11" t="n">
        <v>0.09374043737485491</v>
      </c>
      <c r="J154" s="11" t="n">
        <v>0.1147591195905616</v>
      </c>
      <c r="K154" s="12" t="n">
        <v>13.69442774195493</v>
      </c>
      <c r="L154" s="13" t="n">
        <v>0.006289641925599571</v>
      </c>
      <c r="M154" s="11" t="n">
        <v>0.4632975389091186</v>
      </c>
      <c r="N154" s="5" t="n">
        <v>44</v>
      </c>
    </row>
    <row r="155">
      <c r="A155" s="10" t="n">
        <v>46266</v>
      </c>
      <c r="B155" s="5" t="inlineStr">
        <is>
          <t>Crhistoffer Miranda</t>
        </is>
      </c>
      <c r="C155" s="5" t="inlineStr">
        <is>
          <t>Marcia Assunção</t>
        </is>
      </c>
      <c r="D155" s="5" t="inlineStr">
        <is>
          <t>Chat</t>
        </is>
      </c>
      <c r="E155" s="5" t="inlineStr">
        <is>
          <t>Ouro/Diamante</t>
        </is>
      </c>
      <c r="F155" s="5" t="inlineStr">
        <is>
          <t>Tarde</t>
        </is>
      </c>
      <c r="G155" s="5" t="n">
        <v>1002</v>
      </c>
      <c r="H155" s="11" t="n">
        <v>0.8925841426394606</v>
      </c>
      <c r="I155" s="11" t="n">
        <v>0.07309051357436197</v>
      </c>
      <c r="J155" s="11" t="n">
        <v>0.1052689430808831</v>
      </c>
      <c r="K155" s="12" t="n">
        <v>9.574627332536586</v>
      </c>
      <c r="L155" s="13" t="n">
        <v>0.006315012176761901</v>
      </c>
      <c r="M155" s="11" t="n">
        <v>0.6342499800252024</v>
      </c>
      <c r="N155" s="5" t="n">
        <v>44</v>
      </c>
    </row>
    <row r="156">
      <c r="A156" s="10" t="n">
        <v>46266</v>
      </c>
      <c r="B156" s="5" t="inlineStr">
        <is>
          <t>Crhistoffer Miranda</t>
        </is>
      </c>
      <c r="C156" s="5" t="inlineStr">
        <is>
          <t>Marcia Assunção</t>
        </is>
      </c>
      <c r="D156" s="5" t="inlineStr">
        <is>
          <t>Voz</t>
        </is>
      </c>
      <c r="E156" s="5" t="inlineStr">
        <is>
          <t>Bronze/Prata</t>
        </is>
      </c>
      <c r="F156" s="5" t="inlineStr">
        <is>
          <t>Manhã</t>
        </is>
      </c>
      <c r="G156" s="5" t="n">
        <v>1081</v>
      </c>
      <c r="H156" s="11" t="n">
        <v>0.9373291446653054</v>
      </c>
      <c r="I156" s="11" t="n">
        <v>0.1107797056629487</v>
      </c>
      <c r="J156" s="11" t="n">
        <v>0.1080316336019903</v>
      </c>
      <c r="K156" s="12" t="n">
        <v>8.020900716033058</v>
      </c>
      <c r="L156" s="13" t="n">
        <v>0.003614113449769119</v>
      </c>
      <c r="M156" s="11" t="n">
        <v>0.6342359925480828</v>
      </c>
      <c r="N156" s="5" t="n">
        <v>44</v>
      </c>
    </row>
    <row r="157">
      <c r="A157" s="10" t="n">
        <v>46266</v>
      </c>
      <c r="B157" s="5" t="inlineStr">
        <is>
          <t>Crhistoffer Miranda</t>
        </is>
      </c>
      <c r="C157" s="5" t="inlineStr">
        <is>
          <t>Marcia Assunção</t>
        </is>
      </c>
      <c r="D157" s="5" t="inlineStr">
        <is>
          <t>Voz</t>
        </is>
      </c>
      <c r="E157" s="5" t="inlineStr">
        <is>
          <t>Bronze/Prata</t>
        </is>
      </c>
      <c r="F157" s="5" t="inlineStr">
        <is>
          <t>Tarde</t>
        </is>
      </c>
      <c r="G157" s="5" t="n">
        <v>1057</v>
      </c>
      <c r="H157" s="11" t="n">
        <v>0.7903683203318812</v>
      </c>
      <c r="I157" s="11" t="n">
        <v>0.1154296421860636</v>
      </c>
      <c r="J157" s="11" t="n">
        <v>0.05494613033435944</v>
      </c>
      <c r="K157" s="12" t="n">
        <v>6.96054099796441</v>
      </c>
      <c r="L157" s="13" t="n">
        <v>0.005666335731389962</v>
      </c>
      <c r="M157" s="11" t="n">
        <v>0.6666647408367823</v>
      </c>
      <c r="N157" s="5" t="n">
        <v>44</v>
      </c>
    </row>
    <row r="158">
      <c r="A158" s="10" t="n">
        <v>46266</v>
      </c>
      <c r="B158" s="5" t="inlineStr">
        <is>
          <t>Crhistoffer Miranda</t>
        </is>
      </c>
      <c r="C158" s="5" t="inlineStr">
        <is>
          <t>Marcia Assunção</t>
        </is>
      </c>
      <c r="D158" s="5" t="inlineStr">
        <is>
          <t>Voz</t>
        </is>
      </c>
      <c r="E158" s="5" t="inlineStr">
        <is>
          <t>Ouro/Diamante</t>
        </is>
      </c>
      <c r="F158" s="5" t="inlineStr">
        <is>
          <t>Manhã</t>
        </is>
      </c>
      <c r="G158" s="5" t="n">
        <v>1690</v>
      </c>
      <c r="H158" s="11" t="n">
        <v>0.8595841816201752</v>
      </c>
      <c r="I158" s="11" t="n">
        <v>0.1339556453307175</v>
      </c>
      <c r="J158" s="11" t="n">
        <v>0.07873032137334453</v>
      </c>
      <c r="K158" s="12" t="n">
        <v>7.33226673448925</v>
      </c>
      <c r="L158" s="13" t="n">
        <v>0.008940859859098451</v>
      </c>
      <c r="M158" s="11" t="n">
        <v>0.5471320995179199</v>
      </c>
      <c r="N158" s="5" t="n">
        <v>66</v>
      </c>
    </row>
    <row r="159">
      <c r="A159" s="10" t="n">
        <v>46266</v>
      </c>
      <c r="B159" s="5" t="inlineStr">
        <is>
          <t>Crhistoffer Miranda</t>
        </is>
      </c>
      <c r="C159" s="5" t="inlineStr">
        <is>
          <t>Marcia Assunção</t>
        </is>
      </c>
      <c r="D159" s="5" t="inlineStr">
        <is>
          <t>Voz</t>
        </is>
      </c>
      <c r="E159" s="5" t="inlineStr">
        <is>
          <t>Ouro/Diamante</t>
        </is>
      </c>
      <c r="F159" s="5" t="inlineStr">
        <is>
          <t>Tarde</t>
        </is>
      </c>
      <c r="G159" s="5" t="n">
        <v>551</v>
      </c>
      <c r="H159" s="11" t="n">
        <v>0.9425778926532979</v>
      </c>
      <c r="I159" s="11" t="n">
        <v>0.04844388166275444</v>
      </c>
      <c r="J159" s="11" t="n">
        <v>0.1154906053026241</v>
      </c>
      <c r="K159" s="12" t="n">
        <v>7.759298744359143</v>
      </c>
      <c r="L159" s="13" t="n">
        <v>0.005778027821740793</v>
      </c>
      <c r="M159" s="11" t="n">
        <v>0.6868709251540934</v>
      </c>
      <c r="N159" s="5" t="n">
        <v>22</v>
      </c>
    </row>
    <row r="160">
      <c r="A160" s="10" t="n">
        <v>46266</v>
      </c>
      <c r="B160" s="5" t="inlineStr">
        <is>
          <t>Livia Cardoso</t>
        </is>
      </c>
      <c r="C160" s="5" t="inlineStr">
        <is>
          <t>Jaqueline Azevedo</t>
        </is>
      </c>
      <c r="D160" s="5" t="inlineStr">
        <is>
          <t>Chat</t>
        </is>
      </c>
      <c r="E160" s="5" t="inlineStr">
        <is>
          <t>Bronze/Prata</t>
        </is>
      </c>
      <c r="F160" s="5" t="inlineStr">
        <is>
          <t>Manhã</t>
        </is>
      </c>
      <c r="G160" s="5" t="n">
        <v>1172</v>
      </c>
      <c r="H160" s="11" t="n">
        <v>0.8049267042602027</v>
      </c>
      <c r="I160" s="11" t="n">
        <v>0.08865493081358056</v>
      </c>
      <c r="J160" s="11" t="n">
        <v>0.09769938852441075</v>
      </c>
      <c r="K160" s="12" t="n">
        <v>11.89188595102702</v>
      </c>
      <c r="L160" s="13" t="n">
        <v>0.008709159216158228</v>
      </c>
      <c r="M160" s="11" t="n">
        <v>0.690873453870814</v>
      </c>
      <c r="N160" s="5" t="n">
        <v>44</v>
      </c>
    </row>
    <row r="161">
      <c r="A161" s="10" t="n">
        <v>46266</v>
      </c>
      <c r="B161" s="5" t="inlineStr">
        <is>
          <t>Livia Cardoso</t>
        </is>
      </c>
      <c r="C161" s="5" t="inlineStr">
        <is>
          <t>Jaqueline Azevedo</t>
        </is>
      </c>
      <c r="D161" s="5" t="inlineStr">
        <is>
          <t>Chat</t>
        </is>
      </c>
      <c r="E161" s="5" t="inlineStr">
        <is>
          <t>Bronze/Prata</t>
        </is>
      </c>
      <c r="F161" s="5" t="inlineStr">
        <is>
          <t>Tarde</t>
        </is>
      </c>
      <c r="G161" s="5" t="n">
        <v>2894</v>
      </c>
      <c r="H161" s="11" t="n">
        <v>0.7909769533810357</v>
      </c>
      <c r="I161" s="11" t="n">
        <v>0.08263348314248521</v>
      </c>
      <c r="J161" s="11" t="n">
        <v>0.1304736520365197</v>
      </c>
      <c r="K161" s="12" t="n">
        <v>13.62260073301013</v>
      </c>
      <c r="L161" s="13" t="n">
        <v>0.007292475835560343</v>
      </c>
      <c r="M161" s="11" t="n">
        <v>0.5500867138546217</v>
      </c>
      <c r="N161" s="5" t="n">
        <v>110</v>
      </c>
    </row>
    <row r="162">
      <c r="A162" s="10" t="n">
        <v>46266</v>
      </c>
      <c r="B162" s="5" t="inlineStr">
        <is>
          <t>Livia Cardoso</t>
        </is>
      </c>
      <c r="C162" s="5" t="inlineStr">
        <is>
          <t>Jaqueline Azevedo</t>
        </is>
      </c>
      <c r="D162" s="5" t="inlineStr">
        <is>
          <t>Chat</t>
        </is>
      </c>
      <c r="E162" s="5" t="inlineStr">
        <is>
          <t>Ouro/Diamante</t>
        </is>
      </c>
      <c r="F162" s="5" t="inlineStr">
        <is>
          <t>Manhã</t>
        </is>
      </c>
      <c r="G162" s="5" t="n">
        <v>1129</v>
      </c>
      <c r="H162" s="11" t="n">
        <v>0.870389190005035</v>
      </c>
      <c r="I162" s="11" t="n">
        <v>0.1067481098471695</v>
      </c>
      <c r="J162" s="11" t="n">
        <v>0.1001221939409826</v>
      </c>
      <c r="K162" s="12" t="n">
        <v>13.05676607324478</v>
      </c>
      <c r="L162" s="13" t="n">
        <v>0.006999413345515759</v>
      </c>
      <c r="M162" s="11" t="n">
        <v>0.741139537462161</v>
      </c>
      <c r="N162" s="5" t="n">
        <v>44</v>
      </c>
    </row>
    <row r="163">
      <c r="A163" s="10" t="n">
        <v>46266</v>
      </c>
      <c r="B163" s="5" t="inlineStr">
        <is>
          <t>Livia Cardoso</t>
        </is>
      </c>
      <c r="C163" s="5" t="inlineStr">
        <is>
          <t>Jaqueline Azevedo</t>
        </is>
      </c>
      <c r="D163" s="5" t="inlineStr">
        <is>
          <t>Chat</t>
        </is>
      </c>
      <c r="E163" s="5" t="inlineStr">
        <is>
          <t>Ouro/Diamante</t>
        </is>
      </c>
      <c r="F163" s="5" t="inlineStr">
        <is>
          <t>Tarde</t>
        </is>
      </c>
      <c r="G163" s="5" t="n">
        <v>1495</v>
      </c>
      <c r="H163" s="11" t="n">
        <v>0.8638960691102689</v>
      </c>
      <c r="I163" s="11" t="n">
        <v>0.1057439827126298</v>
      </c>
      <c r="J163" s="11" t="n">
        <v>0.0917972252931811</v>
      </c>
      <c r="K163" s="12" t="n">
        <v>7.343674930848204</v>
      </c>
      <c r="L163" s="13" t="n">
        <v>0.008714914285484597</v>
      </c>
      <c r="M163" s="11" t="n">
        <v>0.5456230178674736</v>
      </c>
      <c r="N163" s="5" t="n">
        <v>66</v>
      </c>
    </row>
    <row r="164">
      <c r="A164" s="10" t="n">
        <v>46266</v>
      </c>
      <c r="B164" s="5" t="inlineStr">
        <is>
          <t>Livia Cardoso</t>
        </is>
      </c>
      <c r="C164" s="5" t="inlineStr">
        <is>
          <t>Jaqueline Azevedo</t>
        </is>
      </c>
      <c r="D164" s="5" t="inlineStr">
        <is>
          <t>Voz</t>
        </is>
      </c>
      <c r="E164" s="5" t="inlineStr">
        <is>
          <t>Bronze/Prata</t>
        </is>
      </c>
      <c r="F164" s="5" t="inlineStr">
        <is>
          <t>Manhã</t>
        </is>
      </c>
      <c r="G164" s="5" t="n">
        <v>999</v>
      </c>
      <c r="H164" s="11" t="n">
        <v>0.7872015397593026</v>
      </c>
      <c r="I164" s="11" t="n">
        <v>0.05903519298763527</v>
      </c>
      <c r="J164" s="11" t="n">
        <v>0.132160978375913</v>
      </c>
      <c r="K164" s="12" t="n">
        <v>5.886834978012001</v>
      </c>
      <c r="L164" s="13" t="n">
        <v>0.004090277065422015</v>
      </c>
      <c r="M164" s="11" t="n">
        <v>0.6935701929094018</v>
      </c>
      <c r="N164" s="5" t="n">
        <v>44</v>
      </c>
    </row>
    <row r="165">
      <c r="A165" s="10" t="n">
        <v>46266</v>
      </c>
      <c r="B165" s="5" t="inlineStr">
        <is>
          <t>Livia Cardoso</t>
        </is>
      </c>
      <c r="C165" s="5" t="inlineStr">
        <is>
          <t>Jaqueline Azevedo</t>
        </is>
      </c>
      <c r="D165" s="5" t="inlineStr">
        <is>
          <t>Voz</t>
        </is>
      </c>
      <c r="E165" s="5" t="inlineStr">
        <is>
          <t>Bronze/Prata</t>
        </is>
      </c>
      <c r="F165" s="5" t="inlineStr">
        <is>
          <t>Tarde</t>
        </is>
      </c>
      <c r="G165" s="5" t="n">
        <v>1313</v>
      </c>
      <c r="H165" s="11" t="n">
        <v>0.8934716785052137</v>
      </c>
      <c r="I165" s="11" t="n">
        <v>0.09683694220799144</v>
      </c>
      <c r="J165" s="11" t="n">
        <v>0.1286054666434782</v>
      </c>
      <c r="K165" s="12" t="n">
        <v>6.884081417073882</v>
      </c>
      <c r="L165" s="13" t="n">
        <v>0.004300480640682608</v>
      </c>
      <c r="M165" s="11" t="n">
        <v>0.5277256188158024</v>
      </c>
      <c r="N165" s="5" t="n">
        <v>66</v>
      </c>
    </row>
    <row r="166">
      <c r="A166" s="10" t="n">
        <v>46266</v>
      </c>
      <c r="B166" s="5" t="inlineStr">
        <is>
          <t>Livia Cardoso</t>
        </is>
      </c>
      <c r="C166" s="5" t="inlineStr">
        <is>
          <t>Jaqueline Azevedo</t>
        </is>
      </c>
      <c r="D166" s="5" t="inlineStr">
        <is>
          <t>Voz</t>
        </is>
      </c>
      <c r="E166" s="5" t="inlineStr">
        <is>
          <t>Ouro/Diamante</t>
        </is>
      </c>
      <c r="F166" s="5" t="inlineStr">
        <is>
          <t>Manhã</t>
        </is>
      </c>
      <c r="G166" s="5" t="n">
        <v>1869</v>
      </c>
      <c r="H166" s="11" t="n">
        <v>0.7800197390726111</v>
      </c>
      <c r="I166" s="11" t="n">
        <v>0.0519499406153512</v>
      </c>
      <c r="J166" s="11" t="n">
        <v>0.04636748065135778</v>
      </c>
      <c r="K166" s="12" t="n">
        <v>6.072923186677352</v>
      </c>
      <c r="L166" s="13" t="n">
        <v>0.007378810693652588</v>
      </c>
      <c r="M166" s="11" t="n">
        <v>0.732582657592812</v>
      </c>
      <c r="N166" s="5" t="n">
        <v>88</v>
      </c>
    </row>
    <row r="167">
      <c r="A167" s="10" t="n">
        <v>46266</v>
      </c>
      <c r="B167" s="5" t="inlineStr">
        <is>
          <t>Livia Cardoso</t>
        </is>
      </c>
      <c r="C167" s="5" t="inlineStr">
        <is>
          <t>Jaqueline Azevedo</t>
        </is>
      </c>
      <c r="D167" s="5" t="inlineStr">
        <is>
          <t>Voz</t>
        </is>
      </c>
      <c r="E167" s="5" t="inlineStr">
        <is>
          <t>Ouro/Diamante</t>
        </is>
      </c>
      <c r="F167" s="5" t="inlineStr">
        <is>
          <t>Tarde</t>
        </is>
      </c>
      <c r="G167" s="5" t="n">
        <v>465</v>
      </c>
      <c r="H167" s="11" t="n">
        <v>0.8224684198857493</v>
      </c>
      <c r="I167" s="11" t="n">
        <v>0.06932791866681109</v>
      </c>
      <c r="J167" s="11" t="n">
        <v>0.09919108071534342</v>
      </c>
      <c r="K167" s="12" t="n">
        <v>6.893524358161138</v>
      </c>
      <c r="L167" s="13" t="n">
        <v>0.002822515567546113</v>
      </c>
      <c r="M167" s="11" t="n">
        <v>0.607132667966257</v>
      </c>
      <c r="N167" s="5" t="n">
        <v>22</v>
      </c>
    </row>
    <row r="168">
      <c r="A168" s="10" t="n">
        <v>46266</v>
      </c>
      <c r="B168" s="5" t="inlineStr">
        <is>
          <t>Livia Cardoso</t>
        </is>
      </c>
      <c r="C168" s="5" t="inlineStr">
        <is>
          <t>Karina Nunes</t>
        </is>
      </c>
      <c r="D168" s="5" t="inlineStr">
        <is>
          <t>Chat</t>
        </is>
      </c>
      <c r="E168" s="5" t="inlineStr">
        <is>
          <t>Bronze/Prata</t>
        </is>
      </c>
      <c r="F168" s="5" t="inlineStr">
        <is>
          <t>Tarde</t>
        </is>
      </c>
      <c r="G168" s="5" t="n">
        <v>1778</v>
      </c>
      <c r="H168" s="11" t="n">
        <v>0.8044863682496197</v>
      </c>
      <c r="I168" s="11" t="n">
        <v>0.118524149853511</v>
      </c>
      <c r="J168" s="11" t="n">
        <v>0.04157449074925775</v>
      </c>
      <c r="K168" s="12" t="n">
        <v>10.07523045766514</v>
      </c>
      <c r="L168" s="13" t="n">
        <v>0.00736176861835698</v>
      </c>
      <c r="M168" s="11" t="n">
        <v>0.6128483912277518</v>
      </c>
      <c r="N168" s="5" t="n">
        <v>88</v>
      </c>
    </row>
    <row r="169">
      <c r="A169" s="10" t="n">
        <v>46266</v>
      </c>
      <c r="B169" s="5" t="inlineStr">
        <is>
          <t>Livia Cardoso</t>
        </is>
      </c>
      <c r="C169" s="5" t="inlineStr">
        <is>
          <t>Karina Nunes</t>
        </is>
      </c>
      <c r="D169" s="5" t="inlineStr">
        <is>
          <t>Chat</t>
        </is>
      </c>
      <c r="E169" s="5" t="inlineStr">
        <is>
          <t>Ouro/Diamante</t>
        </is>
      </c>
      <c r="F169" s="5" t="inlineStr">
        <is>
          <t>Manhã</t>
        </is>
      </c>
      <c r="G169" s="5" t="n">
        <v>1179</v>
      </c>
      <c r="H169" s="11" t="n">
        <v>0.8339307585762304</v>
      </c>
      <c r="I169" s="11" t="n">
        <v>0.1346314231933559</v>
      </c>
      <c r="J169" s="11" t="n">
        <v>0.03479822060042985</v>
      </c>
      <c r="K169" s="12" t="n">
        <v>13.26642516670538</v>
      </c>
      <c r="L169" s="13" t="n">
        <v>0.004969787148246089</v>
      </c>
      <c r="M169" s="11" t="n">
        <v>0.4509263905459057</v>
      </c>
      <c r="N169" s="5" t="n">
        <v>44</v>
      </c>
    </row>
    <row r="170">
      <c r="A170" s="10" t="n">
        <v>46266</v>
      </c>
      <c r="B170" s="5" t="inlineStr">
        <is>
          <t>Livia Cardoso</t>
        </is>
      </c>
      <c r="C170" s="5" t="inlineStr">
        <is>
          <t>Karina Nunes</t>
        </is>
      </c>
      <c r="D170" s="5" t="inlineStr">
        <is>
          <t>Chat</t>
        </is>
      </c>
      <c r="E170" s="5" t="inlineStr">
        <is>
          <t>Ouro/Diamante</t>
        </is>
      </c>
      <c r="F170" s="5" t="inlineStr">
        <is>
          <t>Tarde</t>
        </is>
      </c>
      <c r="G170" s="5" t="n">
        <v>1326</v>
      </c>
      <c r="H170" s="11" t="n">
        <v>0.9480944421838415</v>
      </c>
      <c r="I170" s="11" t="n">
        <v>0.1116312262351065</v>
      </c>
      <c r="J170" s="11" t="n">
        <v>0.1110980041298564</v>
      </c>
      <c r="K170" s="12" t="n">
        <v>12.67744485790736</v>
      </c>
      <c r="L170" s="13" t="n">
        <v>0.002044722752256621</v>
      </c>
      <c r="M170" s="11" t="n">
        <v>0.5420681198545634</v>
      </c>
      <c r="N170" s="5" t="n">
        <v>66</v>
      </c>
    </row>
    <row r="171">
      <c r="A171" s="10" t="n">
        <v>46266</v>
      </c>
      <c r="B171" s="5" t="inlineStr">
        <is>
          <t>Livia Cardoso</t>
        </is>
      </c>
      <c r="C171" s="5" t="inlineStr">
        <is>
          <t>Karina Nunes</t>
        </is>
      </c>
      <c r="D171" s="5" t="inlineStr">
        <is>
          <t>Voz</t>
        </is>
      </c>
      <c r="E171" s="5" t="inlineStr">
        <is>
          <t>Bronze/Prata</t>
        </is>
      </c>
      <c r="F171" s="5" t="inlineStr">
        <is>
          <t>Manhã</t>
        </is>
      </c>
      <c r="G171" s="5" t="n">
        <v>491</v>
      </c>
      <c r="H171" s="11" t="n">
        <v>0.9345716913221545</v>
      </c>
      <c r="I171" s="11" t="n">
        <v>0.1308007514685029</v>
      </c>
      <c r="J171" s="11" t="n">
        <v>0.04643976628756352</v>
      </c>
      <c r="K171" s="12" t="n">
        <v>9.436753174793072</v>
      </c>
      <c r="L171" s="13" t="n">
        <v>0.005880123794537374</v>
      </c>
      <c r="M171" s="11" t="n">
        <v>0.5413974261537952</v>
      </c>
      <c r="N171" s="5" t="n">
        <v>22</v>
      </c>
    </row>
    <row r="172">
      <c r="A172" s="10" t="n">
        <v>46266</v>
      </c>
      <c r="B172" s="5" t="inlineStr">
        <is>
          <t>Livia Cardoso</t>
        </is>
      </c>
      <c r="C172" s="5" t="inlineStr">
        <is>
          <t>Karina Nunes</t>
        </is>
      </c>
      <c r="D172" s="5" t="inlineStr">
        <is>
          <t>Voz</t>
        </is>
      </c>
      <c r="E172" s="5" t="inlineStr">
        <is>
          <t>Bronze/Prata</t>
        </is>
      </c>
      <c r="F172" s="5" t="inlineStr">
        <is>
          <t>Tarde</t>
        </is>
      </c>
      <c r="G172" s="5" t="n">
        <v>799</v>
      </c>
      <c r="H172" s="11" t="n">
        <v>0.8525400328174088</v>
      </c>
      <c r="I172" s="11" t="n">
        <v>0.09206022263119512</v>
      </c>
      <c r="J172" s="11" t="n">
        <v>0.07987821141476634</v>
      </c>
      <c r="K172" s="12" t="n">
        <v>6.052215767595395</v>
      </c>
      <c r="L172" s="13" t="n">
        <v>0.008634406372453326</v>
      </c>
      <c r="M172" s="11" t="n">
        <v>0.5925962070348837</v>
      </c>
      <c r="N172" s="5" t="n">
        <v>44</v>
      </c>
    </row>
    <row r="173">
      <c r="A173" s="10" t="n">
        <v>46266</v>
      </c>
      <c r="B173" s="5" t="inlineStr">
        <is>
          <t>Livia Cardoso</t>
        </is>
      </c>
      <c r="C173" s="5" t="inlineStr">
        <is>
          <t>Karina Nunes</t>
        </is>
      </c>
      <c r="D173" s="5" t="inlineStr">
        <is>
          <t>Voz</t>
        </is>
      </c>
      <c r="E173" s="5" t="inlineStr">
        <is>
          <t>Ouro/Diamante</t>
        </is>
      </c>
      <c r="F173" s="5" t="inlineStr">
        <is>
          <t>Manhã</t>
        </is>
      </c>
      <c r="G173" s="5" t="n">
        <v>907</v>
      </c>
      <c r="H173" s="11" t="n">
        <v>0.9121874159028602</v>
      </c>
      <c r="I173" s="11" t="n">
        <v>0.06442979439485605</v>
      </c>
      <c r="J173" s="11" t="n">
        <v>0.07650608198400838</v>
      </c>
      <c r="K173" s="12" t="n">
        <v>5.020438201094874</v>
      </c>
      <c r="L173" s="13" t="n">
        <v>0.003666239667616656</v>
      </c>
      <c r="M173" s="11" t="n">
        <v>0.7490968320687975</v>
      </c>
      <c r="N173" s="5" t="n">
        <v>44</v>
      </c>
    </row>
    <row r="174">
      <c r="A174" s="10" t="n">
        <v>46266</v>
      </c>
      <c r="B174" s="5" t="inlineStr">
        <is>
          <t>Livia Cardoso</t>
        </is>
      </c>
      <c r="C174" s="5" t="inlineStr">
        <is>
          <t>Karina Nunes</t>
        </is>
      </c>
      <c r="D174" s="5" t="inlineStr">
        <is>
          <t>Voz</t>
        </is>
      </c>
      <c r="E174" s="5" t="inlineStr">
        <is>
          <t>Ouro/Diamante</t>
        </is>
      </c>
      <c r="F174" s="5" t="inlineStr">
        <is>
          <t>Tarde</t>
        </is>
      </c>
      <c r="G174" s="5" t="n">
        <v>529</v>
      </c>
      <c r="H174" s="11" t="n">
        <v>0.8690172954100883</v>
      </c>
      <c r="I174" s="11" t="n">
        <v>0.1073292768541793</v>
      </c>
      <c r="J174" s="11" t="n">
        <v>0.1039401631214653</v>
      </c>
      <c r="K174" s="12" t="n">
        <v>7.106508080699199</v>
      </c>
      <c r="L174" s="13" t="n">
        <v>0.004567037026682659</v>
      </c>
      <c r="M174" s="11" t="n">
        <v>0.4942225516827539</v>
      </c>
      <c r="N174" s="5" t="n">
        <v>22</v>
      </c>
    </row>
    <row r="175">
      <c r="A175" s="10" t="n">
        <v>46266</v>
      </c>
      <c r="B175" s="5" t="inlineStr">
        <is>
          <t>Livia Cardoso</t>
        </is>
      </c>
      <c r="C175" s="5" t="inlineStr">
        <is>
          <t>Maicon Teixeira</t>
        </is>
      </c>
      <c r="D175" s="5" t="inlineStr">
        <is>
          <t>Chat</t>
        </is>
      </c>
      <c r="E175" s="5" t="inlineStr">
        <is>
          <t>Bronze/Prata</t>
        </is>
      </c>
      <c r="F175" s="5" t="inlineStr">
        <is>
          <t>Manhã</t>
        </is>
      </c>
      <c r="G175" s="5" t="n">
        <v>774</v>
      </c>
      <c r="H175" s="11" t="n">
        <v>0.8005591066553563</v>
      </c>
      <c r="I175" s="11" t="n">
        <v>0.08052794233961363</v>
      </c>
      <c r="J175" s="11" t="n">
        <v>0.03112423588056157</v>
      </c>
      <c r="K175" s="12" t="n">
        <v>11.72228929608023</v>
      </c>
      <c r="L175" s="13" t="n">
        <v>0.004360806576359812</v>
      </c>
      <c r="M175" s="11" t="n">
        <v>0.5200678040775338</v>
      </c>
      <c r="N175" s="5" t="n">
        <v>44</v>
      </c>
    </row>
    <row r="176">
      <c r="A176" s="10" t="n">
        <v>46266</v>
      </c>
      <c r="B176" s="5" t="inlineStr">
        <is>
          <t>Livia Cardoso</t>
        </is>
      </c>
      <c r="C176" s="5" t="inlineStr">
        <is>
          <t>Maicon Teixeira</t>
        </is>
      </c>
      <c r="D176" s="5" t="inlineStr">
        <is>
          <t>Chat</t>
        </is>
      </c>
      <c r="E176" s="5" t="inlineStr">
        <is>
          <t>Bronze/Prata</t>
        </is>
      </c>
      <c r="F176" s="5" t="inlineStr">
        <is>
          <t>Tarde</t>
        </is>
      </c>
      <c r="G176" s="5" t="n">
        <v>1365</v>
      </c>
      <c r="H176" s="11" t="n">
        <v>0.8637801327853089</v>
      </c>
      <c r="I176" s="11" t="n">
        <v>0.06095774950591425</v>
      </c>
      <c r="J176" s="11" t="n">
        <v>0.123761429143537</v>
      </c>
      <c r="K176" s="12" t="n">
        <v>10.38054232874435</v>
      </c>
      <c r="L176" s="13" t="n">
        <v>0.002480376548050822</v>
      </c>
      <c r="M176" s="11" t="n">
        <v>0.4755641422007741</v>
      </c>
      <c r="N176" s="5" t="n">
        <v>66</v>
      </c>
    </row>
    <row r="177">
      <c r="A177" s="10" t="n">
        <v>46266</v>
      </c>
      <c r="B177" s="5" t="inlineStr">
        <is>
          <t>Livia Cardoso</t>
        </is>
      </c>
      <c r="C177" s="5" t="inlineStr">
        <is>
          <t>Maicon Teixeira</t>
        </is>
      </c>
      <c r="D177" s="5" t="inlineStr">
        <is>
          <t>Chat</t>
        </is>
      </c>
      <c r="E177" s="5" t="inlineStr">
        <is>
          <t>Ouro/Diamante</t>
        </is>
      </c>
      <c r="F177" s="5" t="inlineStr">
        <is>
          <t>Manhã</t>
        </is>
      </c>
      <c r="G177" s="5" t="n">
        <v>593</v>
      </c>
      <c r="H177" s="11" t="n">
        <v>0.8782874430952284</v>
      </c>
      <c r="I177" s="11" t="n">
        <v>0.06913243322634274</v>
      </c>
      <c r="J177" s="11" t="n">
        <v>0.1084365928737299</v>
      </c>
      <c r="K177" s="12" t="n">
        <v>7.321913277364533</v>
      </c>
      <c r="L177" s="13" t="n">
        <v>0.008222331190681765</v>
      </c>
      <c r="M177" s="11" t="n">
        <v>0.730948363364089</v>
      </c>
      <c r="N177" s="5" t="n">
        <v>22</v>
      </c>
    </row>
    <row r="178">
      <c r="A178" s="10" t="n">
        <v>46266</v>
      </c>
      <c r="B178" s="5" t="inlineStr">
        <is>
          <t>Livia Cardoso</t>
        </is>
      </c>
      <c r="C178" s="5" t="inlineStr">
        <is>
          <t>Maicon Teixeira</t>
        </is>
      </c>
      <c r="D178" s="5" t="inlineStr">
        <is>
          <t>Chat</t>
        </is>
      </c>
      <c r="E178" s="5" t="inlineStr">
        <is>
          <t>Ouro/Diamante</t>
        </is>
      </c>
      <c r="F178" s="5" t="inlineStr">
        <is>
          <t>Tarde</t>
        </is>
      </c>
      <c r="G178" s="5" t="n">
        <v>1618</v>
      </c>
      <c r="H178" s="11" t="n">
        <v>0.7885816840048351</v>
      </c>
      <c r="I178" s="11" t="n">
        <v>0.08257689380458255</v>
      </c>
      <c r="J178" s="11" t="n">
        <v>0.1220527330471022</v>
      </c>
      <c r="K178" s="12" t="n">
        <v>11.15418648013787</v>
      </c>
      <c r="L178" s="13" t="n">
        <v>0.00346288709684728</v>
      </c>
      <c r="M178" s="11" t="n">
        <v>0.5203318290846137</v>
      </c>
      <c r="N178" s="5" t="n">
        <v>66</v>
      </c>
    </row>
    <row r="179">
      <c r="A179" s="10" t="n">
        <v>46266</v>
      </c>
      <c r="B179" s="5" t="inlineStr">
        <is>
          <t>Livia Cardoso</t>
        </is>
      </c>
      <c r="C179" s="5" t="inlineStr">
        <is>
          <t>Maicon Teixeira</t>
        </is>
      </c>
      <c r="D179" s="5" t="inlineStr">
        <is>
          <t>Voz</t>
        </is>
      </c>
      <c r="E179" s="5" t="inlineStr">
        <is>
          <t>Bronze/Prata</t>
        </is>
      </c>
      <c r="F179" s="5" t="inlineStr">
        <is>
          <t>Manhã</t>
        </is>
      </c>
      <c r="G179" s="5" t="n">
        <v>395</v>
      </c>
      <c r="H179" s="11" t="n">
        <v>0.8687107281606692</v>
      </c>
      <c r="I179" s="11" t="n">
        <v>0.05813792826451372</v>
      </c>
      <c r="J179" s="11" t="n">
        <v>0.0790069465635812</v>
      </c>
      <c r="K179" s="12" t="n">
        <v>8.977925746458641</v>
      </c>
      <c r="L179" s="13" t="n">
        <v>0.008305944491399448</v>
      </c>
      <c r="M179" s="11" t="n">
        <v>0.5975649287701706</v>
      </c>
      <c r="N179" s="5" t="n">
        <v>22</v>
      </c>
    </row>
    <row r="180">
      <c r="A180" s="10" t="n">
        <v>46266</v>
      </c>
      <c r="B180" s="5" t="inlineStr">
        <is>
          <t>Livia Cardoso</t>
        </is>
      </c>
      <c r="C180" s="5" t="inlineStr">
        <is>
          <t>Maicon Teixeira</t>
        </is>
      </c>
      <c r="D180" s="5" t="inlineStr">
        <is>
          <t>Voz</t>
        </is>
      </c>
      <c r="E180" s="5" t="inlineStr">
        <is>
          <t>Bronze/Prata</t>
        </is>
      </c>
      <c r="F180" s="5" t="inlineStr">
        <is>
          <t>Tarde</t>
        </is>
      </c>
      <c r="G180" s="5" t="n">
        <v>568</v>
      </c>
      <c r="H180" s="11" t="n">
        <v>0.8027872182100931</v>
      </c>
      <c r="I180" s="11" t="n">
        <v>0.1347755628548192</v>
      </c>
      <c r="J180" s="11" t="n">
        <v>0.1252042171352751</v>
      </c>
      <c r="K180" s="12" t="n">
        <v>6.913602065850991</v>
      </c>
      <c r="L180" s="13" t="n">
        <v>0.008202111894485886</v>
      </c>
      <c r="M180" s="11" t="n">
        <v>0.5391844914972108</v>
      </c>
      <c r="N180" s="5" t="n">
        <v>22</v>
      </c>
    </row>
    <row r="181">
      <c r="A181" s="10" t="n">
        <v>46266</v>
      </c>
      <c r="B181" s="5" t="inlineStr">
        <is>
          <t>Livia Cardoso</t>
        </is>
      </c>
      <c r="C181" s="5" t="inlineStr">
        <is>
          <t>Maicon Teixeira</t>
        </is>
      </c>
      <c r="D181" s="5" t="inlineStr">
        <is>
          <t>Voz</t>
        </is>
      </c>
      <c r="E181" s="5" t="inlineStr">
        <is>
          <t>Ouro/Diamante</t>
        </is>
      </c>
      <c r="F181" s="5" t="inlineStr">
        <is>
          <t>Manhã</t>
        </is>
      </c>
      <c r="G181" s="5" t="n">
        <v>1230</v>
      </c>
      <c r="H181" s="11" t="n">
        <v>0.8348852918564483</v>
      </c>
      <c r="I181" s="11" t="n">
        <v>0.1324341062903873</v>
      </c>
      <c r="J181" s="11" t="n">
        <v>0.1220844786375887</v>
      </c>
      <c r="K181" s="12" t="n">
        <v>9.17263188141705</v>
      </c>
      <c r="L181" s="13" t="n">
        <v>0.007088736882123733</v>
      </c>
      <c r="M181" s="11" t="n">
        <v>0.4719983194368612</v>
      </c>
      <c r="N181" s="5" t="n">
        <v>44</v>
      </c>
    </row>
    <row r="182">
      <c r="A182" s="10" t="n">
        <v>46266</v>
      </c>
      <c r="B182" s="5" t="inlineStr">
        <is>
          <t>Livia Cardoso</t>
        </is>
      </c>
      <c r="C182" s="5" t="inlineStr">
        <is>
          <t>Maicon Teixeira</t>
        </is>
      </c>
      <c r="D182" s="5" t="inlineStr">
        <is>
          <t>Voz</t>
        </is>
      </c>
      <c r="E182" s="5" t="inlineStr">
        <is>
          <t>Ouro/Diamante</t>
        </is>
      </c>
      <c r="F182" s="5" t="inlineStr">
        <is>
          <t>Tarde</t>
        </is>
      </c>
      <c r="G182" s="5" t="n">
        <v>894</v>
      </c>
      <c r="H182" s="11" t="n">
        <v>0.8914651471607252</v>
      </c>
      <c r="I182" s="11" t="n">
        <v>0.130862062801924</v>
      </c>
      <c r="J182" s="11" t="n">
        <v>0.1048985857300337</v>
      </c>
      <c r="K182" s="12" t="n">
        <v>4.695175250744246</v>
      </c>
      <c r="L182" s="13" t="n">
        <v>0.004433405336741744</v>
      </c>
      <c r="M182" s="11" t="n">
        <v>0.5535223397289928</v>
      </c>
      <c r="N182" s="5" t="n">
        <v>44</v>
      </c>
    </row>
    <row r="183">
      <c r="A183" s="10" t="n">
        <v>46266</v>
      </c>
      <c r="B183" s="5" t="inlineStr">
        <is>
          <t>Livia Cardoso</t>
        </is>
      </c>
      <c r="C183" s="5" t="inlineStr">
        <is>
          <t>Ualifer Azevedo</t>
        </is>
      </c>
      <c r="D183" s="5" t="inlineStr">
        <is>
          <t>Chat</t>
        </is>
      </c>
      <c r="E183" s="5" t="inlineStr">
        <is>
          <t>Bronze/Prata</t>
        </is>
      </c>
      <c r="F183" s="5" t="inlineStr">
        <is>
          <t>Manhã</t>
        </is>
      </c>
      <c r="G183" s="5" t="n">
        <v>421</v>
      </c>
      <c r="H183" s="11" t="n">
        <v>0.8182537752000685</v>
      </c>
      <c r="I183" s="11" t="n">
        <v>0.0916160759411255</v>
      </c>
      <c r="J183" s="11" t="n">
        <v>0.07100838159344919</v>
      </c>
      <c r="K183" s="12" t="n">
        <v>8.869266874691755</v>
      </c>
      <c r="L183" s="13" t="n">
        <v>0.004884395270443207</v>
      </c>
      <c r="M183" s="11" t="n">
        <v>0.7341693324297012</v>
      </c>
      <c r="N183" s="5" t="n">
        <v>22</v>
      </c>
    </row>
    <row r="184">
      <c r="A184" s="10" t="n">
        <v>46266</v>
      </c>
      <c r="B184" s="5" t="inlineStr">
        <is>
          <t>Livia Cardoso</t>
        </is>
      </c>
      <c r="C184" s="5" t="inlineStr">
        <is>
          <t>Ualifer Azevedo</t>
        </is>
      </c>
      <c r="D184" s="5" t="inlineStr">
        <is>
          <t>Chat</t>
        </is>
      </c>
      <c r="E184" s="5" t="inlineStr">
        <is>
          <t>Bronze/Prata</t>
        </is>
      </c>
      <c r="F184" s="5" t="inlineStr">
        <is>
          <t>Tarde</t>
        </is>
      </c>
      <c r="G184" s="5" t="n">
        <v>2616</v>
      </c>
      <c r="H184" s="11" t="n">
        <v>0.9078180831012408</v>
      </c>
      <c r="I184" s="11" t="n">
        <v>0.1332662270345832</v>
      </c>
      <c r="J184" s="11" t="n">
        <v>0.03340457348230641</v>
      </c>
      <c r="K184" s="12" t="n">
        <v>13.16297880047688</v>
      </c>
      <c r="L184" s="13" t="n">
        <v>0.002666030074945669</v>
      </c>
      <c r="M184" s="11" t="n">
        <v>0.5088817899887463</v>
      </c>
      <c r="N184" s="5" t="n">
        <v>110</v>
      </c>
    </row>
    <row r="185">
      <c r="A185" s="10" t="n">
        <v>46266</v>
      </c>
      <c r="B185" s="5" t="inlineStr">
        <is>
          <t>Livia Cardoso</t>
        </is>
      </c>
      <c r="C185" s="5" t="inlineStr">
        <is>
          <t>Ualifer Azevedo</t>
        </is>
      </c>
      <c r="D185" s="5" t="inlineStr">
        <is>
          <t>Chat</t>
        </is>
      </c>
      <c r="E185" s="5" t="inlineStr">
        <is>
          <t>Ouro/Diamante</t>
        </is>
      </c>
      <c r="F185" s="5" t="inlineStr">
        <is>
          <t>Manhã</t>
        </is>
      </c>
      <c r="G185" s="5" t="n">
        <v>557</v>
      </c>
      <c r="H185" s="11" t="n">
        <v>0.907996464292201</v>
      </c>
      <c r="I185" s="11" t="n">
        <v>0.101480973577376</v>
      </c>
      <c r="J185" s="11" t="n">
        <v>0.08236740487734122</v>
      </c>
      <c r="K185" s="12" t="n">
        <v>12.05506172624212</v>
      </c>
      <c r="L185" s="13" t="n">
        <v>0.004995857119469049</v>
      </c>
      <c r="M185" s="11" t="n">
        <v>0.5083179504495218</v>
      </c>
      <c r="N185" s="5" t="n">
        <v>22</v>
      </c>
    </row>
    <row r="186">
      <c r="A186" s="10" t="n">
        <v>46266</v>
      </c>
      <c r="B186" s="5" t="inlineStr">
        <is>
          <t>Livia Cardoso</t>
        </is>
      </c>
      <c r="C186" s="5" t="inlineStr">
        <is>
          <t>Ualifer Azevedo</t>
        </is>
      </c>
      <c r="D186" s="5" t="inlineStr">
        <is>
          <t>Chat</t>
        </is>
      </c>
      <c r="E186" s="5" t="inlineStr">
        <is>
          <t>Ouro/Diamante</t>
        </is>
      </c>
      <c r="F186" s="5" t="inlineStr">
        <is>
          <t>Tarde</t>
        </is>
      </c>
      <c r="G186" s="5" t="n">
        <v>2163</v>
      </c>
      <c r="H186" s="11" t="n">
        <v>0.7991584384130953</v>
      </c>
      <c r="I186" s="11" t="n">
        <v>0.0436723236576565</v>
      </c>
      <c r="J186" s="11" t="n">
        <v>0.1347170129017191</v>
      </c>
      <c r="K186" s="12" t="n">
        <v>13.65115185522278</v>
      </c>
      <c r="L186" s="13" t="n">
        <v>0.004440123864251399</v>
      </c>
      <c r="M186" s="11" t="n">
        <v>0.5737484343330964</v>
      </c>
      <c r="N186" s="5" t="n">
        <v>110</v>
      </c>
    </row>
    <row r="187">
      <c r="A187" s="10" t="n">
        <v>46266</v>
      </c>
      <c r="B187" s="5" t="inlineStr">
        <is>
          <t>Livia Cardoso</t>
        </is>
      </c>
      <c r="C187" s="5" t="inlineStr">
        <is>
          <t>Ualifer Azevedo</t>
        </is>
      </c>
      <c r="D187" s="5" t="inlineStr">
        <is>
          <t>Voz</t>
        </is>
      </c>
      <c r="E187" s="5" t="inlineStr">
        <is>
          <t>Bronze/Prata</t>
        </is>
      </c>
      <c r="F187" s="5" t="inlineStr">
        <is>
          <t>Manhã</t>
        </is>
      </c>
      <c r="G187" s="5" t="n">
        <v>893</v>
      </c>
      <c r="H187" s="11" t="n">
        <v>0.9128209764722093</v>
      </c>
      <c r="I187" s="11" t="n">
        <v>0.08924023324802167</v>
      </c>
      <c r="J187" s="11" t="n">
        <v>0.04874730233382794</v>
      </c>
      <c r="K187" s="12" t="n">
        <v>8.920785974503634</v>
      </c>
      <c r="L187" s="13" t="n">
        <v>0.008500771747936774</v>
      </c>
      <c r="M187" s="11" t="n">
        <v>0.4639453495091401</v>
      </c>
      <c r="N187" s="5" t="n">
        <v>44</v>
      </c>
    </row>
    <row r="188">
      <c r="A188" s="10" t="n">
        <v>46266</v>
      </c>
      <c r="B188" s="5" t="inlineStr">
        <is>
          <t>Livia Cardoso</t>
        </is>
      </c>
      <c r="C188" s="5" t="inlineStr">
        <is>
          <t>Ualifer Azevedo</t>
        </is>
      </c>
      <c r="D188" s="5" t="inlineStr">
        <is>
          <t>Voz</t>
        </is>
      </c>
      <c r="E188" s="5" t="inlineStr">
        <is>
          <t>Bronze/Prata</t>
        </is>
      </c>
      <c r="F188" s="5" t="inlineStr">
        <is>
          <t>Tarde</t>
        </is>
      </c>
      <c r="G188" s="5" t="n">
        <v>2450</v>
      </c>
      <c r="H188" s="11" t="n">
        <v>0.8175657178820017</v>
      </c>
      <c r="I188" s="11" t="n">
        <v>0.1039104682931086</v>
      </c>
      <c r="J188" s="11" t="n">
        <v>0.06945940290570818</v>
      </c>
      <c r="K188" s="12" t="n">
        <v>5.989330794270456</v>
      </c>
      <c r="L188" s="13" t="n">
        <v>0.004116826765503696</v>
      </c>
      <c r="M188" s="11" t="n">
        <v>0.6321990303588142</v>
      </c>
      <c r="N188" s="5" t="n">
        <v>110</v>
      </c>
    </row>
    <row r="189">
      <c r="A189" s="10" t="n">
        <v>46266</v>
      </c>
      <c r="B189" s="5" t="inlineStr">
        <is>
          <t>Livia Cardoso</t>
        </is>
      </c>
      <c r="C189" s="5" t="inlineStr">
        <is>
          <t>Ualifer Azevedo</t>
        </is>
      </c>
      <c r="D189" s="5" t="inlineStr">
        <is>
          <t>Voz</t>
        </is>
      </c>
      <c r="E189" s="5" t="inlineStr">
        <is>
          <t>Ouro/Diamante</t>
        </is>
      </c>
      <c r="F189" s="5" t="inlineStr">
        <is>
          <t>Manhã</t>
        </is>
      </c>
      <c r="G189" s="5" t="n">
        <v>2003</v>
      </c>
      <c r="H189" s="11" t="n">
        <v>0.8629243496803853</v>
      </c>
      <c r="I189" s="11" t="n">
        <v>0.1080585124835091</v>
      </c>
      <c r="J189" s="11" t="n">
        <v>0.08205847152865439</v>
      </c>
      <c r="K189" s="12" t="n">
        <v>9.234247937552912</v>
      </c>
      <c r="L189" s="13" t="n">
        <v>0.005070529169504715</v>
      </c>
      <c r="M189" s="11" t="n">
        <v>0.6875122575566767</v>
      </c>
      <c r="N189" s="5" t="n">
        <v>88</v>
      </c>
    </row>
    <row r="190">
      <c r="A190" s="10" t="n">
        <v>46266</v>
      </c>
      <c r="B190" s="5" t="inlineStr">
        <is>
          <t>Livia Cardoso</t>
        </is>
      </c>
      <c r="C190" s="5" t="inlineStr">
        <is>
          <t>Ualifer Azevedo</t>
        </is>
      </c>
      <c r="D190" s="5" t="inlineStr">
        <is>
          <t>Voz</t>
        </is>
      </c>
      <c r="E190" s="5" t="inlineStr">
        <is>
          <t>Ouro/Diamante</t>
        </is>
      </c>
      <c r="F190" s="5" t="inlineStr">
        <is>
          <t>Tarde</t>
        </is>
      </c>
      <c r="G190" s="5" t="n">
        <v>603</v>
      </c>
      <c r="H190" s="11" t="n">
        <v>0.8856906103593285</v>
      </c>
      <c r="I190" s="11" t="n">
        <v>0.0989402854636405</v>
      </c>
      <c r="J190" s="11" t="n">
        <v>0.1168702233428928</v>
      </c>
      <c r="K190" s="12" t="n">
        <v>8.059466250170482</v>
      </c>
      <c r="L190" s="13" t="n">
        <v>0.003354355571725744</v>
      </c>
      <c r="M190" s="11" t="n">
        <v>0.5750375317526897</v>
      </c>
      <c r="N190" s="5" t="n">
        <v>22</v>
      </c>
    </row>
    <row r="191">
      <c r="A191" s="10" t="n">
        <v>46296</v>
      </c>
      <c r="B191" s="5" t="inlineStr">
        <is>
          <t>Crhistoffer Miranda</t>
        </is>
      </c>
      <c r="C191" s="5" t="inlineStr">
        <is>
          <t>Bruna Almeida</t>
        </is>
      </c>
      <c r="D191" s="5" t="inlineStr">
        <is>
          <t>Chat</t>
        </is>
      </c>
      <c r="E191" s="5" t="inlineStr">
        <is>
          <t>Bronze/Prata</t>
        </is>
      </c>
      <c r="F191" s="5" t="inlineStr">
        <is>
          <t>Manhã</t>
        </is>
      </c>
      <c r="G191" s="5" t="n">
        <v>417</v>
      </c>
      <c r="H191" s="11" t="n">
        <v>0.7835818495618995</v>
      </c>
      <c r="I191" s="11" t="n">
        <v>0.1087279362783689</v>
      </c>
      <c r="J191" s="11" t="n">
        <v>0.0661661033103364</v>
      </c>
      <c r="K191" s="12" t="n">
        <v>8.783398407631278</v>
      </c>
      <c r="L191" s="13" t="n">
        <v>0.002182291380562978</v>
      </c>
      <c r="M191" s="11" t="n">
        <v>0.4567732971865517</v>
      </c>
      <c r="N191" s="5" t="n">
        <v>22</v>
      </c>
    </row>
    <row r="192">
      <c r="A192" s="10" t="n">
        <v>46296</v>
      </c>
      <c r="B192" s="5" t="inlineStr">
        <is>
          <t>Crhistoffer Miranda</t>
        </is>
      </c>
      <c r="C192" s="5" t="inlineStr">
        <is>
          <t>Bruna Almeida</t>
        </is>
      </c>
      <c r="D192" s="5" t="inlineStr">
        <is>
          <t>Chat</t>
        </is>
      </c>
      <c r="E192" s="5" t="inlineStr">
        <is>
          <t>Bronze/Prata</t>
        </is>
      </c>
      <c r="F192" s="5" t="inlineStr">
        <is>
          <t>Tarde</t>
        </is>
      </c>
      <c r="G192" s="5" t="n">
        <v>1082</v>
      </c>
      <c r="H192" s="11" t="n">
        <v>0.8408380527813538</v>
      </c>
      <c r="I192" s="11" t="n">
        <v>0.08360504946632585</v>
      </c>
      <c r="J192" s="11" t="n">
        <v>0.104346000015105</v>
      </c>
      <c r="K192" s="12" t="n">
        <v>13.35265484303248</v>
      </c>
      <c r="L192" s="13" t="n">
        <v>0.006906762970083413</v>
      </c>
      <c r="M192" s="11" t="n">
        <v>0.5157803080958296</v>
      </c>
      <c r="N192" s="5" t="n">
        <v>44</v>
      </c>
    </row>
    <row r="193">
      <c r="A193" s="10" t="n">
        <v>46296</v>
      </c>
      <c r="B193" s="5" t="inlineStr">
        <is>
          <t>Crhistoffer Miranda</t>
        </is>
      </c>
      <c r="C193" s="5" t="inlineStr">
        <is>
          <t>Bruna Almeida</t>
        </is>
      </c>
      <c r="D193" s="5" t="inlineStr">
        <is>
          <t>Chat</t>
        </is>
      </c>
      <c r="E193" s="5" t="inlineStr">
        <is>
          <t>Ouro/Diamante</t>
        </is>
      </c>
      <c r="F193" s="5" t="inlineStr">
        <is>
          <t>Manhã</t>
        </is>
      </c>
      <c r="G193" s="5" t="n">
        <v>1852</v>
      </c>
      <c r="H193" s="11" t="n">
        <v>0.8112253851998957</v>
      </c>
      <c r="I193" s="11" t="n">
        <v>0.09807532964872048</v>
      </c>
      <c r="J193" s="11" t="n">
        <v>0.1008402544636165</v>
      </c>
      <c r="K193" s="12" t="n">
        <v>9.011922231978566</v>
      </c>
      <c r="L193" s="13" t="n">
        <v>0.008222926880605729</v>
      </c>
      <c r="M193" s="11" t="n">
        <v>0.6329992161581699</v>
      </c>
      <c r="N193" s="5" t="n">
        <v>66</v>
      </c>
    </row>
    <row r="194">
      <c r="A194" s="10" t="n">
        <v>46296</v>
      </c>
      <c r="B194" s="5" t="inlineStr">
        <is>
          <t>Crhistoffer Miranda</t>
        </is>
      </c>
      <c r="C194" s="5" t="inlineStr">
        <is>
          <t>Bruna Almeida</t>
        </is>
      </c>
      <c r="D194" s="5" t="inlineStr">
        <is>
          <t>Chat</t>
        </is>
      </c>
      <c r="E194" s="5" t="inlineStr">
        <is>
          <t>Ouro/Diamante</t>
        </is>
      </c>
      <c r="F194" s="5" t="inlineStr">
        <is>
          <t>Tarde</t>
        </is>
      </c>
      <c r="G194" s="5" t="n">
        <v>1100</v>
      </c>
      <c r="H194" s="11" t="n">
        <v>0.8035541717922986</v>
      </c>
      <c r="I194" s="11" t="n">
        <v>0.1232271408169644</v>
      </c>
      <c r="J194" s="11" t="n">
        <v>0.06160199582272682</v>
      </c>
      <c r="K194" s="12" t="n">
        <v>11.32672611461752</v>
      </c>
      <c r="L194" s="13" t="n">
        <v>0.007158777819426564</v>
      </c>
      <c r="M194" s="11" t="n">
        <v>0.5466602877929188</v>
      </c>
      <c r="N194" s="5" t="n">
        <v>44</v>
      </c>
    </row>
    <row r="195">
      <c r="A195" s="10" t="n">
        <v>46296</v>
      </c>
      <c r="B195" s="5" t="inlineStr">
        <is>
          <t>Crhistoffer Miranda</t>
        </is>
      </c>
      <c r="C195" s="5" t="inlineStr">
        <is>
          <t>Bruna Almeida</t>
        </is>
      </c>
      <c r="D195" s="5" t="inlineStr">
        <is>
          <t>Voz</t>
        </is>
      </c>
      <c r="E195" s="5" t="inlineStr">
        <is>
          <t>Bronze/Prata</t>
        </is>
      </c>
      <c r="F195" s="5" t="inlineStr">
        <is>
          <t>Manhã</t>
        </is>
      </c>
      <c r="G195" s="5" t="n">
        <v>887</v>
      </c>
      <c r="H195" s="11" t="n">
        <v>0.8361687342515672</v>
      </c>
      <c r="I195" s="11" t="n">
        <v>0.1378232698773929</v>
      </c>
      <c r="J195" s="11" t="n">
        <v>0.1023311879009154</v>
      </c>
      <c r="K195" s="12" t="n">
        <v>6.856282681542502</v>
      </c>
      <c r="L195" s="13" t="n">
        <v>0.00593360668741228</v>
      </c>
      <c r="M195" s="11" t="n">
        <v>0.6467162294011874</v>
      </c>
      <c r="N195" s="5" t="n">
        <v>44</v>
      </c>
    </row>
    <row r="196">
      <c r="A196" s="10" t="n">
        <v>46296</v>
      </c>
      <c r="B196" s="5" t="inlineStr">
        <is>
          <t>Crhistoffer Miranda</t>
        </is>
      </c>
      <c r="C196" s="5" t="inlineStr">
        <is>
          <t>Bruna Almeida</t>
        </is>
      </c>
      <c r="D196" s="5" t="inlineStr">
        <is>
          <t>Voz</t>
        </is>
      </c>
      <c r="E196" s="5" t="inlineStr">
        <is>
          <t>Bronze/Prata</t>
        </is>
      </c>
      <c r="F196" s="5" t="inlineStr">
        <is>
          <t>Tarde</t>
        </is>
      </c>
      <c r="G196" s="5" t="n">
        <v>1328</v>
      </c>
      <c r="H196" s="11" t="n">
        <v>0.7928984050868887</v>
      </c>
      <c r="I196" s="11" t="n">
        <v>0.05091568699738384</v>
      </c>
      <c r="J196" s="11" t="n">
        <v>0.09403099806199905</v>
      </c>
      <c r="K196" s="12" t="n">
        <v>7.493609659652799</v>
      </c>
      <c r="L196" s="13" t="n">
        <v>0.008845756109996692</v>
      </c>
      <c r="M196" s="11" t="n">
        <v>0.6362853417696104</v>
      </c>
      <c r="N196" s="5" t="n">
        <v>66</v>
      </c>
    </row>
    <row r="197">
      <c r="A197" s="10" t="n">
        <v>46296</v>
      </c>
      <c r="B197" s="5" t="inlineStr">
        <is>
          <t>Crhistoffer Miranda</t>
        </is>
      </c>
      <c r="C197" s="5" t="inlineStr">
        <is>
          <t>Bruna Almeida</t>
        </is>
      </c>
      <c r="D197" s="5" t="inlineStr">
        <is>
          <t>Voz</t>
        </is>
      </c>
      <c r="E197" s="5" t="inlineStr">
        <is>
          <t>Ouro/Diamante</t>
        </is>
      </c>
      <c r="F197" s="5" t="inlineStr">
        <is>
          <t>Manhã</t>
        </is>
      </c>
      <c r="G197" s="5" t="n">
        <v>1169</v>
      </c>
      <c r="H197" s="11" t="n">
        <v>0.947762400305266</v>
      </c>
      <c r="I197" s="11" t="n">
        <v>0.08964322066146968</v>
      </c>
      <c r="J197" s="11" t="n">
        <v>0.0763851700278457</v>
      </c>
      <c r="K197" s="12" t="n">
        <v>6.855955079254164</v>
      </c>
      <c r="L197" s="13" t="n">
        <v>0.004601837249482383</v>
      </c>
      <c r="M197" s="11" t="n">
        <v>0.6780383765479541</v>
      </c>
      <c r="N197" s="5" t="n">
        <v>44</v>
      </c>
    </row>
    <row r="198">
      <c r="A198" s="10" t="n">
        <v>46296</v>
      </c>
      <c r="B198" s="5" t="inlineStr">
        <is>
          <t>Crhistoffer Miranda</t>
        </is>
      </c>
      <c r="C198" s="5" t="inlineStr">
        <is>
          <t>Bruna Almeida</t>
        </is>
      </c>
      <c r="D198" s="5" t="inlineStr">
        <is>
          <t>Voz</t>
        </is>
      </c>
      <c r="E198" s="5" t="inlineStr">
        <is>
          <t>Ouro/Diamante</t>
        </is>
      </c>
      <c r="F198" s="5" t="inlineStr">
        <is>
          <t>Tarde</t>
        </is>
      </c>
      <c r="G198" s="5" t="n">
        <v>2590</v>
      </c>
      <c r="H198" s="11" t="n">
        <v>0.8008350620713554</v>
      </c>
      <c r="I198" s="11" t="n">
        <v>0.1355434814023856</v>
      </c>
      <c r="J198" s="11" t="n">
        <v>0.08790765424588459</v>
      </c>
      <c r="K198" s="12" t="n">
        <v>8.243576281865854</v>
      </c>
      <c r="L198" s="13" t="n">
        <v>0.005831854286532534</v>
      </c>
      <c r="M198" s="11" t="n">
        <v>0.6265560417184518</v>
      </c>
      <c r="N198" s="5" t="n">
        <v>110</v>
      </c>
    </row>
    <row r="199">
      <c r="A199" s="10" t="n">
        <v>46296</v>
      </c>
      <c r="B199" s="5" t="inlineStr">
        <is>
          <t>Crhistoffer Miranda</t>
        </is>
      </c>
      <c r="C199" s="5" t="inlineStr">
        <is>
          <t>Emir Anjos</t>
        </is>
      </c>
      <c r="D199" s="5" t="inlineStr">
        <is>
          <t>Chat</t>
        </is>
      </c>
      <c r="E199" s="5" t="inlineStr">
        <is>
          <t>Bronze/Prata</t>
        </is>
      </c>
      <c r="F199" s="5" t="inlineStr">
        <is>
          <t>Manhã</t>
        </is>
      </c>
      <c r="G199" s="5" t="n">
        <v>518</v>
      </c>
      <c r="H199" s="11" t="n">
        <v>0.7994953751145677</v>
      </c>
      <c r="I199" s="11" t="n">
        <v>0.05308199085613545</v>
      </c>
      <c r="J199" s="11" t="n">
        <v>0.1103999307554044</v>
      </c>
      <c r="K199" s="12" t="n">
        <v>9.446817792721033</v>
      </c>
      <c r="L199" s="13" t="n">
        <v>0.002901616337741023</v>
      </c>
      <c r="M199" s="11" t="n">
        <v>0.6946423610921927</v>
      </c>
      <c r="N199" s="5" t="n">
        <v>22</v>
      </c>
    </row>
    <row r="200">
      <c r="A200" s="10" t="n">
        <v>46296</v>
      </c>
      <c r="B200" s="5" t="inlineStr">
        <is>
          <t>Crhistoffer Miranda</t>
        </is>
      </c>
      <c r="C200" s="5" t="inlineStr">
        <is>
          <t>Emir Anjos</t>
        </is>
      </c>
      <c r="D200" s="5" t="inlineStr">
        <is>
          <t>Chat</t>
        </is>
      </c>
      <c r="E200" s="5" t="inlineStr">
        <is>
          <t>Bronze/Prata</t>
        </is>
      </c>
      <c r="F200" s="5" t="inlineStr">
        <is>
          <t>Tarde</t>
        </is>
      </c>
      <c r="G200" s="5" t="n">
        <v>1678</v>
      </c>
      <c r="H200" s="11" t="n">
        <v>0.9098551162239603</v>
      </c>
      <c r="I200" s="11" t="n">
        <v>0.07870856546568175</v>
      </c>
      <c r="J200" s="11" t="n">
        <v>0.04448762669606202</v>
      </c>
      <c r="K200" s="12" t="n">
        <v>12.31688738275684</v>
      </c>
      <c r="L200" s="13" t="n">
        <v>0.003509149762698008</v>
      </c>
      <c r="M200" s="11" t="n">
        <v>0.6504493104821355</v>
      </c>
      <c r="N200" s="5" t="n">
        <v>66</v>
      </c>
    </row>
    <row r="201">
      <c r="A201" s="10" t="n">
        <v>46296</v>
      </c>
      <c r="B201" s="5" t="inlineStr">
        <is>
          <t>Crhistoffer Miranda</t>
        </is>
      </c>
      <c r="C201" s="5" t="inlineStr">
        <is>
          <t>Emir Anjos</t>
        </is>
      </c>
      <c r="D201" s="5" t="inlineStr">
        <is>
          <t>Chat</t>
        </is>
      </c>
      <c r="E201" s="5" t="inlineStr">
        <is>
          <t>Ouro/Diamante</t>
        </is>
      </c>
      <c r="F201" s="5" t="inlineStr">
        <is>
          <t>Manhã</t>
        </is>
      </c>
      <c r="G201" s="5" t="n">
        <v>1641</v>
      </c>
      <c r="H201" s="11" t="n">
        <v>0.8264648994590877</v>
      </c>
      <c r="I201" s="11" t="n">
        <v>0.04021895773698126</v>
      </c>
      <c r="J201" s="11" t="n">
        <v>0.09493764338728918</v>
      </c>
      <c r="K201" s="12" t="n">
        <v>12.5323054229269</v>
      </c>
      <c r="L201" s="13" t="n">
        <v>0.006118892283994658</v>
      </c>
      <c r="M201" s="11" t="n">
        <v>0.7453160688288195</v>
      </c>
      <c r="N201" s="5" t="n">
        <v>66</v>
      </c>
    </row>
    <row r="202">
      <c r="A202" s="10" t="n">
        <v>46296</v>
      </c>
      <c r="B202" s="5" t="inlineStr">
        <is>
          <t>Crhistoffer Miranda</t>
        </is>
      </c>
      <c r="C202" s="5" t="inlineStr">
        <is>
          <t>Emir Anjos</t>
        </is>
      </c>
      <c r="D202" s="5" t="inlineStr">
        <is>
          <t>Chat</t>
        </is>
      </c>
      <c r="E202" s="5" t="inlineStr">
        <is>
          <t>Ouro/Diamante</t>
        </is>
      </c>
      <c r="F202" s="5" t="inlineStr">
        <is>
          <t>Tarde</t>
        </is>
      </c>
      <c r="G202" s="5" t="n">
        <v>869</v>
      </c>
      <c r="H202" s="11" t="n">
        <v>0.9042849569153872</v>
      </c>
      <c r="I202" s="11" t="n">
        <v>0.0835320641875377</v>
      </c>
      <c r="J202" s="11" t="n">
        <v>0.09383112150907093</v>
      </c>
      <c r="K202" s="12" t="n">
        <v>9.115423662708702</v>
      </c>
      <c r="L202" s="13" t="n">
        <v>0.003612978190013791</v>
      </c>
      <c r="M202" s="11" t="n">
        <v>0.6145207699043401</v>
      </c>
      <c r="N202" s="5" t="n">
        <v>44</v>
      </c>
    </row>
    <row r="203">
      <c r="A203" s="10" t="n">
        <v>46296</v>
      </c>
      <c r="B203" s="5" t="inlineStr">
        <is>
          <t>Crhistoffer Miranda</t>
        </is>
      </c>
      <c r="C203" s="5" t="inlineStr">
        <is>
          <t>Emir Anjos</t>
        </is>
      </c>
      <c r="D203" s="5" t="inlineStr">
        <is>
          <t>Voz</t>
        </is>
      </c>
      <c r="E203" s="5" t="inlineStr">
        <is>
          <t>Bronze/Prata</t>
        </is>
      </c>
      <c r="F203" s="5" t="inlineStr">
        <is>
          <t>Manhã</t>
        </is>
      </c>
      <c r="G203" s="5" t="n">
        <v>2103</v>
      </c>
      <c r="H203" s="11" t="n">
        <v>0.9346260447846739</v>
      </c>
      <c r="I203" s="11" t="n">
        <v>0.1003970288069029</v>
      </c>
      <c r="J203" s="11" t="n">
        <v>0.08496596270786499</v>
      </c>
      <c r="K203" s="12" t="n">
        <v>7.754596894197893</v>
      </c>
      <c r="L203" s="13" t="n">
        <v>0.006395518653406656</v>
      </c>
      <c r="M203" s="11" t="n">
        <v>0.5723736061838811</v>
      </c>
      <c r="N203" s="5" t="n">
        <v>88</v>
      </c>
    </row>
    <row r="204">
      <c r="A204" s="10" t="n">
        <v>46296</v>
      </c>
      <c r="B204" s="5" t="inlineStr">
        <is>
          <t>Crhistoffer Miranda</t>
        </is>
      </c>
      <c r="C204" s="5" t="inlineStr">
        <is>
          <t>Emir Anjos</t>
        </is>
      </c>
      <c r="D204" s="5" t="inlineStr">
        <is>
          <t>Voz</t>
        </is>
      </c>
      <c r="E204" s="5" t="inlineStr">
        <is>
          <t>Bronze/Prata</t>
        </is>
      </c>
      <c r="F204" s="5" t="inlineStr">
        <is>
          <t>Tarde</t>
        </is>
      </c>
      <c r="G204" s="5" t="n">
        <v>1331</v>
      </c>
      <c r="H204" s="11" t="n">
        <v>0.8959956030967726</v>
      </c>
      <c r="I204" s="11" t="n">
        <v>0.078686600143345</v>
      </c>
      <c r="J204" s="11" t="n">
        <v>0.03410073731623587</v>
      </c>
      <c r="K204" s="12" t="n">
        <v>5.350014537149862</v>
      </c>
      <c r="L204" s="13" t="n">
        <v>0.004512858049041557</v>
      </c>
      <c r="M204" s="11" t="n">
        <v>0.6559688585804829</v>
      </c>
      <c r="N204" s="5" t="n">
        <v>66</v>
      </c>
    </row>
    <row r="205">
      <c r="A205" s="10" t="n">
        <v>46296</v>
      </c>
      <c r="B205" s="5" t="inlineStr">
        <is>
          <t>Crhistoffer Miranda</t>
        </is>
      </c>
      <c r="C205" s="5" t="inlineStr">
        <is>
          <t>Emir Anjos</t>
        </is>
      </c>
      <c r="D205" s="5" t="inlineStr">
        <is>
          <t>Voz</t>
        </is>
      </c>
      <c r="E205" s="5" t="inlineStr">
        <is>
          <t>Ouro/Diamante</t>
        </is>
      </c>
      <c r="F205" s="5" t="inlineStr">
        <is>
          <t>Manhã</t>
        </is>
      </c>
      <c r="G205" s="5" t="n">
        <v>2687</v>
      </c>
      <c r="H205" s="11" t="n">
        <v>0.8633352275309532</v>
      </c>
      <c r="I205" s="11" t="n">
        <v>0.1216357316276454</v>
      </c>
      <c r="J205" s="11" t="n">
        <v>0.06591345481637079</v>
      </c>
      <c r="K205" s="12" t="n">
        <v>6.255282486821853</v>
      </c>
      <c r="L205" s="13" t="n">
        <v>0.00725826975383909</v>
      </c>
      <c r="M205" s="11" t="n">
        <v>0.65378345838797</v>
      </c>
      <c r="N205" s="5" t="n">
        <v>110</v>
      </c>
    </row>
    <row r="206">
      <c r="A206" s="10" t="n">
        <v>46296</v>
      </c>
      <c r="B206" s="5" t="inlineStr">
        <is>
          <t>Crhistoffer Miranda</t>
        </is>
      </c>
      <c r="C206" s="5" t="inlineStr">
        <is>
          <t>Emir Anjos</t>
        </is>
      </c>
      <c r="D206" s="5" t="inlineStr">
        <is>
          <t>Voz</t>
        </is>
      </c>
      <c r="E206" s="5" t="inlineStr">
        <is>
          <t>Ouro/Diamante</t>
        </is>
      </c>
      <c r="F206" s="5" t="inlineStr">
        <is>
          <t>Tarde</t>
        </is>
      </c>
      <c r="G206" s="5" t="n">
        <v>1928</v>
      </c>
      <c r="H206" s="11" t="n">
        <v>0.9311995268075086</v>
      </c>
      <c r="I206" s="11" t="n">
        <v>0.04263496931132629</v>
      </c>
      <c r="J206" s="11" t="n">
        <v>0.08900221535083169</v>
      </c>
      <c r="K206" s="12" t="n">
        <v>8.791489932333894</v>
      </c>
      <c r="L206" s="13" t="n">
        <v>0.008153355487833996</v>
      </c>
      <c r="M206" s="11" t="n">
        <v>0.5079297617174682</v>
      </c>
      <c r="N206" s="5" t="n">
        <v>88</v>
      </c>
    </row>
    <row r="207">
      <c r="A207" s="10" t="n">
        <v>46296</v>
      </c>
      <c r="B207" s="5" t="inlineStr">
        <is>
          <t>Crhistoffer Miranda</t>
        </is>
      </c>
      <c r="C207" s="5" t="inlineStr">
        <is>
          <t>Francisco Nascimento</t>
        </is>
      </c>
      <c r="D207" s="5" t="inlineStr">
        <is>
          <t>Chat</t>
        </is>
      </c>
      <c r="E207" s="5" t="inlineStr">
        <is>
          <t>Bronze/Prata</t>
        </is>
      </c>
      <c r="F207" s="5" t="inlineStr">
        <is>
          <t>Manhã</t>
        </is>
      </c>
      <c r="G207" s="5" t="n">
        <v>573</v>
      </c>
      <c r="H207" s="11" t="n">
        <v>0.8706251034584425</v>
      </c>
      <c r="I207" s="11" t="n">
        <v>0.1335217977603802</v>
      </c>
      <c r="J207" s="11" t="n">
        <v>0.0661045660520409</v>
      </c>
      <c r="K207" s="12" t="n">
        <v>11.65103450622795</v>
      </c>
      <c r="L207" s="13" t="n">
        <v>0.00649311082721298</v>
      </c>
      <c r="M207" s="11" t="n">
        <v>0.7471543328754726</v>
      </c>
      <c r="N207" s="5" t="n">
        <v>22</v>
      </c>
    </row>
    <row r="208">
      <c r="A208" s="10" t="n">
        <v>46296</v>
      </c>
      <c r="B208" s="5" t="inlineStr">
        <is>
          <t>Crhistoffer Miranda</t>
        </is>
      </c>
      <c r="C208" s="5" t="inlineStr">
        <is>
          <t>Francisco Nascimento</t>
        </is>
      </c>
      <c r="D208" s="5" t="inlineStr">
        <is>
          <t>Chat</t>
        </is>
      </c>
      <c r="E208" s="5" t="inlineStr">
        <is>
          <t>Bronze/Prata</t>
        </is>
      </c>
      <c r="F208" s="5" t="inlineStr">
        <is>
          <t>Tarde</t>
        </is>
      </c>
      <c r="G208" s="5" t="n">
        <v>922</v>
      </c>
      <c r="H208" s="11" t="n">
        <v>0.8462367221911509</v>
      </c>
      <c r="I208" s="11" t="n">
        <v>0.05247090777519862</v>
      </c>
      <c r="J208" s="11" t="n">
        <v>0.1052092590775494</v>
      </c>
      <c r="K208" s="12" t="n">
        <v>7.492651028218869</v>
      </c>
      <c r="L208" s="13" t="n">
        <v>0.00794455176298706</v>
      </c>
      <c r="M208" s="11" t="n">
        <v>0.4938262985789753</v>
      </c>
      <c r="N208" s="5" t="n">
        <v>44</v>
      </c>
    </row>
    <row r="209">
      <c r="A209" s="10" t="n">
        <v>46296</v>
      </c>
      <c r="B209" s="5" t="inlineStr">
        <is>
          <t>Crhistoffer Miranda</t>
        </is>
      </c>
      <c r="C209" s="5" t="inlineStr">
        <is>
          <t>Francisco Nascimento</t>
        </is>
      </c>
      <c r="D209" s="5" t="inlineStr">
        <is>
          <t>Chat</t>
        </is>
      </c>
      <c r="E209" s="5" t="inlineStr">
        <is>
          <t>Ouro/Diamante</t>
        </is>
      </c>
      <c r="F209" s="5" t="inlineStr">
        <is>
          <t>Tarde</t>
        </is>
      </c>
      <c r="G209" s="5" t="n">
        <v>851</v>
      </c>
      <c r="H209" s="11" t="n">
        <v>0.9414953469224975</v>
      </c>
      <c r="I209" s="11" t="n">
        <v>0.08984450372833772</v>
      </c>
      <c r="J209" s="11" t="n">
        <v>0.113026130362972</v>
      </c>
      <c r="K209" s="12" t="n">
        <v>9.41931951549218</v>
      </c>
      <c r="L209" s="13" t="n">
        <v>0.003697529339727391</v>
      </c>
      <c r="M209" s="11" t="n">
        <v>0.5605592232741332</v>
      </c>
      <c r="N209" s="5" t="n">
        <v>44</v>
      </c>
    </row>
    <row r="210">
      <c r="A210" s="10" t="n">
        <v>46296</v>
      </c>
      <c r="B210" s="5" t="inlineStr">
        <is>
          <t>Crhistoffer Miranda</t>
        </is>
      </c>
      <c r="C210" s="5" t="inlineStr">
        <is>
          <t>Francisco Nascimento</t>
        </is>
      </c>
      <c r="D210" s="5" t="inlineStr">
        <is>
          <t>Voz</t>
        </is>
      </c>
      <c r="E210" s="5" t="inlineStr">
        <is>
          <t>Bronze/Prata</t>
        </is>
      </c>
      <c r="F210" s="5" t="inlineStr">
        <is>
          <t>Manhã</t>
        </is>
      </c>
      <c r="G210" s="5" t="n">
        <v>1847</v>
      </c>
      <c r="H210" s="11" t="n">
        <v>0.8126343754252909</v>
      </c>
      <c r="I210" s="11" t="n">
        <v>0.1304888076053634</v>
      </c>
      <c r="J210" s="11" t="n">
        <v>0.1271158356017001</v>
      </c>
      <c r="K210" s="12" t="n">
        <v>7.902750242886467</v>
      </c>
      <c r="L210" s="13" t="n">
        <v>0.003860122317415922</v>
      </c>
      <c r="M210" s="11" t="n">
        <v>0.669142937094918</v>
      </c>
      <c r="N210" s="5" t="n">
        <v>66</v>
      </c>
    </row>
    <row r="211">
      <c r="A211" s="10" t="n">
        <v>46296</v>
      </c>
      <c r="B211" s="5" t="inlineStr">
        <is>
          <t>Crhistoffer Miranda</t>
        </is>
      </c>
      <c r="C211" s="5" t="inlineStr">
        <is>
          <t>Francisco Nascimento</t>
        </is>
      </c>
      <c r="D211" s="5" t="inlineStr">
        <is>
          <t>Voz</t>
        </is>
      </c>
      <c r="E211" s="5" t="inlineStr">
        <is>
          <t>Bronze/Prata</t>
        </is>
      </c>
      <c r="F211" s="5" t="inlineStr">
        <is>
          <t>Tarde</t>
        </is>
      </c>
      <c r="G211" s="5" t="n">
        <v>2986</v>
      </c>
      <c r="H211" s="11" t="n">
        <v>0.8807936427425607</v>
      </c>
      <c r="I211" s="11" t="n">
        <v>0.062005583997549</v>
      </c>
      <c r="J211" s="11" t="n">
        <v>0.09708094697676199</v>
      </c>
      <c r="K211" s="12" t="n">
        <v>9.282569338637106</v>
      </c>
      <c r="L211" s="13" t="n">
        <v>0.006135356278850331</v>
      </c>
      <c r="M211" s="11" t="n">
        <v>0.4948125489322974</v>
      </c>
      <c r="N211" s="5" t="n">
        <v>110</v>
      </c>
    </row>
    <row r="212">
      <c r="A212" s="10" t="n">
        <v>46296</v>
      </c>
      <c r="B212" s="5" t="inlineStr">
        <is>
          <t>Crhistoffer Miranda</t>
        </is>
      </c>
      <c r="C212" s="5" t="inlineStr">
        <is>
          <t>Francisco Nascimento</t>
        </is>
      </c>
      <c r="D212" s="5" t="inlineStr">
        <is>
          <t>Voz</t>
        </is>
      </c>
      <c r="E212" s="5" t="inlineStr">
        <is>
          <t>Ouro/Diamante</t>
        </is>
      </c>
      <c r="F212" s="5" t="inlineStr">
        <is>
          <t>Manhã</t>
        </is>
      </c>
      <c r="G212" s="5" t="n">
        <v>428</v>
      </c>
      <c r="H212" s="11" t="n">
        <v>0.8871431993191856</v>
      </c>
      <c r="I212" s="11" t="n">
        <v>0.04479272443234693</v>
      </c>
      <c r="J212" s="11" t="n">
        <v>0.0301447888047059</v>
      </c>
      <c r="K212" s="12" t="n">
        <v>6.370305157629165</v>
      </c>
      <c r="L212" s="13" t="n">
        <v>0.003801888052150617</v>
      </c>
      <c r="M212" s="11" t="n">
        <v>0.5980681355887649</v>
      </c>
      <c r="N212" s="5" t="n">
        <v>22</v>
      </c>
    </row>
    <row r="213">
      <c r="A213" s="10" t="n">
        <v>46296</v>
      </c>
      <c r="B213" s="5" t="inlineStr">
        <is>
          <t>Crhistoffer Miranda</t>
        </is>
      </c>
      <c r="C213" s="5" t="inlineStr">
        <is>
          <t>Francisco Nascimento</t>
        </is>
      </c>
      <c r="D213" s="5" t="inlineStr">
        <is>
          <t>Voz</t>
        </is>
      </c>
      <c r="E213" s="5" t="inlineStr">
        <is>
          <t>Ouro/Diamante</t>
        </is>
      </c>
      <c r="F213" s="5" t="inlineStr">
        <is>
          <t>Tarde</t>
        </is>
      </c>
      <c r="G213" s="5" t="n">
        <v>397</v>
      </c>
      <c r="H213" s="11" t="n">
        <v>0.8751408984755732</v>
      </c>
      <c r="I213" s="11" t="n">
        <v>0.107559803180777</v>
      </c>
      <c r="J213" s="11" t="n">
        <v>0.06487157798648591</v>
      </c>
      <c r="K213" s="12" t="n">
        <v>7.408473491909547</v>
      </c>
      <c r="L213" s="13" t="n">
        <v>0.00568968767146425</v>
      </c>
      <c r="M213" s="11" t="n">
        <v>0.6867482182786402</v>
      </c>
      <c r="N213" s="5" t="n">
        <v>22</v>
      </c>
    </row>
    <row r="214">
      <c r="A214" s="10" t="n">
        <v>46296</v>
      </c>
      <c r="B214" s="5" t="inlineStr">
        <is>
          <t>Crhistoffer Miranda</t>
        </is>
      </c>
      <c r="C214" s="5" t="inlineStr">
        <is>
          <t>Marcia Assunção</t>
        </is>
      </c>
      <c r="D214" s="5" t="inlineStr">
        <is>
          <t>Chat</t>
        </is>
      </c>
      <c r="E214" s="5" t="inlineStr">
        <is>
          <t>Bronze/Prata</t>
        </is>
      </c>
      <c r="F214" s="5" t="inlineStr">
        <is>
          <t>Manhã</t>
        </is>
      </c>
      <c r="G214" s="5" t="n">
        <v>2073</v>
      </c>
      <c r="H214" s="11" t="n">
        <v>0.8884846081859918</v>
      </c>
      <c r="I214" s="11" t="n">
        <v>0.09637421557759737</v>
      </c>
      <c r="J214" s="11" t="n">
        <v>0.1205200815067756</v>
      </c>
      <c r="K214" s="12" t="n">
        <v>7.675405135485734</v>
      </c>
      <c r="L214" s="13" t="n">
        <v>0.002797731223078503</v>
      </c>
      <c r="M214" s="11" t="n">
        <v>0.7097171989774484</v>
      </c>
      <c r="N214" s="5" t="n">
        <v>88</v>
      </c>
    </row>
    <row r="215">
      <c r="A215" s="10" t="n">
        <v>46296</v>
      </c>
      <c r="B215" s="5" t="inlineStr">
        <is>
          <t>Crhistoffer Miranda</t>
        </is>
      </c>
      <c r="C215" s="5" t="inlineStr">
        <is>
          <t>Marcia Assunção</t>
        </is>
      </c>
      <c r="D215" s="5" t="inlineStr">
        <is>
          <t>Chat</t>
        </is>
      </c>
      <c r="E215" s="5" t="inlineStr">
        <is>
          <t>Bronze/Prata</t>
        </is>
      </c>
      <c r="F215" s="5" t="inlineStr">
        <is>
          <t>Tarde</t>
        </is>
      </c>
      <c r="G215" s="5" t="n">
        <v>580</v>
      </c>
      <c r="H215" s="11" t="n">
        <v>0.7813600097694623</v>
      </c>
      <c r="I215" s="11" t="n">
        <v>0.1294122989748834</v>
      </c>
      <c r="J215" s="11" t="n">
        <v>0.09698523678459167</v>
      </c>
      <c r="K215" s="12" t="n">
        <v>12.99230895325549</v>
      </c>
      <c r="L215" s="13" t="n">
        <v>0.006908136797376892</v>
      </c>
      <c r="M215" s="11" t="n">
        <v>0.5628596827791383</v>
      </c>
      <c r="N215" s="5" t="n">
        <v>22</v>
      </c>
    </row>
    <row r="216">
      <c r="A216" s="10" t="n">
        <v>46296</v>
      </c>
      <c r="B216" s="5" t="inlineStr">
        <is>
          <t>Crhistoffer Miranda</t>
        </is>
      </c>
      <c r="C216" s="5" t="inlineStr">
        <is>
          <t>Marcia Assunção</t>
        </is>
      </c>
      <c r="D216" s="5" t="inlineStr">
        <is>
          <t>Chat</t>
        </is>
      </c>
      <c r="E216" s="5" t="inlineStr">
        <is>
          <t>Ouro/Diamante</t>
        </is>
      </c>
      <c r="F216" s="5" t="inlineStr">
        <is>
          <t>Manhã</t>
        </is>
      </c>
      <c r="G216" s="5" t="n">
        <v>814</v>
      </c>
      <c r="H216" s="11" t="n">
        <v>0.9100003647725875</v>
      </c>
      <c r="I216" s="11" t="n">
        <v>0.11100412189623</v>
      </c>
      <c r="J216" s="11" t="n">
        <v>0.0817243395386007</v>
      </c>
      <c r="K216" s="12" t="n">
        <v>8.895733695843614</v>
      </c>
      <c r="L216" s="13" t="n">
        <v>0.004549154637617684</v>
      </c>
      <c r="M216" s="11" t="n">
        <v>0.7307952327263736</v>
      </c>
      <c r="N216" s="5" t="n">
        <v>44</v>
      </c>
    </row>
    <row r="217">
      <c r="A217" s="10" t="n">
        <v>46296</v>
      </c>
      <c r="B217" s="5" t="inlineStr">
        <is>
          <t>Crhistoffer Miranda</t>
        </is>
      </c>
      <c r="C217" s="5" t="inlineStr">
        <is>
          <t>Marcia Assunção</t>
        </is>
      </c>
      <c r="D217" s="5" t="inlineStr">
        <is>
          <t>Chat</t>
        </is>
      </c>
      <c r="E217" s="5" t="inlineStr">
        <is>
          <t>Ouro/Diamante</t>
        </is>
      </c>
      <c r="F217" s="5" t="inlineStr">
        <is>
          <t>Tarde</t>
        </is>
      </c>
      <c r="G217" s="5" t="n">
        <v>982</v>
      </c>
      <c r="H217" s="11" t="n">
        <v>0.8157037432499585</v>
      </c>
      <c r="I217" s="11" t="n">
        <v>0.1386326442605853</v>
      </c>
      <c r="J217" s="11" t="n">
        <v>0.1376160919122157</v>
      </c>
      <c r="K217" s="12" t="n">
        <v>8.237421454322464</v>
      </c>
      <c r="L217" s="13" t="n">
        <v>0.003378236449306928</v>
      </c>
      <c r="M217" s="11" t="n">
        <v>0.6689279092654995</v>
      </c>
      <c r="N217" s="5" t="n">
        <v>44</v>
      </c>
    </row>
    <row r="218">
      <c r="A218" s="10" t="n">
        <v>46296</v>
      </c>
      <c r="B218" s="5" t="inlineStr">
        <is>
          <t>Crhistoffer Miranda</t>
        </is>
      </c>
      <c r="C218" s="5" t="inlineStr">
        <is>
          <t>Marcia Assunção</t>
        </is>
      </c>
      <c r="D218" s="5" t="inlineStr">
        <is>
          <t>Voz</t>
        </is>
      </c>
      <c r="E218" s="5" t="inlineStr">
        <is>
          <t>Bronze/Prata</t>
        </is>
      </c>
      <c r="F218" s="5" t="inlineStr">
        <is>
          <t>Manhã</t>
        </is>
      </c>
      <c r="G218" s="5" t="n">
        <v>945</v>
      </c>
      <c r="H218" s="11" t="n">
        <v>0.8605790689787184</v>
      </c>
      <c r="I218" s="11" t="n">
        <v>0.1083954349738548</v>
      </c>
      <c r="J218" s="11" t="n">
        <v>0.0600531487350547</v>
      </c>
      <c r="K218" s="12" t="n">
        <v>7.47197522521814</v>
      </c>
      <c r="L218" s="13" t="n">
        <v>0.003428759441557861</v>
      </c>
      <c r="M218" s="11" t="n">
        <v>0.5164006121886467</v>
      </c>
      <c r="N218" s="5" t="n">
        <v>44</v>
      </c>
    </row>
    <row r="219">
      <c r="A219" s="10" t="n">
        <v>46296</v>
      </c>
      <c r="B219" s="5" t="inlineStr">
        <is>
          <t>Crhistoffer Miranda</t>
        </is>
      </c>
      <c r="C219" s="5" t="inlineStr">
        <is>
          <t>Marcia Assunção</t>
        </is>
      </c>
      <c r="D219" s="5" t="inlineStr">
        <is>
          <t>Voz</t>
        </is>
      </c>
      <c r="E219" s="5" t="inlineStr">
        <is>
          <t>Bronze/Prata</t>
        </is>
      </c>
      <c r="F219" s="5" t="inlineStr">
        <is>
          <t>Tarde</t>
        </is>
      </c>
      <c r="G219" s="5" t="n">
        <v>1021</v>
      </c>
      <c r="H219" s="11" t="n">
        <v>0.8527147512046744</v>
      </c>
      <c r="I219" s="11" t="n">
        <v>0.1294525074632255</v>
      </c>
      <c r="J219" s="11" t="n">
        <v>0.04575085567133371</v>
      </c>
      <c r="K219" s="12" t="n">
        <v>9.081151860708164</v>
      </c>
      <c r="L219" s="13" t="n">
        <v>0.003833034651104975</v>
      </c>
      <c r="M219" s="11" t="n">
        <v>0.5528661993224265</v>
      </c>
      <c r="N219" s="5" t="n">
        <v>44</v>
      </c>
    </row>
    <row r="220">
      <c r="A220" s="10" t="n">
        <v>46296</v>
      </c>
      <c r="B220" s="5" t="inlineStr">
        <is>
          <t>Crhistoffer Miranda</t>
        </is>
      </c>
      <c r="C220" s="5" t="inlineStr">
        <is>
          <t>Marcia Assunção</t>
        </is>
      </c>
      <c r="D220" s="5" t="inlineStr">
        <is>
          <t>Voz</t>
        </is>
      </c>
      <c r="E220" s="5" t="inlineStr">
        <is>
          <t>Ouro/Diamante</t>
        </is>
      </c>
      <c r="F220" s="5" t="inlineStr">
        <is>
          <t>Manhã</t>
        </is>
      </c>
      <c r="G220" s="5" t="n">
        <v>1216</v>
      </c>
      <c r="H220" s="11" t="n">
        <v>0.8337348144103877</v>
      </c>
      <c r="I220" s="11" t="n">
        <v>0.1380779127784793</v>
      </c>
      <c r="J220" s="11" t="n">
        <v>0.06982630663778777</v>
      </c>
      <c r="K220" s="12" t="n">
        <v>8.679601838475403</v>
      </c>
      <c r="L220" s="13" t="n">
        <v>0.00883495469109731</v>
      </c>
      <c r="M220" s="11" t="n">
        <v>0.6586671405405162</v>
      </c>
      <c r="N220" s="5" t="n">
        <v>66</v>
      </c>
    </row>
    <row r="221">
      <c r="A221" s="10" t="n">
        <v>46296</v>
      </c>
      <c r="B221" s="5" t="inlineStr">
        <is>
          <t>Crhistoffer Miranda</t>
        </is>
      </c>
      <c r="C221" s="5" t="inlineStr">
        <is>
          <t>Marcia Assunção</t>
        </is>
      </c>
      <c r="D221" s="5" t="inlineStr">
        <is>
          <t>Voz</t>
        </is>
      </c>
      <c r="E221" s="5" t="inlineStr">
        <is>
          <t>Ouro/Diamante</t>
        </is>
      </c>
      <c r="F221" s="5" t="inlineStr">
        <is>
          <t>Tarde</t>
        </is>
      </c>
      <c r="G221" s="5" t="n">
        <v>424</v>
      </c>
      <c r="H221" s="11" t="n">
        <v>0.8533481706169284</v>
      </c>
      <c r="I221" s="11" t="n">
        <v>0.05670799515393223</v>
      </c>
      <c r="J221" s="11" t="n">
        <v>0.05745817421875445</v>
      </c>
      <c r="K221" s="12" t="n">
        <v>6.174766468062023</v>
      </c>
      <c r="L221" s="13" t="n">
        <v>0.003160967042988813</v>
      </c>
      <c r="M221" s="11" t="n">
        <v>0.6539367287177031</v>
      </c>
      <c r="N221" s="5" t="n">
        <v>22</v>
      </c>
    </row>
    <row r="222">
      <c r="A222" s="10" t="n">
        <v>46296</v>
      </c>
      <c r="B222" s="5" t="inlineStr">
        <is>
          <t>Livia Cardoso</t>
        </is>
      </c>
      <c r="C222" s="5" t="inlineStr">
        <is>
          <t>Jaqueline Azevedo</t>
        </is>
      </c>
      <c r="D222" s="5" t="inlineStr">
        <is>
          <t>Chat</t>
        </is>
      </c>
      <c r="E222" s="5" t="inlineStr">
        <is>
          <t>Bronze/Prata</t>
        </is>
      </c>
      <c r="F222" s="5" t="inlineStr">
        <is>
          <t>Manhã</t>
        </is>
      </c>
      <c r="G222" s="5" t="n">
        <v>1010</v>
      </c>
      <c r="H222" s="11" t="n">
        <v>0.8294548187350064</v>
      </c>
      <c r="I222" s="11" t="n">
        <v>0.06546277701857621</v>
      </c>
      <c r="J222" s="11" t="n">
        <v>0.04564898518487358</v>
      </c>
      <c r="K222" s="12" t="n">
        <v>7.800517420150343</v>
      </c>
      <c r="L222" s="13" t="n">
        <v>0.005070694549243535</v>
      </c>
      <c r="M222" s="11" t="n">
        <v>0.4724794219178561</v>
      </c>
      <c r="N222" s="5" t="n">
        <v>44</v>
      </c>
    </row>
    <row r="223">
      <c r="A223" s="10" t="n">
        <v>46296</v>
      </c>
      <c r="B223" s="5" t="inlineStr">
        <is>
          <t>Livia Cardoso</t>
        </is>
      </c>
      <c r="C223" s="5" t="inlineStr">
        <is>
          <t>Jaqueline Azevedo</t>
        </is>
      </c>
      <c r="D223" s="5" t="inlineStr">
        <is>
          <t>Chat</t>
        </is>
      </c>
      <c r="E223" s="5" t="inlineStr">
        <is>
          <t>Bronze/Prata</t>
        </is>
      </c>
      <c r="F223" s="5" t="inlineStr">
        <is>
          <t>Tarde</t>
        </is>
      </c>
      <c r="G223" s="5" t="n">
        <v>2527</v>
      </c>
      <c r="H223" s="11" t="n">
        <v>0.8234051262998588</v>
      </c>
      <c r="I223" s="11" t="n">
        <v>0.1172181439113865</v>
      </c>
      <c r="J223" s="11" t="n">
        <v>0.05935752679515621</v>
      </c>
      <c r="K223" s="12" t="n">
        <v>12.99252833482979</v>
      </c>
      <c r="L223" s="13" t="n">
        <v>0.008617413058408425</v>
      </c>
      <c r="M223" s="11" t="n">
        <v>0.7288869715779489</v>
      </c>
      <c r="N223" s="5" t="n">
        <v>110</v>
      </c>
    </row>
    <row r="224">
      <c r="A224" s="10" t="n">
        <v>46296</v>
      </c>
      <c r="B224" s="5" t="inlineStr">
        <is>
          <t>Livia Cardoso</t>
        </is>
      </c>
      <c r="C224" s="5" t="inlineStr">
        <is>
          <t>Jaqueline Azevedo</t>
        </is>
      </c>
      <c r="D224" s="5" t="inlineStr">
        <is>
          <t>Chat</t>
        </is>
      </c>
      <c r="E224" s="5" t="inlineStr">
        <is>
          <t>Ouro/Diamante</t>
        </is>
      </c>
      <c r="F224" s="5" t="inlineStr">
        <is>
          <t>Manhã</t>
        </is>
      </c>
      <c r="G224" s="5" t="n">
        <v>869</v>
      </c>
      <c r="H224" s="11" t="n">
        <v>0.9379327213563351</v>
      </c>
      <c r="I224" s="11" t="n">
        <v>0.08718304483602723</v>
      </c>
      <c r="J224" s="11" t="n">
        <v>0.1273094758072468</v>
      </c>
      <c r="K224" s="12" t="n">
        <v>10.24877737633808</v>
      </c>
      <c r="L224" s="13" t="n">
        <v>0.005786961943884483</v>
      </c>
      <c r="M224" s="11" t="n">
        <v>0.5276189621692005</v>
      </c>
      <c r="N224" s="5" t="n">
        <v>44</v>
      </c>
    </row>
    <row r="225">
      <c r="A225" s="10" t="n">
        <v>46296</v>
      </c>
      <c r="B225" s="5" t="inlineStr">
        <is>
          <t>Livia Cardoso</t>
        </is>
      </c>
      <c r="C225" s="5" t="inlineStr">
        <is>
          <t>Jaqueline Azevedo</t>
        </is>
      </c>
      <c r="D225" s="5" t="inlineStr">
        <is>
          <t>Chat</t>
        </is>
      </c>
      <c r="E225" s="5" t="inlineStr">
        <is>
          <t>Ouro/Diamante</t>
        </is>
      </c>
      <c r="F225" s="5" t="inlineStr">
        <is>
          <t>Tarde</t>
        </is>
      </c>
      <c r="G225" s="5" t="n">
        <v>1685</v>
      </c>
      <c r="H225" s="11" t="n">
        <v>0.8425258838297551</v>
      </c>
      <c r="I225" s="11" t="n">
        <v>0.1283799703430821</v>
      </c>
      <c r="J225" s="11" t="n">
        <v>0.107821606266364</v>
      </c>
      <c r="K225" s="12" t="n">
        <v>10.00262953054915</v>
      </c>
      <c r="L225" s="13" t="n">
        <v>0.00221789811788516</v>
      </c>
      <c r="M225" s="11" t="n">
        <v>0.5305783271942048</v>
      </c>
      <c r="N225" s="5" t="n">
        <v>66</v>
      </c>
    </row>
    <row r="226">
      <c r="A226" s="10" t="n">
        <v>46296</v>
      </c>
      <c r="B226" s="5" t="inlineStr">
        <is>
          <t>Livia Cardoso</t>
        </is>
      </c>
      <c r="C226" s="5" t="inlineStr">
        <is>
          <t>Jaqueline Azevedo</t>
        </is>
      </c>
      <c r="D226" s="5" t="inlineStr">
        <is>
          <t>Voz</t>
        </is>
      </c>
      <c r="E226" s="5" t="inlineStr">
        <is>
          <t>Bronze/Prata</t>
        </is>
      </c>
      <c r="F226" s="5" t="inlineStr">
        <is>
          <t>Manhã</t>
        </is>
      </c>
      <c r="G226" s="5" t="n">
        <v>960</v>
      </c>
      <c r="H226" s="11" t="n">
        <v>0.8429535578105258</v>
      </c>
      <c r="I226" s="11" t="n">
        <v>0.09826849854438426</v>
      </c>
      <c r="J226" s="11" t="n">
        <v>0.03057514263952703</v>
      </c>
      <c r="K226" s="12" t="n">
        <v>6.837757413595511</v>
      </c>
      <c r="L226" s="13" t="n">
        <v>0.008247654915158409</v>
      </c>
      <c r="M226" s="11" t="n">
        <v>0.7359201244789281</v>
      </c>
      <c r="N226" s="5" t="n">
        <v>44</v>
      </c>
    </row>
    <row r="227">
      <c r="A227" s="10" t="n">
        <v>46296</v>
      </c>
      <c r="B227" s="5" t="inlineStr">
        <is>
          <t>Livia Cardoso</t>
        </is>
      </c>
      <c r="C227" s="5" t="inlineStr">
        <is>
          <t>Jaqueline Azevedo</t>
        </is>
      </c>
      <c r="D227" s="5" t="inlineStr">
        <is>
          <t>Voz</t>
        </is>
      </c>
      <c r="E227" s="5" t="inlineStr">
        <is>
          <t>Bronze/Prata</t>
        </is>
      </c>
      <c r="F227" s="5" t="inlineStr">
        <is>
          <t>Tarde</t>
        </is>
      </c>
      <c r="G227" s="5" t="n">
        <v>1635</v>
      </c>
      <c r="H227" s="11" t="n">
        <v>0.8967077594023692</v>
      </c>
      <c r="I227" s="11" t="n">
        <v>0.1002816262274147</v>
      </c>
      <c r="J227" s="11" t="n">
        <v>0.1399186749575643</v>
      </c>
      <c r="K227" s="12" t="n">
        <v>8.450651280040976</v>
      </c>
      <c r="L227" s="13" t="n">
        <v>0.005221535823809206</v>
      </c>
      <c r="M227" s="11" t="n">
        <v>0.5986718290784513</v>
      </c>
      <c r="N227" s="5" t="n">
        <v>66</v>
      </c>
    </row>
    <row r="228">
      <c r="A228" s="10" t="n">
        <v>46296</v>
      </c>
      <c r="B228" s="5" t="inlineStr">
        <is>
          <t>Livia Cardoso</t>
        </is>
      </c>
      <c r="C228" s="5" t="inlineStr">
        <is>
          <t>Jaqueline Azevedo</t>
        </is>
      </c>
      <c r="D228" s="5" t="inlineStr">
        <is>
          <t>Voz</t>
        </is>
      </c>
      <c r="E228" s="5" t="inlineStr">
        <is>
          <t>Ouro/Diamante</t>
        </is>
      </c>
      <c r="F228" s="5" t="inlineStr">
        <is>
          <t>Manhã</t>
        </is>
      </c>
      <c r="G228" s="5" t="n">
        <v>2421</v>
      </c>
      <c r="H228" s="11" t="n">
        <v>0.8737982886546337</v>
      </c>
      <c r="I228" s="11" t="n">
        <v>0.09982956045942677</v>
      </c>
      <c r="J228" s="11" t="n">
        <v>0.06383011364591307</v>
      </c>
      <c r="K228" s="12" t="n">
        <v>7.82110191080597</v>
      </c>
      <c r="L228" s="13" t="n">
        <v>0.005419045722303268</v>
      </c>
      <c r="M228" s="11" t="n">
        <v>0.7330379095959856</v>
      </c>
      <c r="N228" s="5" t="n">
        <v>88</v>
      </c>
    </row>
    <row r="229">
      <c r="A229" s="10" t="n">
        <v>46296</v>
      </c>
      <c r="B229" s="5" t="inlineStr">
        <is>
          <t>Livia Cardoso</t>
        </is>
      </c>
      <c r="C229" s="5" t="inlineStr">
        <is>
          <t>Jaqueline Azevedo</t>
        </is>
      </c>
      <c r="D229" s="5" t="inlineStr">
        <is>
          <t>Voz</t>
        </is>
      </c>
      <c r="E229" s="5" t="inlineStr">
        <is>
          <t>Ouro/Diamante</t>
        </is>
      </c>
      <c r="F229" s="5" t="inlineStr">
        <is>
          <t>Tarde</t>
        </is>
      </c>
      <c r="G229" s="5" t="n">
        <v>619</v>
      </c>
      <c r="H229" s="11" t="n">
        <v>0.9493319581690275</v>
      </c>
      <c r="I229" s="11" t="n">
        <v>0.1350764662258972</v>
      </c>
      <c r="J229" s="11" t="n">
        <v>0.03479210786306565</v>
      </c>
      <c r="K229" s="12" t="n">
        <v>4.864180481527216</v>
      </c>
      <c r="L229" s="13" t="n">
        <v>0.004373957060274496</v>
      </c>
      <c r="M229" s="11" t="n">
        <v>0.6980369106730964</v>
      </c>
      <c r="N229" s="5" t="n">
        <v>22</v>
      </c>
    </row>
    <row r="230">
      <c r="A230" s="10" t="n">
        <v>46296</v>
      </c>
      <c r="B230" s="5" t="inlineStr">
        <is>
          <t>Livia Cardoso</t>
        </is>
      </c>
      <c r="C230" s="5" t="inlineStr">
        <is>
          <t>Karina Nunes</t>
        </is>
      </c>
      <c r="D230" s="5" t="inlineStr">
        <is>
          <t>Chat</t>
        </is>
      </c>
      <c r="E230" s="5" t="inlineStr">
        <is>
          <t>Bronze/Prata</t>
        </is>
      </c>
      <c r="F230" s="5" t="inlineStr">
        <is>
          <t>Tarde</t>
        </is>
      </c>
      <c r="G230" s="5" t="n">
        <v>2055</v>
      </c>
      <c r="H230" s="11" t="n">
        <v>0.8236527304599779</v>
      </c>
      <c r="I230" s="11" t="n">
        <v>0.05006473896275783</v>
      </c>
      <c r="J230" s="11" t="n">
        <v>0.05750703741052664</v>
      </c>
      <c r="K230" s="12" t="n">
        <v>7.891073426706242</v>
      </c>
      <c r="L230" s="13" t="n">
        <v>0.003005100815030584</v>
      </c>
      <c r="M230" s="11" t="n">
        <v>0.6734676295775448</v>
      </c>
      <c r="N230" s="5" t="n">
        <v>88</v>
      </c>
    </row>
    <row r="231">
      <c r="A231" s="10" t="n">
        <v>46296</v>
      </c>
      <c r="B231" s="5" t="inlineStr">
        <is>
          <t>Livia Cardoso</t>
        </is>
      </c>
      <c r="C231" s="5" t="inlineStr">
        <is>
          <t>Karina Nunes</t>
        </is>
      </c>
      <c r="D231" s="5" t="inlineStr">
        <is>
          <t>Chat</t>
        </is>
      </c>
      <c r="E231" s="5" t="inlineStr">
        <is>
          <t>Ouro/Diamante</t>
        </is>
      </c>
      <c r="F231" s="5" t="inlineStr">
        <is>
          <t>Manhã</t>
        </is>
      </c>
      <c r="G231" s="5" t="n">
        <v>852</v>
      </c>
      <c r="H231" s="11" t="n">
        <v>0.8083741165930717</v>
      </c>
      <c r="I231" s="11" t="n">
        <v>0.1019891904827021</v>
      </c>
      <c r="J231" s="11" t="n">
        <v>0.04435696155690813</v>
      </c>
      <c r="K231" s="12" t="n">
        <v>12.83354324771915</v>
      </c>
      <c r="L231" s="13" t="n">
        <v>0.006551224963621018</v>
      </c>
      <c r="M231" s="11" t="n">
        <v>0.713332173809796</v>
      </c>
      <c r="N231" s="5" t="n">
        <v>44</v>
      </c>
    </row>
    <row r="232">
      <c r="A232" s="10" t="n">
        <v>46296</v>
      </c>
      <c r="B232" s="5" t="inlineStr">
        <is>
          <t>Livia Cardoso</t>
        </is>
      </c>
      <c r="C232" s="5" t="inlineStr">
        <is>
          <t>Karina Nunes</t>
        </is>
      </c>
      <c r="D232" s="5" t="inlineStr">
        <is>
          <t>Chat</t>
        </is>
      </c>
      <c r="E232" s="5" t="inlineStr">
        <is>
          <t>Ouro/Diamante</t>
        </is>
      </c>
      <c r="F232" s="5" t="inlineStr">
        <is>
          <t>Tarde</t>
        </is>
      </c>
      <c r="G232" s="5" t="n">
        <v>1662</v>
      </c>
      <c r="H232" s="11" t="n">
        <v>0.9042096676729965</v>
      </c>
      <c r="I232" s="11" t="n">
        <v>0.06674034881065641</v>
      </c>
      <c r="J232" s="11" t="n">
        <v>0.07650779160101488</v>
      </c>
      <c r="K232" s="12" t="n">
        <v>9.658977605343496</v>
      </c>
      <c r="L232" s="13" t="n">
        <v>0.004744055471689847</v>
      </c>
      <c r="M232" s="11" t="n">
        <v>0.7236873204468086</v>
      </c>
      <c r="N232" s="5" t="n">
        <v>66</v>
      </c>
    </row>
    <row r="233">
      <c r="A233" s="10" t="n">
        <v>46296</v>
      </c>
      <c r="B233" s="5" t="inlineStr">
        <is>
          <t>Livia Cardoso</t>
        </is>
      </c>
      <c r="C233" s="5" t="inlineStr">
        <is>
          <t>Karina Nunes</t>
        </is>
      </c>
      <c r="D233" s="5" t="inlineStr">
        <is>
          <t>Voz</t>
        </is>
      </c>
      <c r="E233" s="5" t="inlineStr">
        <is>
          <t>Bronze/Prata</t>
        </is>
      </c>
      <c r="F233" s="5" t="inlineStr">
        <is>
          <t>Manhã</t>
        </is>
      </c>
      <c r="G233" s="5" t="n">
        <v>484</v>
      </c>
      <c r="H233" s="11" t="n">
        <v>0.915860440540808</v>
      </c>
      <c r="I233" s="11" t="n">
        <v>0.1030766353873567</v>
      </c>
      <c r="J233" s="11" t="n">
        <v>0.03909853096443388</v>
      </c>
      <c r="K233" s="12" t="n">
        <v>5.55259396036028</v>
      </c>
      <c r="L233" s="13" t="n">
        <v>0.006044910949292523</v>
      </c>
      <c r="M233" s="11" t="n">
        <v>0.6868063528131979</v>
      </c>
      <c r="N233" s="5" t="n">
        <v>22</v>
      </c>
    </row>
    <row r="234">
      <c r="A234" s="10" t="n">
        <v>46296</v>
      </c>
      <c r="B234" s="5" t="inlineStr">
        <is>
          <t>Livia Cardoso</t>
        </is>
      </c>
      <c r="C234" s="5" t="inlineStr">
        <is>
          <t>Karina Nunes</t>
        </is>
      </c>
      <c r="D234" s="5" t="inlineStr">
        <is>
          <t>Voz</t>
        </is>
      </c>
      <c r="E234" s="5" t="inlineStr">
        <is>
          <t>Bronze/Prata</t>
        </is>
      </c>
      <c r="F234" s="5" t="inlineStr">
        <is>
          <t>Tarde</t>
        </is>
      </c>
      <c r="G234" s="5" t="n">
        <v>871</v>
      </c>
      <c r="H234" s="11" t="n">
        <v>0.8224527992695937</v>
      </c>
      <c r="I234" s="11" t="n">
        <v>0.0777029077431502</v>
      </c>
      <c r="J234" s="11" t="n">
        <v>0.0804931694172554</v>
      </c>
      <c r="K234" s="12" t="n">
        <v>6.600208916783981</v>
      </c>
      <c r="L234" s="13" t="n">
        <v>0.00847454818853724</v>
      </c>
      <c r="M234" s="11" t="n">
        <v>0.6324250730911652</v>
      </c>
      <c r="N234" s="5" t="n">
        <v>44</v>
      </c>
    </row>
    <row r="235">
      <c r="A235" s="10" t="n">
        <v>46296</v>
      </c>
      <c r="B235" s="5" t="inlineStr">
        <is>
          <t>Livia Cardoso</t>
        </is>
      </c>
      <c r="C235" s="5" t="inlineStr">
        <is>
          <t>Karina Nunes</t>
        </is>
      </c>
      <c r="D235" s="5" t="inlineStr">
        <is>
          <t>Voz</t>
        </is>
      </c>
      <c r="E235" s="5" t="inlineStr">
        <is>
          <t>Ouro/Diamante</t>
        </is>
      </c>
      <c r="F235" s="5" t="inlineStr">
        <is>
          <t>Manhã</t>
        </is>
      </c>
      <c r="G235" s="5" t="n">
        <v>893</v>
      </c>
      <c r="H235" s="11" t="n">
        <v>0.8384962132834508</v>
      </c>
      <c r="I235" s="11" t="n">
        <v>0.09076995516748354</v>
      </c>
      <c r="J235" s="11" t="n">
        <v>0.04766239109149223</v>
      </c>
      <c r="K235" s="12" t="n">
        <v>6.45992524988422</v>
      </c>
      <c r="L235" s="13" t="n">
        <v>0.002454378812093299</v>
      </c>
      <c r="M235" s="11" t="n">
        <v>0.6469226419151232</v>
      </c>
      <c r="N235" s="5" t="n">
        <v>44</v>
      </c>
    </row>
    <row r="236">
      <c r="A236" s="10" t="n">
        <v>46296</v>
      </c>
      <c r="B236" s="5" t="inlineStr">
        <is>
          <t>Livia Cardoso</t>
        </is>
      </c>
      <c r="C236" s="5" t="inlineStr">
        <is>
          <t>Karina Nunes</t>
        </is>
      </c>
      <c r="D236" s="5" t="inlineStr">
        <is>
          <t>Voz</t>
        </is>
      </c>
      <c r="E236" s="5" t="inlineStr">
        <is>
          <t>Ouro/Diamante</t>
        </is>
      </c>
      <c r="F236" s="5" t="inlineStr">
        <is>
          <t>Tarde</t>
        </is>
      </c>
      <c r="G236" s="5" t="n">
        <v>588</v>
      </c>
      <c r="H236" s="11" t="n">
        <v>0.9327934578557276</v>
      </c>
      <c r="I236" s="11" t="n">
        <v>0.09971854672383715</v>
      </c>
      <c r="J236" s="11" t="n">
        <v>0.07231251219293613</v>
      </c>
      <c r="K236" s="12" t="n">
        <v>7.299760061578676</v>
      </c>
      <c r="L236" s="13" t="n">
        <v>0.005888839334754039</v>
      </c>
      <c r="M236" s="11" t="n">
        <v>0.5029499084383675</v>
      </c>
      <c r="N236" s="5" t="n">
        <v>22</v>
      </c>
    </row>
    <row r="237">
      <c r="A237" s="10" t="n">
        <v>46296</v>
      </c>
      <c r="B237" s="5" t="inlineStr">
        <is>
          <t>Livia Cardoso</t>
        </is>
      </c>
      <c r="C237" s="5" t="inlineStr">
        <is>
          <t>Maicon Teixeira</t>
        </is>
      </c>
      <c r="D237" s="5" t="inlineStr">
        <is>
          <t>Chat</t>
        </is>
      </c>
      <c r="E237" s="5" t="inlineStr">
        <is>
          <t>Bronze/Prata</t>
        </is>
      </c>
      <c r="F237" s="5" t="inlineStr">
        <is>
          <t>Manhã</t>
        </is>
      </c>
      <c r="G237" s="5" t="n">
        <v>1019</v>
      </c>
      <c r="H237" s="11" t="n">
        <v>0.8645264865214949</v>
      </c>
      <c r="I237" s="11" t="n">
        <v>0.05973298714834282</v>
      </c>
      <c r="J237" s="11" t="n">
        <v>0.07870905931888969</v>
      </c>
      <c r="K237" s="12" t="n">
        <v>12.853052388532</v>
      </c>
      <c r="L237" s="13" t="n">
        <v>0.006490104402036528</v>
      </c>
      <c r="M237" s="11" t="n">
        <v>0.548714212678563</v>
      </c>
      <c r="N237" s="5" t="n">
        <v>44</v>
      </c>
    </row>
    <row r="238">
      <c r="A238" s="10" t="n">
        <v>46296</v>
      </c>
      <c r="B238" s="5" t="inlineStr">
        <is>
          <t>Livia Cardoso</t>
        </is>
      </c>
      <c r="C238" s="5" t="inlineStr">
        <is>
          <t>Maicon Teixeira</t>
        </is>
      </c>
      <c r="D238" s="5" t="inlineStr">
        <is>
          <t>Chat</t>
        </is>
      </c>
      <c r="E238" s="5" t="inlineStr">
        <is>
          <t>Bronze/Prata</t>
        </is>
      </c>
      <c r="F238" s="5" t="inlineStr">
        <is>
          <t>Tarde</t>
        </is>
      </c>
      <c r="G238" s="5" t="n">
        <v>1311</v>
      </c>
      <c r="H238" s="11" t="n">
        <v>0.8871497074144274</v>
      </c>
      <c r="I238" s="11" t="n">
        <v>0.09527775660851012</v>
      </c>
      <c r="J238" s="11" t="n">
        <v>0.06277524342635304</v>
      </c>
      <c r="K238" s="12" t="n">
        <v>10.2978567458558</v>
      </c>
      <c r="L238" s="13" t="n">
        <v>0.004847344602740918</v>
      </c>
      <c r="M238" s="11" t="n">
        <v>0.6381612345905052</v>
      </c>
      <c r="N238" s="5" t="n">
        <v>66</v>
      </c>
    </row>
    <row r="239">
      <c r="A239" s="10" t="n">
        <v>46296</v>
      </c>
      <c r="B239" s="5" t="inlineStr">
        <is>
          <t>Livia Cardoso</t>
        </is>
      </c>
      <c r="C239" s="5" t="inlineStr">
        <is>
          <t>Maicon Teixeira</t>
        </is>
      </c>
      <c r="D239" s="5" t="inlineStr">
        <is>
          <t>Chat</t>
        </is>
      </c>
      <c r="E239" s="5" t="inlineStr">
        <is>
          <t>Ouro/Diamante</t>
        </is>
      </c>
      <c r="F239" s="5" t="inlineStr">
        <is>
          <t>Manhã</t>
        </is>
      </c>
      <c r="G239" s="5" t="n">
        <v>590</v>
      </c>
      <c r="H239" s="11" t="n">
        <v>0.8433730689495639</v>
      </c>
      <c r="I239" s="11" t="n">
        <v>0.09380429934637663</v>
      </c>
      <c r="J239" s="11" t="n">
        <v>0.09181839590648885</v>
      </c>
      <c r="K239" s="12" t="n">
        <v>11.67074057317918</v>
      </c>
      <c r="L239" s="13" t="n">
        <v>0.003704535144560163</v>
      </c>
      <c r="M239" s="11" t="n">
        <v>0.5240741264420465</v>
      </c>
      <c r="N239" s="5" t="n">
        <v>22</v>
      </c>
    </row>
    <row r="240">
      <c r="A240" s="10" t="n">
        <v>46296</v>
      </c>
      <c r="B240" s="5" t="inlineStr">
        <is>
          <t>Livia Cardoso</t>
        </is>
      </c>
      <c r="C240" s="5" t="inlineStr">
        <is>
          <t>Maicon Teixeira</t>
        </is>
      </c>
      <c r="D240" s="5" t="inlineStr">
        <is>
          <t>Chat</t>
        </is>
      </c>
      <c r="E240" s="5" t="inlineStr">
        <is>
          <t>Ouro/Diamante</t>
        </is>
      </c>
      <c r="F240" s="5" t="inlineStr">
        <is>
          <t>Tarde</t>
        </is>
      </c>
      <c r="G240" s="5" t="n">
        <v>1804</v>
      </c>
      <c r="H240" s="11" t="n">
        <v>0.8047130197985755</v>
      </c>
      <c r="I240" s="11" t="n">
        <v>0.108101562692502</v>
      </c>
      <c r="J240" s="11" t="n">
        <v>0.05861717079888666</v>
      </c>
      <c r="K240" s="12" t="n">
        <v>10.43813039712632</v>
      </c>
      <c r="L240" s="13" t="n">
        <v>0.005159542113650615</v>
      </c>
      <c r="M240" s="11" t="n">
        <v>0.5217195108104269</v>
      </c>
      <c r="N240" s="5" t="n">
        <v>66</v>
      </c>
    </row>
    <row r="241">
      <c r="A241" s="10" t="n">
        <v>46296</v>
      </c>
      <c r="B241" s="5" t="inlineStr">
        <is>
          <t>Livia Cardoso</t>
        </is>
      </c>
      <c r="C241" s="5" t="inlineStr">
        <is>
          <t>Maicon Teixeira</t>
        </is>
      </c>
      <c r="D241" s="5" t="inlineStr">
        <is>
          <t>Voz</t>
        </is>
      </c>
      <c r="E241" s="5" t="inlineStr">
        <is>
          <t>Bronze/Prata</t>
        </is>
      </c>
      <c r="F241" s="5" t="inlineStr">
        <is>
          <t>Manhã</t>
        </is>
      </c>
      <c r="G241" s="5" t="n">
        <v>422</v>
      </c>
      <c r="H241" s="11" t="n">
        <v>0.9427513158290216</v>
      </c>
      <c r="I241" s="11" t="n">
        <v>0.04385980223593703</v>
      </c>
      <c r="J241" s="11" t="n">
        <v>0.04568854979525281</v>
      </c>
      <c r="K241" s="12" t="n">
        <v>8.194350227272309</v>
      </c>
      <c r="L241" s="13" t="n">
        <v>0.004598726742964959</v>
      </c>
      <c r="M241" s="11" t="n">
        <v>0.5085330002038952</v>
      </c>
      <c r="N241" s="5" t="n">
        <v>22</v>
      </c>
    </row>
    <row r="242">
      <c r="A242" s="10" t="n">
        <v>46296</v>
      </c>
      <c r="B242" s="5" t="inlineStr">
        <is>
          <t>Livia Cardoso</t>
        </is>
      </c>
      <c r="C242" s="5" t="inlineStr">
        <is>
          <t>Maicon Teixeira</t>
        </is>
      </c>
      <c r="D242" s="5" t="inlineStr">
        <is>
          <t>Voz</t>
        </is>
      </c>
      <c r="E242" s="5" t="inlineStr">
        <is>
          <t>Bronze/Prata</t>
        </is>
      </c>
      <c r="F242" s="5" t="inlineStr">
        <is>
          <t>Tarde</t>
        </is>
      </c>
      <c r="G242" s="5" t="n">
        <v>566</v>
      </c>
      <c r="H242" s="11" t="n">
        <v>0.9468664423319469</v>
      </c>
      <c r="I242" s="11" t="n">
        <v>0.06076256860054682</v>
      </c>
      <c r="J242" s="11" t="n">
        <v>0.107761224331966</v>
      </c>
      <c r="K242" s="12" t="n">
        <v>6.482200765001791</v>
      </c>
      <c r="L242" s="13" t="n">
        <v>0.008984135201931528</v>
      </c>
      <c r="M242" s="11" t="n">
        <v>0.6290223478127386</v>
      </c>
      <c r="N242" s="5" t="n">
        <v>22</v>
      </c>
    </row>
    <row r="243">
      <c r="A243" s="10" t="n">
        <v>46296</v>
      </c>
      <c r="B243" s="5" t="inlineStr">
        <is>
          <t>Livia Cardoso</t>
        </is>
      </c>
      <c r="C243" s="5" t="inlineStr">
        <is>
          <t>Maicon Teixeira</t>
        </is>
      </c>
      <c r="D243" s="5" t="inlineStr">
        <is>
          <t>Voz</t>
        </is>
      </c>
      <c r="E243" s="5" t="inlineStr">
        <is>
          <t>Ouro/Diamante</t>
        </is>
      </c>
      <c r="F243" s="5" t="inlineStr">
        <is>
          <t>Manhã</t>
        </is>
      </c>
      <c r="G243" s="5" t="n">
        <v>1189</v>
      </c>
      <c r="H243" s="11" t="n">
        <v>0.8927348916380178</v>
      </c>
      <c r="I243" s="11" t="n">
        <v>0.05316518458364898</v>
      </c>
      <c r="J243" s="11" t="n">
        <v>0.0785948545337172</v>
      </c>
      <c r="K243" s="12" t="n">
        <v>8.026860506928614</v>
      </c>
      <c r="L243" s="13" t="n">
        <v>0.003070487248197657</v>
      </c>
      <c r="M243" s="11" t="n">
        <v>0.4764121876298036</v>
      </c>
      <c r="N243" s="5" t="n">
        <v>44</v>
      </c>
    </row>
    <row r="244">
      <c r="A244" s="10" t="n">
        <v>46296</v>
      </c>
      <c r="B244" s="5" t="inlineStr">
        <is>
          <t>Livia Cardoso</t>
        </is>
      </c>
      <c r="C244" s="5" t="inlineStr">
        <is>
          <t>Maicon Teixeira</t>
        </is>
      </c>
      <c r="D244" s="5" t="inlineStr">
        <is>
          <t>Voz</t>
        </is>
      </c>
      <c r="E244" s="5" t="inlineStr">
        <is>
          <t>Ouro/Diamante</t>
        </is>
      </c>
      <c r="F244" s="5" t="inlineStr">
        <is>
          <t>Tarde</t>
        </is>
      </c>
      <c r="G244" s="5" t="n">
        <v>1235</v>
      </c>
      <c r="H244" s="11" t="n">
        <v>0.9370251127830057</v>
      </c>
      <c r="I244" s="11" t="n">
        <v>0.1050784732096291</v>
      </c>
      <c r="J244" s="11" t="n">
        <v>0.0369856899190517</v>
      </c>
      <c r="K244" s="12" t="n">
        <v>8.00519887331415</v>
      </c>
      <c r="L244" s="13" t="n">
        <v>0.008921956461106578</v>
      </c>
      <c r="M244" s="11" t="n">
        <v>0.6847262572816022</v>
      </c>
      <c r="N244" s="5" t="n">
        <v>44</v>
      </c>
    </row>
    <row r="245">
      <c r="A245" s="10" t="n">
        <v>46296</v>
      </c>
      <c r="B245" s="5" t="inlineStr">
        <is>
          <t>Livia Cardoso</t>
        </is>
      </c>
      <c r="C245" s="5" t="inlineStr">
        <is>
          <t>Ualifer Azevedo</t>
        </is>
      </c>
      <c r="D245" s="5" t="inlineStr">
        <is>
          <t>Chat</t>
        </is>
      </c>
      <c r="E245" s="5" t="inlineStr">
        <is>
          <t>Bronze/Prata</t>
        </is>
      </c>
      <c r="F245" s="5" t="inlineStr">
        <is>
          <t>Manhã</t>
        </is>
      </c>
      <c r="G245" s="5" t="n">
        <v>551</v>
      </c>
      <c r="H245" s="11" t="n">
        <v>0.8547734063322173</v>
      </c>
      <c r="I245" s="11" t="n">
        <v>0.1032126932465043</v>
      </c>
      <c r="J245" s="11" t="n">
        <v>0.131902786338441</v>
      </c>
      <c r="K245" s="12" t="n">
        <v>10.49640749557021</v>
      </c>
      <c r="L245" s="13" t="n">
        <v>0.002521762170631494</v>
      </c>
      <c r="M245" s="11" t="n">
        <v>0.4935628154655223</v>
      </c>
      <c r="N245" s="5" t="n">
        <v>22</v>
      </c>
    </row>
    <row r="246">
      <c r="A246" s="10" t="n">
        <v>46296</v>
      </c>
      <c r="B246" s="5" t="inlineStr">
        <is>
          <t>Livia Cardoso</t>
        </is>
      </c>
      <c r="C246" s="5" t="inlineStr">
        <is>
          <t>Ualifer Azevedo</t>
        </is>
      </c>
      <c r="D246" s="5" t="inlineStr">
        <is>
          <t>Chat</t>
        </is>
      </c>
      <c r="E246" s="5" t="inlineStr">
        <is>
          <t>Bronze/Prata</t>
        </is>
      </c>
      <c r="F246" s="5" t="inlineStr">
        <is>
          <t>Tarde</t>
        </is>
      </c>
      <c r="G246" s="5" t="n">
        <v>3042</v>
      </c>
      <c r="H246" s="11" t="n">
        <v>0.9006166200388623</v>
      </c>
      <c r="I246" s="11" t="n">
        <v>0.1335279934032441</v>
      </c>
      <c r="J246" s="11" t="n">
        <v>0.04627158582047435</v>
      </c>
      <c r="K246" s="12" t="n">
        <v>7.737713661578177</v>
      </c>
      <c r="L246" s="13" t="n">
        <v>0.006782102903883087</v>
      </c>
      <c r="M246" s="11" t="n">
        <v>0.5784809809884448</v>
      </c>
      <c r="N246" s="5" t="n">
        <v>110</v>
      </c>
    </row>
    <row r="247">
      <c r="A247" s="10" t="n">
        <v>46296</v>
      </c>
      <c r="B247" s="5" t="inlineStr">
        <is>
          <t>Livia Cardoso</t>
        </is>
      </c>
      <c r="C247" s="5" t="inlineStr">
        <is>
          <t>Ualifer Azevedo</t>
        </is>
      </c>
      <c r="D247" s="5" t="inlineStr">
        <is>
          <t>Chat</t>
        </is>
      </c>
      <c r="E247" s="5" t="inlineStr">
        <is>
          <t>Ouro/Diamante</t>
        </is>
      </c>
      <c r="F247" s="5" t="inlineStr">
        <is>
          <t>Manhã</t>
        </is>
      </c>
      <c r="G247" s="5" t="n">
        <v>491</v>
      </c>
      <c r="H247" s="11" t="n">
        <v>0.8195533897611711</v>
      </c>
      <c r="I247" s="11" t="n">
        <v>0.1163236700434625</v>
      </c>
      <c r="J247" s="11" t="n">
        <v>0.1159621677911953</v>
      </c>
      <c r="K247" s="12" t="n">
        <v>12.08141399414437</v>
      </c>
      <c r="L247" s="13" t="n">
        <v>0.005008724352080746</v>
      </c>
      <c r="M247" s="11" t="n">
        <v>0.5972514712865623</v>
      </c>
      <c r="N247" s="5" t="n">
        <v>22</v>
      </c>
    </row>
    <row r="248">
      <c r="A248" s="10" t="n">
        <v>46296</v>
      </c>
      <c r="B248" s="5" t="inlineStr">
        <is>
          <t>Livia Cardoso</t>
        </is>
      </c>
      <c r="C248" s="5" t="inlineStr">
        <is>
          <t>Ualifer Azevedo</t>
        </is>
      </c>
      <c r="D248" s="5" t="inlineStr">
        <is>
          <t>Chat</t>
        </is>
      </c>
      <c r="E248" s="5" t="inlineStr">
        <is>
          <t>Ouro/Diamante</t>
        </is>
      </c>
      <c r="F248" s="5" t="inlineStr">
        <is>
          <t>Tarde</t>
        </is>
      </c>
      <c r="G248" s="5" t="n">
        <v>2374</v>
      </c>
      <c r="H248" s="11" t="n">
        <v>0.8591148571842223</v>
      </c>
      <c r="I248" s="11" t="n">
        <v>0.07257778454243426</v>
      </c>
      <c r="J248" s="11" t="n">
        <v>0.0815846102004919</v>
      </c>
      <c r="K248" s="12" t="n">
        <v>13.7360591292044</v>
      </c>
      <c r="L248" s="13" t="n">
        <v>0.007610862094865334</v>
      </c>
      <c r="M248" s="11" t="n">
        <v>0.4905669853730886</v>
      </c>
      <c r="N248" s="5" t="n">
        <v>110</v>
      </c>
    </row>
    <row r="249">
      <c r="A249" s="10" t="n">
        <v>46296</v>
      </c>
      <c r="B249" s="5" t="inlineStr">
        <is>
          <t>Livia Cardoso</t>
        </is>
      </c>
      <c r="C249" s="5" t="inlineStr">
        <is>
          <t>Ualifer Azevedo</t>
        </is>
      </c>
      <c r="D249" s="5" t="inlineStr">
        <is>
          <t>Voz</t>
        </is>
      </c>
      <c r="E249" s="5" t="inlineStr">
        <is>
          <t>Bronze/Prata</t>
        </is>
      </c>
      <c r="F249" s="5" t="inlineStr">
        <is>
          <t>Manhã</t>
        </is>
      </c>
      <c r="G249" s="5" t="n">
        <v>1081</v>
      </c>
      <c r="H249" s="11" t="n">
        <v>0.919353445294823</v>
      </c>
      <c r="I249" s="11" t="n">
        <v>0.07447887444474828</v>
      </c>
      <c r="J249" s="11" t="n">
        <v>0.1277872851254087</v>
      </c>
      <c r="K249" s="12" t="n">
        <v>9.201897933597881</v>
      </c>
      <c r="L249" s="13" t="n">
        <v>0.002494300701776821</v>
      </c>
      <c r="M249" s="11" t="n">
        <v>0.6375495416329127</v>
      </c>
      <c r="N249" s="5" t="n">
        <v>44</v>
      </c>
    </row>
    <row r="250">
      <c r="A250" s="10" t="n">
        <v>46296</v>
      </c>
      <c r="B250" s="5" t="inlineStr">
        <is>
          <t>Livia Cardoso</t>
        </is>
      </c>
      <c r="C250" s="5" t="inlineStr">
        <is>
          <t>Ualifer Azevedo</t>
        </is>
      </c>
      <c r="D250" s="5" t="inlineStr">
        <is>
          <t>Voz</t>
        </is>
      </c>
      <c r="E250" s="5" t="inlineStr">
        <is>
          <t>Bronze/Prata</t>
        </is>
      </c>
      <c r="F250" s="5" t="inlineStr">
        <is>
          <t>Tarde</t>
        </is>
      </c>
      <c r="G250" s="5" t="n">
        <v>2356</v>
      </c>
      <c r="H250" s="11" t="n">
        <v>0.8593010798421368</v>
      </c>
      <c r="I250" s="11" t="n">
        <v>0.09483403396250452</v>
      </c>
      <c r="J250" s="11" t="n">
        <v>0.1245545588893564</v>
      </c>
      <c r="K250" s="12" t="n">
        <v>7.654004395805657</v>
      </c>
      <c r="L250" s="13" t="n">
        <v>0.008218308288164895</v>
      </c>
      <c r="M250" s="11" t="n">
        <v>0.5246331349044557</v>
      </c>
      <c r="N250" s="5" t="n">
        <v>110</v>
      </c>
    </row>
    <row r="251">
      <c r="A251" s="10" t="n">
        <v>46296</v>
      </c>
      <c r="B251" s="5" t="inlineStr">
        <is>
          <t>Livia Cardoso</t>
        </is>
      </c>
      <c r="C251" s="5" t="inlineStr">
        <is>
          <t>Ualifer Azevedo</t>
        </is>
      </c>
      <c r="D251" s="5" t="inlineStr">
        <is>
          <t>Voz</t>
        </is>
      </c>
      <c r="E251" s="5" t="inlineStr">
        <is>
          <t>Ouro/Diamante</t>
        </is>
      </c>
      <c r="F251" s="5" t="inlineStr">
        <is>
          <t>Manhã</t>
        </is>
      </c>
      <c r="G251" s="5" t="n">
        <v>2285</v>
      </c>
      <c r="H251" s="11" t="n">
        <v>0.8466010126202079</v>
      </c>
      <c r="I251" s="11" t="n">
        <v>0.0582468059292829</v>
      </c>
      <c r="J251" s="11" t="n">
        <v>0.1183422268587977</v>
      </c>
      <c r="K251" s="12" t="n">
        <v>7.386585178049115</v>
      </c>
      <c r="L251" s="13" t="n">
        <v>0.003577984574702004</v>
      </c>
      <c r="M251" s="11" t="n">
        <v>0.7180454720575149</v>
      </c>
      <c r="N251" s="5" t="n">
        <v>88</v>
      </c>
    </row>
    <row r="252">
      <c r="A252" s="10" t="n">
        <v>46296</v>
      </c>
      <c r="B252" s="5" t="inlineStr">
        <is>
          <t>Livia Cardoso</t>
        </is>
      </c>
      <c r="C252" s="5" t="inlineStr">
        <is>
          <t>Ualifer Azevedo</t>
        </is>
      </c>
      <c r="D252" s="5" t="inlineStr">
        <is>
          <t>Voz</t>
        </is>
      </c>
      <c r="E252" s="5" t="inlineStr">
        <is>
          <t>Ouro/Diamante</t>
        </is>
      </c>
      <c r="F252" s="5" t="inlineStr">
        <is>
          <t>Tarde</t>
        </is>
      </c>
      <c r="G252" s="5" t="n">
        <v>497</v>
      </c>
      <c r="H252" s="11" t="n">
        <v>0.8945730722154575</v>
      </c>
      <c r="I252" s="11" t="n">
        <v>0.1385403768323491</v>
      </c>
      <c r="J252" s="11" t="n">
        <v>0.06594897210870992</v>
      </c>
      <c r="K252" s="12" t="n">
        <v>7.21896851925091</v>
      </c>
      <c r="L252" s="13" t="n">
        <v>0.005824809714246733</v>
      </c>
      <c r="M252" s="11" t="n">
        <v>0.5356089282204135</v>
      </c>
      <c r="N252" s="5" t="n">
        <v>22</v>
      </c>
    </row>
  </sheetData>
  <autoFilter ref="A4:N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2026-10-26T03:21:36Z</dcterms:created>
  <dcterms:modified xmlns:dcterms="http://purl.org/dc/terms/" xmlns:xsi="http://www.w3.org/2001/XMLSchema-instance" xsi:type="dcterms:W3CDTF">2026-10-26T03:21:36Z</dcterms:modified>
</cp:coreProperties>
</file>