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ome" sheetId="1" state="visible" r:id="rId1"/>
    <sheet xmlns:r="http://schemas.openxmlformats.org/officeDocument/2006/relationships" name="Cash 1" sheetId="2" state="visible" r:id="rId2"/>
    <sheet xmlns:r="http://schemas.openxmlformats.org/officeDocument/2006/relationships" name="Analysis" sheetId="3" state="visible" r:id="rId3"/>
    <sheet xmlns:r="http://schemas.openxmlformats.org/officeDocument/2006/relationships" name="B" sheetId="4" state="visible" r:id="rId4"/>
    <sheet xmlns:r="http://schemas.openxmlformats.org/officeDocument/2006/relationships" name="Árvore" sheetId="5" state="visible" r:id="rId5"/>
  </sheets>
  <definedNames/>
  <calcPr calcId="124519" fullCalcOnLoad="1"/>
</workbook>
</file>

<file path=xl/styles.xml><?xml version="1.0" encoding="utf-8"?>
<styleSheet xmlns="http://schemas.openxmlformats.org/spreadsheetml/2006/main">
  <numFmts count="4">
    <numFmt numFmtId="164" formatCode="HH:mm:ss"/>
    <numFmt numFmtId="165" formatCode="dd/mm/yyyy"/>
    <numFmt numFmtId="166" formatCode="hh:mm:ss"/>
    <numFmt numFmtId="167" formatCode="0.0%"/>
  </numFmts>
  <fonts count="36">
    <font>
      <name val="Arial"/>
      <color rgb="FF000000"/>
      <sz val="10"/>
      <scheme val="minor"/>
    </font>
    <font>
      <name val="Arial"/>
      <color theme="1"/>
      <scheme val="minor"/>
    </font>
    <font>
      <name val="Arial"/>
      <b val="1"/>
      <color rgb="FF00FFFF"/>
      <sz val="18"/>
      <scheme val="minor"/>
    </font>
    <font>
      <name val="Arial"/>
      <b val="1"/>
      <color rgb="FF00FF00"/>
      <scheme val="minor"/>
    </font>
    <font>
      <name val="Arial"/>
      <i val="1"/>
      <color rgb="FFFFFF00"/>
      <scheme val="minor"/>
    </font>
    <font>
      <name val="Arial"/>
      <b val="1"/>
      <color rgb="FF0000FF"/>
      <scheme val="minor"/>
    </font>
    <font>
      <name val="Arial"/>
      <color rgb="FFFFFFFF"/>
      <scheme val="minor"/>
    </font>
    <font>
      <color rgb="FF0000FF"/>
      <u val="single"/>
    </font>
    <font>
      <name val="Arial"/>
      <color rgb="FF0C343D"/>
      <scheme val="minor"/>
    </font>
    <font>
      <name val="Arial"/>
      <color rgb="FF000000"/>
      <scheme val="minor"/>
    </font>
    <font>
      <color rgb="FF134F5C"/>
      <u val="single"/>
    </font>
    <font>
      <color rgb="FF0000FF"/>
      <u val="single"/>
    </font>
    <font>
      <color rgb="FF0C343D"/>
      <u val="single"/>
    </font>
    <font>
      <name val="Arial"/>
      <color rgb="FF134F5C"/>
      <scheme val="minor"/>
    </font>
    <font>
      <name val="Arial"/>
      <b val="1"/>
      <color rgb="00FFFFFF"/>
    </font>
    <font>
      <name val="Arial"/>
      <color rgb="00092859"/>
    </font>
    <font>
      <name val="Arial"/>
      <color rgb="000B1F3A"/>
      <sz val="10"/>
    </font>
    <font>
      <name val="Arial"/>
      <color rgb="001155CC"/>
      <sz val="10"/>
      <u val="single"/>
    </font>
    <font>
      <name val="Arial"/>
      <b val="1"/>
      <color rgb="00274E13"/>
      <sz val="10"/>
    </font>
    <font>
      <name val="Arial"/>
      <color rgb="00FFFFFF"/>
      <sz val="9"/>
    </font>
    <font>
      <name val="Arial"/>
      <b val="1"/>
      <color rgb="00FFFFFF"/>
      <sz val="10"/>
    </font>
    <font>
      <name val="Arial"/>
      <i val="1"/>
      <color rgb="00555555"/>
    </font>
    <font>
      <name val="Arial"/>
      <b val="1"/>
      <color rgb="0000FFFF"/>
      <sz val="14"/>
    </font>
    <font>
      <color rgb="00000000"/>
    </font>
    <font>
      <name val="Arial"/>
      <b val="1"/>
      <color rgb="0000FF00"/>
      <sz val="10"/>
    </font>
    <font>
      <name val="Arial"/>
      <i val="1"/>
      <color rgb="00FFFF00"/>
      <sz val="10"/>
    </font>
    <font>
      <name val="Arial"/>
      <b val="1"/>
      <color rgb="001F4E79"/>
    </font>
    <font>
      <name val="Arial"/>
      <color rgb="00FFFFFF"/>
      <sz val="10"/>
    </font>
    <font>
      <name val="Arial"/>
      <color rgb="004FC3F7"/>
      <sz val="10"/>
      <u val="single"/>
    </font>
    <font>
      <name val="Consolas"/>
      <color rgb="00FFFF00"/>
      <sz val="10"/>
    </font>
    <font>
      <name val="Arial"/>
      <b val="1"/>
      <color rgb="00FFFFFF"/>
      <sz val="14"/>
    </font>
    <font>
      <name val="Arial"/>
      <b val="1"/>
    </font>
    <font>
      <color rgb="00FFFFFF"/>
    </font>
    <font>
      <name val="Arial"/>
      <b val="1"/>
      <color rgb="00092859"/>
      <sz val="18"/>
    </font>
    <font>
      <name val="Arial"/>
      <color rgb="001A1A1A"/>
      <sz val="10"/>
    </font>
    <font>
      <name val="Arial"/>
      <sz val="9"/>
    </font>
  </fonts>
  <fills count="25">
    <fill>
      <patternFill/>
    </fill>
    <fill>
      <patternFill patternType="lightGray"/>
    </fill>
    <fill>
      <patternFill patternType="solid">
        <fgColor rgb="FF000000"/>
        <bgColor rgb="FF000000"/>
      </patternFill>
    </fill>
    <fill>
      <patternFill patternType="solid">
        <fgColor rgb="FFFFFF00"/>
        <bgColor rgb="FFFFFF00"/>
      </patternFill>
    </fill>
    <fill>
      <patternFill patternType="solid">
        <fgColor rgb="FFCCCCCC"/>
        <bgColor rgb="FFCCCCCC"/>
      </patternFill>
    </fill>
    <fill>
      <patternFill patternType="solid">
        <fgColor rgb="FF829A00"/>
        <bgColor rgb="FF829A00"/>
      </patternFill>
    </fill>
    <fill>
      <patternFill patternType="solid">
        <fgColor rgb="FF64D100"/>
        <bgColor rgb="FF64D100"/>
      </patternFill>
    </fill>
    <fill>
      <patternFill patternType="solid">
        <fgColor rgb="FF092859"/>
        <bgColor rgb="FF092859"/>
      </patternFill>
    </fill>
    <fill>
      <patternFill patternType="solid">
        <fgColor rgb="FFDBAE7E"/>
        <bgColor rgb="FFDBAE7E"/>
      </patternFill>
    </fill>
    <fill>
      <patternFill patternType="solid">
        <fgColor rgb="FFD19C64"/>
        <bgColor rgb="FFD19C64"/>
      </patternFill>
    </fill>
    <fill>
      <patternFill patternType="solid">
        <fgColor rgb="FFCD904F"/>
        <bgColor rgb="FFCD904F"/>
      </patternFill>
    </fill>
    <fill>
      <patternFill patternType="solid">
        <fgColor rgb="FFC3813A"/>
        <bgColor rgb="FFC3813A"/>
      </patternFill>
    </fill>
    <fill>
      <patternFill patternType="solid">
        <fgColor rgb="FFB67229"/>
        <bgColor rgb="FFB67229"/>
      </patternFill>
    </fill>
    <fill>
      <patternFill patternType="solid">
        <fgColor rgb="FFA56118"/>
        <bgColor rgb="FFA56118"/>
      </patternFill>
    </fill>
    <fill>
      <patternFill patternType="solid">
        <fgColor rgb="FF975208"/>
        <bgColor rgb="FF975208"/>
      </patternFill>
    </fill>
    <fill>
      <patternFill patternType="solid">
        <fgColor rgb="00092859"/>
      </patternFill>
    </fill>
    <fill>
      <patternFill patternType="solid">
        <fgColor rgb="008DB4E2"/>
      </patternFill>
    </fill>
    <fill>
      <patternFill patternType="solid">
        <fgColor rgb="006D9EEB"/>
      </patternFill>
    </fill>
    <fill>
      <patternFill patternType="solid">
        <fgColor rgb="00DBAE7E"/>
      </patternFill>
    </fill>
    <fill>
      <patternFill patternType="solid">
        <fgColor rgb="00B6D7A8"/>
      </patternFill>
    </fill>
    <fill>
      <patternFill patternType="solid">
        <fgColor rgb="0093C47D"/>
      </patternFill>
    </fill>
    <fill>
      <patternFill patternType="solid">
        <fgColor rgb="00434343"/>
      </patternFill>
    </fill>
    <fill>
      <patternFill patternType="solid"/>
    </fill>
    <fill>
      <patternFill patternType="solid">
        <fgColor rgb="00DDEBF7"/>
      </patternFill>
    </fill>
    <fill>
      <patternFill patternType="solid">
        <fgColor rgb="00EEF3FA"/>
      </patternFill>
    </fill>
  </fills>
  <borders count="7">
    <border/>
    <border>
      <left style="hair">
        <color rgb="FF000000"/>
      </left>
      <right style="hair">
        <color rgb="FF000000"/>
      </right>
      <top style="hair">
        <color rgb="FF000000"/>
      </top>
      <bottom style="hair">
        <color rgb="FF000000"/>
      </bottom>
    </border>
    <border>
      <left style="thin">
        <color rgb="FF000000"/>
      </left>
      <right style="thin">
        <color rgb="FF000000"/>
      </right>
      <top style="thin">
        <color rgb="FF000000"/>
      </top>
      <bottom style="thin">
        <color rgb="FF000000"/>
      </bottom>
    </border>
    <border>
      <left style="thick">
        <color rgb="FFFFFFFF"/>
      </left>
      <right style="thick">
        <color rgb="FFFFFFFF"/>
      </right>
    </border>
    <border>
      <left style="dotted">
        <color rgb="FF000000"/>
      </left>
      <top style="dotted">
        <color rgb="FF000000"/>
      </top>
    </border>
    <border>
      <left style="dotted">
        <color rgb="FF000000"/>
      </left>
    </border>
    <border>
      <left style="thin">
        <color rgb="002F4F7F"/>
      </left>
      <right style="thin">
        <color rgb="002F4F7F"/>
      </right>
      <top style="thin">
        <color rgb="002F4F7F"/>
      </top>
      <bottom style="thin">
        <color rgb="002F4F7F"/>
      </bottom>
    </border>
  </borders>
  <cellStyleXfs count="1">
    <xf numFmtId="0" fontId="0" fillId="0" borderId="0"/>
  </cellStyleXfs>
  <cellXfs count="104">
    <xf numFmtId="0" fontId="0" fillId="0" borderId="0" applyAlignment="1" pivotButton="0" quotePrefix="0" xfId="0">
      <alignment vertical="bottom"/>
    </xf>
    <xf numFmtId="0" fontId="1" fillId="0" borderId="0" pivotButton="0" quotePrefix="0" xfId="0"/>
    <xf numFmtId="0" fontId="2" fillId="2" borderId="1" applyAlignment="1" pivotButton="0" quotePrefix="0" xfId="0">
      <alignment vertical="center"/>
    </xf>
    <xf numFmtId="0" fontId="1" fillId="0" borderId="0" applyAlignment="1" pivotButton="0" quotePrefix="0" xfId="0">
      <alignment horizontal="right" vertical="center"/>
    </xf>
    <xf numFmtId="0" fontId="3" fillId="2" borderId="1" applyAlignment="1" pivotButton="0" quotePrefix="0" xfId="0">
      <alignment vertical="center"/>
    </xf>
    <xf numFmtId="0" fontId="4" fillId="2" borderId="1" applyAlignment="1" pivotButton="0" quotePrefix="0" xfId="0">
      <alignment vertical="center"/>
    </xf>
    <xf numFmtId="0" fontId="1" fillId="3" borderId="2" applyAlignment="1" pivotButton="0" quotePrefix="0" xfId="0">
      <alignment vertical="center"/>
    </xf>
    <xf numFmtId="0" fontId="1" fillId="0" borderId="0" applyAlignment="1" pivotButton="0" quotePrefix="0" xfId="0">
      <alignment vertical="center"/>
    </xf>
    <xf numFmtId="0" fontId="1" fillId="0" borderId="0" pivotButton="0" quotePrefix="0" xfId="0"/>
    <xf numFmtId="0" fontId="5" fillId="2" borderId="1" applyAlignment="1" pivotButton="0" quotePrefix="0" xfId="0">
      <alignment vertical="center"/>
    </xf>
    <xf numFmtId="0" fontId="1" fillId="4" borderId="0" applyAlignment="1" pivotButton="0" quotePrefix="0" xfId="0">
      <alignment vertical="center"/>
    </xf>
    <xf numFmtId="0" fontId="6" fillId="2" borderId="1" applyAlignment="1" pivotButton="0" quotePrefix="0" xfId="0">
      <alignment vertical="center"/>
    </xf>
    <xf numFmtId="0" fontId="1" fillId="5" borderId="2" applyAlignment="1" pivotButton="0" quotePrefix="0" xfId="0">
      <alignment vertical="center"/>
    </xf>
    <xf numFmtId="0" fontId="1" fillId="2" borderId="1" applyAlignment="1" pivotButton="0" quotePrefix="0" xfId="0">
      <alignment vertical="center"/>
    </xf>
    <xf numFmtId="0" fontId="1" fillId="6" borderId="2" applyAlignment="1" pivotButton="0" quotePrefix="0" xfId="0">
      <alignment vertical="center"/>
    </xf>
    <xf numFmtId="0" fontId="5" fillId="2" borderId="1" applyAlignment="1" pivotButton="0" quotePrefix="0" xfId="0">
      <alignment vertical="center"/>
    </xf>
    <xf numFmtId="164" fontId="1" fillId="0" borderId="0" applyAlignment="1" pivotButton="0" quotePrefix="0" xfId="0">
      <alignment vertical="center"/>
    </xf>
    <xf numFmtId="0" fontId="6" fillId="7" borderId="0" applyAlignment="1" pivotButton="0" quotePrefix="0" xfId="0">
      <alignment horizontal="center" vertical="center"/>
    </xf>
    <xf numFmtId="0" fontId="6" fillId="2" borderId="1" applyAlignment="1" pivotButton="0" quotePrefix="0" xfId="0">
      <alignment vertical="center"/>
    </xf>
    <xf numFmtId="49" fontId="1" fillId="0" borderId="0" applyAlignment="1" pivotButton="0" quotePrefix="0" xfId="0">
      <alignment vertical="center"/>
    </xf>
    <xf numFmtId="0" fontId="6" fillId="2" borderId="3" applyAlignment="1" pivotButton="0" quotePrefix="0" xfId="0">
      <alignment horizontal="center" vertical="center"/>
    </xf>
    <xf numFmtId="164" fontId="1" fillId="0" borderId="0" applyAlignment="1" pivotButton="0" quotePrefix="0" xfId="0">
      <alignment horizontal="left" vertical="center"/>
    </xf>
    <xf numFmtId="0" fontId="6" fillId="7" borderId="0" applyAlignment="1" pivotButton="0" quotePrefix="0" xfId="0">
      <alignment horizontal="left" vertical="center"/>
    </xf>
    <xf numFmtId="0" fontId="6" fillId="7" borderId="4" applyAlignment="1" pivotButton="0" quotePrefix="0" xfId="0">
      <alignment horizontal="center" vertical="center"/>
    </xf>
    <xf numFmtId="0" fontId="7" fillId="2" borderId="1" applyAlignment="1" pivotButton="0" quotePrefix="0" xfId="0">
      <alignment vertical="center"/>
    </xf>
    <xf numFmtId="0" fontId="6" fillId="7" borderId="0" applyAlignment="1" pivotButton="0" quotePrefix="0" xfId="0">
      <alignment horizontal="left" vertical="center"/>
    </xf>
    <xf numFmtId="0" fontId="4" fillId="2" borderId="1" applyAlignment="1" pivotButton="0" quotePrefix="0" xfId="0">
      <alignment vertical="center"/>
    </xf>
    <xf numFmtId="0" fontId="6" fillId="7" borderId="0" applyAlignment="1" pivotButton="0" quotePrefix="0" xfId="0">
      <alignment horizontal="center" vertical="center"/>
    </xf>
    <xf numFmtId="0" fontId="6" fillId="7" borderId="5" applyAlignment="1" pivotButton="0" quotePrefix="0" xfId="0">
      <alignment horizontal="center" vertical="center"/>
    </xf>
    <xf numFmtId="0" fontId="6" fillId="7" borderId="0" applyAlignment="1" pivotButton="0" quotePrefix="0" xfId="0">
      <alignment horizontal="left" vertical="center"/>
    </xf>
    <xf numFmtId="0" fontId="8" fillId="7" borderId="0" applyAlignment="1" pivotButton="0" quotePrefix="0" xfId="0">
      <alignment horizontal="left" vertical="center"/>
    </xf>
    <xf numFmtId="0" fontId="6" fillId="7" borderId="0" applyAlignment="1" pivotButton="0" quotePrefix="0" xfId="0">
      <alignment horizontal="left" vertical="center"/>
    </xf>
    <xf numFmtId="0" fontId="6" fillId="2" borderId="0" applyAlignment="1" pivotButton="0" quotePrefix="0" xfId="0">
      <alignment horizontal="center" vertical="center"/>
    </xf>
    <xf numFmtId="0" fontId="9" fillId="2" borderId="0" applyAlignment="1" pivotButton="0" quotePrefix="0" xfId="0">
      <alignment horizontal="center" vertical="center"/>
    </xf>
    <xf numFmtId="165" fontId="9" fillId="2" borderId="0" applyAlignment="1" pivotButton="0" quotePrefix="0" xfId="0">
      <alignment horizontal="center" vertical="center"/>
    </xf>
    <xf numFmtId="164" fontId="9" fillId="2" borderId="0" applyAlignment="1" pivotButton="0" quotePrefix="0" xfId="0">
      <alignment horizontal="center" vertical="center"/>
    </xf>
    <xf numFmtId="0" fontId="10" fillId="2" borderId="0" applyAlignment="1" pivotButton="0" quotePrefix="0" xfId="0">
      <alignment horizontal="left" vertical="center"/>
    </xf>
    <xf numFmtId="0" fontId="9" fillId="2" borderId="0" applyAlignment="1" pivotButton="0" quotePrefix="0" xfId="0">
      <alignment horizontal="left" vertical="center"/>
    </xf>
    <xf numFmtId="0" fontId="9" fillId="2" borderId="0" applyAlignment="1" pivotButton="0" quotePrefix="0" xfId="0">
      <alignment horizontal="left" vertical="center"/>
    </xf>
    <xf numFmtId="0" fontId="1" fillId="0" borderId="0" applyAlignment="1" pivotButton="0" quotePrefix="0" xfId="0">
      <alignment vertical="center"/>
    </xf>
    <xf numFmtId="0" fontId="1" fillId="4" borderId="0" applyAlignment="1" pivotButton="0" quotePrefix="0" xfId="0">
      <alignment vertical="center"/>
    </xf>
    <xf numFmtId="0" fontId="9" fillId="2" borderId="5" applyAlignment="1" pivotButton="0" quotePrefix="0" xfId="0">
      <alignment horizontal="center" vertical="center"/>
    </xf>
    <xf numFmtId="0" fontId="11" fillId="4" borderId="0" applyAlignment="1" pivotButton="0" quotePrefix="0" xfId="0">
      <alignment vertical="center"/>
    </xf>
    <xf numFmtId="164" fontId="1" fillId="0" borderId="0" applyAlignment="1" pivotButton="0" quotePrefix="0" xfId="0">
      <alignment vertical="center"/>
    </xf>
    <xf numFmtId="0" fontId="9" fillId="8" borderId="0" applyAlignment="1" pivotButton="0" quotePrefix="0" xfId="0">
      <alignment horizontal="left" vertical="center"/>
    </xf>
    <xf numFmtId="0" fontId="12" fillId="9" borderId="0" applyAlignment="1" pivotButton="0" quotePrefix="0" xfId="0">
      <alignment horizontal="left" vertical="center"/>
    </xf>
    <xf numFmtId="0" fontId="1" fillId="0" borderId="0" applyAlignment="1" pivotButton="0" quotePrefix="0" xfId="0">
      <alignment horizontal="left" vertical="center"/>
    </xf>
    <xf numFmtId="0" fontId="9" fillId="10" borderId="0" applyAlignment="1" pivotButton="0" quotePrefix="0" xfId="0">
      <alignment horizontal="left" vertical="center"/>
    </xf>
    <xf numFmtId="0" fontId="9" fillId="11" borderId="0" applyAlignment="1" pivotButton="0" quotePrefix="0" xfId="0">
      <alignment horizontal="left" vertical="center"/>
    </xf>
    <xf numFmtId="0" fontId="9" fillId="12" borderId="0" applyAlignment="1" pivotButton="0" quotePrefix="0" xfId="0">
      <alignment horizontal="left" vertical="center"/>
    </xf>
    <xf numFmtId="0" fontId="9" fillId="13" borderId="0" applyAlignment="1" pivotButton="0" quotePrefix="0" xfId="0">
      <alignment horizontal="left" vertical="center"/>
    </xf>
    <xf numFmtId="0" fontId="9" fillId="14" borderId="0" applyAlignment="1" pivotButton="0" quotePrefix="0" xfId="0">
      <alignment horizontal="left" vertical="center"/>
    </xf>
    <xf numFmtId="0" fontId="6" fillId="2" borderId="0" applyAlignment="1" pivotButton="0" quotePrefix="0" xfId="0">
      <alignment horizontal="center" vertical="center"/>
    </xf>
    <xf numFmtId="0" fontId="13" fillId="2" borderId="0" applyAlignment="1" pivotButton="0" quotePrefix="0" xfId="0">
      <alignment horizontal="left" vertical="center"/>
    </xf>
    <xf numFmtId="0" fontId="8" fillId="9" borderId="0" applyAlignment="1" pivotButton="0" quotePrefix="0" xfId="0">
      <alignment horizontal="left" vertical="center"/>
    </xf>
    <xf numFmtId="0" fontId="1" fillId="4" borderId="0" applyAlignment="1" pivotButton="0" quotePrefix="0" xfId="0">
      <alignment vertical="center"/>
    </xf>
    <xf numFmtId="0" fontId="9" fillId="2" borderId="5" applyAlignment="1" pivotButton="0" quotePrefix="0" xfId="0">
      <alignment horizontal="center" vertical="center"/>
    </xf>
    <xf numFmtId="0" fontId="13" fillId="2" borderId="0" applyAlignment="1" pivotButton="0" quotePrefix="0" xfId="0">
      <alignment horizontal="left" vertical="center"/>
    </xf>
    <xf numFmtId="0" fontId="0" fillId="0" borderId="0" pivotButton="0" quotePrefix="0" xfId="0"/>
    <xf numFmtId="0" fontId="14" fillId="15" borderId="0" applyAlignment="1" pivotButton="0" quotePrefix="0" xfId="0">
      <alignment horizontal="center" vertical="center"/>
    </xf>
    <xf numFmtId="0" fontId="15" fillId="7" borderId="0" applyAlignment="1" pivotButton="0" quotePrefix="0" xfId="0">
      <alignment horizontal="center" vertical="center"/>
    </xf>
    <xf numFmtId="0" fontId="15" fillId="7" borderId="0" applyAlignment="1" pivotButton="0" quotePrefix="0" xfId="0">
      <alignment horizontal="left" vertical="center"/>
    </xf>
    <xf numFmtId="0" fontId="20" fillId="2" borderId="0" applyAlignment="1" pivotButton="0" quotePrefix="0" xfId="0">
      <alignment horizontal="center" vertical="center"/>
    </xf>
    <xf numFmtId="1" fontId="9" fillId="2" borderId="0" applyAlignment="1" pivotButton="0" quotePrefix="0" xfId="0">
      <alignment horizontal="center" vertical="center"/>
    </xf>
    <xf numFmtId="165" fontId="16" fillId="16" borderId="0" applyAlignment="1" pivotButton="0" quotePrefix="0" xfId="0">
      <alignment horizontal="center" vertical="center"/>
    </xf>
    <xf numFmtId="166" fontId="16" fillId="16" borderId="0" applyAlignment="1" pivotButton="0" quotePrefix="0" xfId="0">
      <alignment horizontal="center" vertical="center"/>
    </xf>
    <xf numFmtId="0" fontId="17" fillId="17" borderId="0" applyAlignment="1" pivotButton="0" quotePrefix="0" xfId="0">
      <alignment horizontal="left" vertical="center"/>
    </xf>
    <xf numFmtId="0" fontId="16" fillId="16" borderId="0" applyAlignment="1" pivotButton="0" quotePrefix="0" xfId="0">
      <alignment horizontal="left" vertical="center"/>
    </xf>
    <xf numFmtId="0" fontId="9" fillId="16" borderId="5" applyAlignment="1" pivotButton="0" quotePrefix="0" xfId="0">
      <alignment horizontal="center" vertical="center"/>
    </xf>
    <xf numFmtId="0" fontId="16" fillId="18" borderId="0" applyAlignment="1" pivotButton="0" quotePrefix="0" xfId="0">
      <alignment horizontal="left" vertical="center"/>
    </xf>
    <xf numFmtId="0" fontId="18" fillId="19" borderId="0" applyAlignment="1" pivotButton="0" quotePrefix="0" xfId="0">
      <alignment horizontal="center" vertical="center"/>
    </xf>
    <xf numFmtId="0" fontId="16" fillId="20" borderId="0" applyAlignment="1" pivotButton="0" quotePrefix="0" xfId="0">
      <alignment horizontal="left" vertical="center"/>
    </xf>
    <xf numFmtId="0" fontId="19" fillId="21" borderId="0" applyAlignment="1" pivotButton="0" quotePrefix="0" xfId="0">
      <alignment horizontal="center"/>
    </xf>
    <xf numFmtId="0" fontId="22" fillId="22" borderId="1" applyAlignment="1" pivotButton="0" quotePrefix="0" xfId="0">
      <alignment horizontal="left"/>
    </xf>
    <xf numFmtId="0" fontId="22" fillId="22" borderId="1" applyAlignment="1" pivotButton="0" quotePrefix="0" xfId="0">
      <alignment vertical="center"/>
    </xf>
    <xf numFmtId="0" fontId="22" fillId="22" borderId="0" pivotButton="0" quotePrefix="0" xfId="0"/>
    <xf numFmtId="0" fontId="24" fillId="22" borderId="1" applyAlignment="1" pivotButton="0" quotePrefix="0" xfId="0">
      <alignment vertical="center"/>
    </xf>
    <xf numFmtId="0" fontId="25" fillId="22" borderId="1" applyAlignment="1" pivotButton="0" quotePrefix="0" xfId="0">
      <alignment vertical="center"/>
    </xf>
    <xf numFmtId="0" fontId="26" fillId="23" borderId="1" applyAlignment="1" pivotButton="0" quotePrefix="0" xfId="0">
      <alignment vertical="center"/>
    </xf>
    <xf numFmtId="0" fontId="27" fillId="22" borderId="1" applyAlignment="1" pivotButton="0" quotePrefix="0" xfId="0">
      <alignment vertical="top" wrapText="1"/>
    </xf>
    <xf numFmtId="0" fontId="28" fillId="22" borderId="1" applyAlignment="1" pivotButton="0" quotePrefix="0" xfId="0">
      <alignment vertical="top" wrapText="1"/>
    </xf>
    <xf numFmtId="0" fontId="27" fillId="22" borderId="0" applyAlignment="1" pivotButton="0" quotePrefix="0" xfId="0">
      <alignment vertical="top" wrapText="1"/>
    </xf>
    <xf numFmtId="0" fontId="23" fillId="0" borderId="0" pivotButton="0" quotePrefix="0" xfId="0"/>
    <xf numFmtId="0" fontId="1" fillId="22" borderId="1" applyAlignment="1" pivotButton="0" quotePrefix="0" xfId="0">
      <alignment vertical="center"/>
    </xf>
    <xf numFmtId="0" fontId="4" fillId="22" borderId="1" applyAlignment="1" pivotButton="0" quotePrefix="0" xfId="0">
      <alignment vertical="center"/>
    </xf>
    <xf numFmtId="0" fontId="6" fillId="22" borderId="1" applyAlignment="1" pivotButton="0" quotePrefix="0" xfId="0">
      <alignment vertical="center"/>
    </xf>
    <xf numFmtId="0" fontId="0" fillId="22" borderId="0" pivotButton="0" quotePrefix="0" xfId="0"/>
    <xf numFmtId="0" fontId="29" fillId="22" borderId="1" applyAlignment="1" pivotButton="0" quotePrefix="0" xfId="0">
      <alignment vertical="center"/>
    </xf>
    <xf numFmtId="0" fontId="30" fillId="15" borderId="0" applyAlignment="1" pivotButton="0" quotePrefix="0" xfId="0">
      <alignment vertical="center"/>
    </xf>
    <xf numFmtId="0" fontId="0" fillId="15" borderId="0" pivotButton="0" quotePrefix="0" xfId="0"/>
    <xf numFmtId="0" fontId="20" fillId="15" borderId="0" pivotButton="0" quotePrefix="0" xfId="0"/>
    <xf numFmtId="0" fontId="31" fillId="23" borderId="6" pivotButton="0" quotePrefix="0" xfId="0"/>
    <xf numFmtId="0" fontId="32" fillId="0" borderId="0" pivotButton="0" quotePrefix="0" xfId="0"/>
    <xf numFmtId="0" fontId="33" fillId="24" borderId="0" applyAlignment="1" pivotButton="0" quotePrefix="0" xfId="0">
      <alignment horizontal="center"/>
    </xf>
    <xf numFmtId="0" fontId="0" fillId="24" borderId="0" pivotButton="0" quotePrefix="0" xfId="0"/>
    <xf numFmtId="0" fontId="20" fillId="15" borderId="0" applyAlignment="1" pivotButton="0" quotePrefix="0" xfId="0">
      <alignment horizontal="center"/>
    </xf>
    <xf numFmtId="0" fontId="34" fillId="0" borderId="6" applyAlignment="1" pivotButton="0" quotePrefix="0" xfId="0">
      <alignment horizontal="center"/>
    </xf>
    <xf numFmtId="0" fontId="35" fillId="0" borderId="0" applyAlignment="1" pivotButton="0" quotePrefix="0" xfId="0">
      <alignment horizontal="center"/>
    </xf>
    <xf numFmtId="0" fontId="34" fillId="0" borderId="6" pivotButton="0" quotePrefix="0" xfId="0"/>
    <xf numFmtId="0" fontId="0" fillId="0" borderId="6" pivotButton="0" quotePrefix="0" xfId="0"/>
    <xf numFmtId="167" fontId="34" fillId="0" borderId="6" pivotButton="0" quotePrefix="0" xfId="0"/>
    <xf numFmtId="0" fontId="14" fillId="15" borderId="0" pivotButton="0" quotePrefix="0" xfId="0"/>
    <xf numFmtId="0" fontId="21" fillId="0" borderId="0" pivotButton="0" quotePrefix="0" xfId="0"/>
    <xf numFmtId="0" fontId="0" fillId="0" borderId="6" applyAlignment="1" pivotButton="0" quotePrefix="0" xfId="0">
      <alignment vertical="top" wrapText="1"/>
    </xf>
  </cellXfs>
  <cellStyles count="1">
    <cellStyle name="Normal" xfId="0" builtinId="0"/>
  </cellStyles>
  <dxfs count="22">
    <dxf>
      <font/>
      <fill>
        <patternFill/>
      </fill>
      <border/>
    </dxf>
    <dxf>
      <font/>
      <fill>
        <patternFill patternType="solid">
          <fgColor rgb="FFC9DAF8"/>
          <bgColor rgb="FFC9DAF8"/>
        </patternFill>
      </fill>
      <border/>
    </dxf>
    <dxf>
      <font/>
      <fill>
        <patternFill patternType="solid">
          <fgColor rgb="FFBBCFF2"/>
          <bgColor rgb="FFBBCFF2"/>
        </patternFill>
      </fill>
      <border/>
    </dxf>
    <dxf>
      <font/>
      <fill>
        <patternFill patternType="solid">
          <fgColor rgb="FFA4C2F4"/>
          <bgColor rgb="FFA4C2F4"/>
        </patternFill>
      </fill>
      <border/>
    </dxf>
    <dxf>
      <font/>
      <fill>
        <patternFill patternType="solid">
          <fgColor rgb="FF7FABEF"/>
          <bgColor rgb="FF7FABEF"/>
        </patternFill>
      </fill>
      <border/>
    </dxf>
    <dxf>
      <font/>
      <fill>
        <patternFill patternType="solid">
          <fgColor rgb="FFB6D7A8"/>
          <bgColor rgb="FFB6D7A8"/>
        </patternFill>
      </fill>
      <border/>
    </dxf>
    <dxf>
      <font/>
      <fill>
        <patternFill patternType="solid">
          <fgColor rgb="FF93C47D"/>
          <bgColor rgb="FF93C47D"/>
        </patternFill>
      </fill>
      <border/>
    </dxf>
    <dxf>
      <font>
        <color rgb="FF000000"/>
      </font>
      <fill>
        <patternFill patternType="solid">
          <fgColor rgb="FF000000"/>
          <bgColor rgb="FF000000"/>
        </patternFill>
      </fill>
      <border/>
    </dxf>
    <dxf>
      <font>
        <color rgb="FFFFFFFF"/>
      </font>
      <fill>
        <patternFill patternType="solid">
          <fgColor rgb="FF0B5394"/>
          <bgColor rgb="FF0B5394"/>
        </patternFill>
      </fill>
      <border/>
    </dxf>
    <dxf>
      <font>
        <color rgb="FFFFFFFF"/>
      </font>
      <fill>
        <patternFill patternType="solid">
          <fgColor rgb="FF1C4587"/>
          <bgColor rgb="FF1C4587"/>
        </patternFill>
      </fill>
      <border/>
    </dxf>
    <dxf>
      <font>
        <color rgb="FFFF9900"/>
      </font>
      <fill>
        <patternFill patternType="solid">
          <fgColor rgb="FF000000"/>
          <bgColor rgb="FF000000"/>
        </patternFill>
      </fill>
      <border/>
    </dxf>
    <dxf>
      <font>
        <color rgb="FF00FFFF"/>
      </font>
      <fill>
        <patternFill patternType="solid">
          <fgColor rgb="FF000000"/>
          <bgColor rgb="FF000000"/>
        </patternFill>
      </fill>
      <border/>
    </dxf>
    <dxf>
      <font>
        <color rgb="FF00FF00"/>
      </font>
      <fill>
        <patternFill patternType="solid">
          <fgColor rgb="FF000000"/>
          <bgColor rgb="FF000000"/>
        </patternFill>
      </fill>
      <border/>
    </dxf>
    <dxf>
      <font>
        <color rgb="FFFFFFFF"/>
      </font>
      <fill>
        <patternFill patternType="solid">
          <fgColor rgb="FFFF0000"/>
          <bgColor rgb="FFFF0000"/>
        </patternFill>
      </fill>
      <border/>
    </dxf>
    <dxf>
      <font>
        <color rgb="FFFFFFFF"/>
      </font>
      <fill>
        <patternFill patternType="solid">
          <fgColor rgb="FF000000"/>
          <bgColor rgb="FF000000"/>
        </patternFill>
      </fill>
      <border/>
    </dxf>
    <dxf>
      <font>
        <color rgb="FF0B5394"/>
      </font>
      <fill>
        <patternFill patternType="solid">
          <fgColor rgb="FF0B5394"/>
          <bgColor rgb="FF0B5394"/>
        </patternFill>
      </fill>
      <border/>
    </dxf>
    <dxf>
      <font>
        <color rgb="FFFFFFFF"/>
      </font>
      <fill>
        <patternFill patternType="solid">
          <fgColor rgb="FF643605"/>
          <bgColor rgb="FF643605"/>
        </patternFill>
      </fill>
      <border/>
    </dxf>
    <dxf>
      <font>
        <color rgb="FFFFFFFF"/>
      </font>
      <fill>
        <patternFill patternType="solid">
          <fgColor rgb="FF274E13"/>
          <bgColor rgb="FF274E13"/>
        </patternFill>
      </fill>
      <border/>
    </dxf>
    <dxf>
      <font>
        <color rgb="FF434343"/>
      </font>
      <fill>
        <patternFill patternType="solid">
          <fgColor rgb="FF434343"/>
          <bgColor rgb="FF434343"/>
        </patternFill>
      </fill>
      <border/>
    </dxf>
    <dxf>
      <font>
        <color rgb="00000000"/>
      </font>
      <fill>
        <patternFill patternType="solid"/>
      </fill>
    </dxf>
    <dxf>
      <fill>
        <patternFill patternType="solid">
          <fgColor rgb="000B2A0B"/>
        </patternFill>
      </fill>
    </dxf>
    <dxf>
      <font>
        <b val="1"/>
        <color rgb="00FFFF00"/>
      </font>
    </dxf>
  </dxfs>
  <tableStyles count="3" defaultTableStyle="TableStyleMedium9" defaultPivotStyle="PivotStyleLight16">
    <tableStyle name="Home-style" pivot="0" count="2">
      <tableStyleElement type="firstRowStripe" dxfId="1"/>
      <tableStyleElement type="secondRowStripe" dxfId="2"/>
    </tableStyle>
    <tableStyle name="Home-style 2" pivot="0" count="2">
      <tableStyleElement type="firstRowStripe" dxfId="3"/>
      <tableStyleElement type="secondRowStripe" dxfId="4"/>
    </tableStyle>
    <tableStyle name="Home-style 3" pivot="0" count="2">
      <tableStyleElement type="firstRowStripe" dxfId="5"/>
      <tableStyleElement type="secondRowStripe" dxfId="6"/>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Table_1" displayName="Table_1" ref="C3:H976" headerRowCount="0">
  <tableColumns count="6">
    <tableColumn id="1" name="Column1"/>
    <tableColumn id="2" name="Column2"/>
    <tableColumn id="3" name="Column3"/>
    <tableColumn id="4" name="Column4"/>
    <tableColumn id="5" name="Column5"/>
    <tableColumn id="6" name="Column6"/>
  </tableColumns>
  <tableStyleInfo name="Home-style" showFirstColumn="1" showLastColumn="1" showRowStripes="1" showColumnStripes="0"/>
</table>
</file>

<file path=xl/tables/table2.xml><?xml version="1.0" encoding="utf-8"?>
<table xmlns="http://schemas.openxmlformats.org/spreadsheetml/2006/main" id="2" name="Table_2" displayName="Table_2" ref="I3:L976" headerRowCount="0">
  <tableColumns count="4">
    <tableColumn id="1" name="Column1"/>
    <tableColumn id="2" name="Column2"/>
    <tableColumn id="3" name="Column3"/>
    <tableColumn id="4" name="Column4"/>
  </tableColumns>
  <tableStyleInfo name="Home-style 2" showFirstColumn="1" showLastColumn="1" showRowStripes="1" showColumnStripes="0"/>
</table>
</file>

<file path=xl/tables/table3.xml><?xml version="1.0" encoding="utf-8"?>
<table xmlns="http://schemas.openxmlformats.org/spreadsheetml/2006/main" id="3" name="Table_3" displayName="Table_3" ref="V3:X976" headerRowCount="0">
  <tableColumns count="3">
    <tableColumn id="1" name="Column1"/>
    <tableColumn id="2" name="Column2"/>
    <tableColumn id="3" name="Column3"/>
  </tableColumns>
  <tableStyleInfo name="Home-style 3"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ocs.google.com/spreadsheets/d/1ZiCGoPjLCjuYvujDTXK9Ixbth3tekiLtFBzBrGjPCr4/edit?gid=0" TargetMode="External" Id="rId1"/><Relationship Type="http://schemas.openxmlformats.org/officeDocument/2006/relationships/hyperlink" Target="https://docs.google.com/spreadsheets/d/1ZiCGoPjLCjuYvujDTXK9Ixbth3tekiLtFBzBrGjPCr4/edit?gid=0" TargetMode="External" Id="rId2"/><Relationship Type="http://schemas.openxmlformats.org/officeDocument/2006/relationships/hyperlink" Target="https://docs.google.com/spreadsheets/d/1ZiCGoPjLCjuYvujDTXK9Ixbth3tekiLtFBzBrGjPCr4/edit?gid=0" TargetMode="External" Id="rId3"/><Relationship Type="http://schemas.openxmlformats.org/officeDocument/2006/relationships/hyperlink" Target="https://docs.google.com/spreadsheets/d/1ZiCGoPjLCjuYvujDTXK9Ixbth3tekiLtFBzBrGjPCr4/edit?gid=0" TargetMode="External" Id="rId4"/><Relationship Type="http://schemas.openxmlformats.org/officeDocument/2006/relationships/hyperlink" Target="https://docs.google.com/spreadsheets/d/1ZiCGoPjLCjuYvujDTXK9Ixbth3tekiLtFBzBrGjPCr4/edit?gid=0" TargetMode="External" Id="rId5"/><Relationship Type="http://schemas.openxmlformats.org/officeDocument/2006/relationships/hyperlink" Target="https://docs.google.com/spreadsheets/d/1ZiCGoPjLCjuYvujDTXK9Ixbth3tekiLtFBzBrGjPCr4/edit?gid=0" TargetMode="External" Id="rId6"/><Relationship Type="http://schemas.openxmlformats.org/officeDocument/2006/relationships/hyperlink" Target="https://docs.google.com/spreadsheets/d/1ZiCGoPjLCjuYvujDTXK9Ixbth3tekiLtFBzBrGjPCr4/edit?gid=0" TargetMode="External" Id="rId7"/><Relationship Type="http://schemas.openxmlformats.org/officeDocument/2006/relationships/hyperlink" Target="https://docs.google.com/spreadsheets/d/1ZiCGoPjLCjuYvujDTXK9Ixbth3tekiLtFBzBrGjPCr4/edit?gid=0" TargetMode="External" Id="rId8"/><Relationship Type="http://schemas.openxmlformats.org/officeDocument/2006/relationships/hyperlink" Target="https://docs.google.com/spreadsheets/d/1ZiCGoPjLCjuYvujDTXK9Ixbth3tekiLtFBzBrGjPCr4/edit?gid=0" TargetMode="External" Id="rId9"/><Relationship Type="http://schemas.openxmlformats.org/officeDocument/2006/relationships/hyperlink" Target="https://docs.google.com/spreadsheets/d/1ZiCGoPjLCjuYvujDTXK9Ixbth3tekiLtFBzBrGjPCr4/edit?gid=0" TargetMode="External" Id="rId10"/><Relationship Type="http://schemas.openxmlformats.org/officeDocument/2006/relationships/hyperlink" Target="https://docs.google.com/spreadsheets/d/1ZiCGoPjLCjuYvujDTXK9Ixbth3tekiLtFBzBrGjPCr4/edit?gid=0" TargetMode="External" Id="rId11"/><Relationship Type="http://schemas.openxmlformats.org/officeDocument/2006/relationships/hyperlink" Target="https://docs.google.com/spreadsheets/d/1ZiCGoPjLCjuYvujDTXK9Ixbth3tekiLtFBzBrGjPCr4/edit?gid=0" TargetMode="External" Id="rId12"/><Relationship Type="http://schemas.openxmlformats.org/officeDocument/2006/relationships/hyperlink" Target="https://docs.google.com/spreadsheets/d/1ZiCGoPjLCjuYvujDTXK9Ixbth3tekiLtFBzBrGjPCr4/edit?gid=0" TargetMode="External" Id="rId13"/><Relationship Type="http://schemas.openxmlformats.org/officeDocument/2006/relationships/hyperlink" Target="https://docs.google.com/spreadsheets/d/1ZiCGoPjLCjuYvujDTXK9Ixbth3tekiLtFBzBrGjPCr4/edit?gid=0" TargetMode="External" Id="rId14"/><Relationship Type="http://schemas.openxmlformats.org/officeDocument/2006/relationships/hyperlink" Target="https://docs.google.com/spreadsheets/d/1ZiCGoPjLCjuYvujDTXK9Ixbth3tekiLtFBzBrGjPCr4/edit?gid=0" TargetMode="External" Id="rId15"/><Relationship Type="http://schemas.openxmlformats.org/officeDocument/2006/relationships/hyperlink" Target="https://docs.google.com/spreadsheets/d/1ZiCGoPjLCjuYvujDTXK9Ixbth3tekiLtFBzBrGjPCr4/edit?gid=0" TargetMode="External" Id="rId16"/><Relationship Type="http://schemas.openxmlformats.org/officeDocument/2006/relationships/hyperlink" Target="https://docs.google.com/spreadsheets/d/1ZiCGoPjLCjuYvujDTXK9Ixbth3tekiLtFBzBrGjPCr4/edit?gid=0" TargetMode="External" Id="rId17"/><Relationship Type="http://schemas.openxmlformats.org/officeDocument/2006/relationships/hyperlink" Target="https://docs.google.com/spreadsheets/d/1ZiCGoPjLCjuYvujDTXK9Ixbth3tekiLtFBzBrGjPCr4/edit?gid=0" TargetMode="External" Id="rId18"/><Relationship Type="http://schemas.openxmlformats.org/officeDocument/2006/relationships/hyperlink" Target="https://docs.google.com/spreadsheets/d/1ZiCGoPjLCjuYvujDTXK9Ixbth3tekiLtFBzBrGjPCr4/edit?gid=0" TargetMode="External" Id="rId19"/><Relationship Type="http://schemas.openxmlformats.org/officeDocument/2006/relationships/hyperlink" Target="https://docs.google.com/spreadsheets/d/1ZiCGoPjLCjuYvujDTXK9Ixbth3tekiLtFBzBrGjPCr4/edit?gid=0" TargetMode="External" Id="rId20"/><Relationship Type="http://schemas.openxmlformats.org/officeDocument/2006/relationships/hyperlink" Target="https://docs.google.com/spreadsheets/d/1ZiCGoPjLCjuYvujDTXK9Ixbth3tekiLtFBzBrGjPCr4/edit?gid=0" TargetMode="External" Id="rId21"/><Relationship Type="http://schemas.openxmlformats.org/officeDocument/2006/relationships/hyperlink" Target="https://docs.google.com/spreadsheets/d/1ZiCGoPjLCjuYvujDTXK9Ixbth3tekiLtFBzBrGjPCr4/edit?gid=0" TargetMode="External" Id="rId22"/><Relationship Type="http://schemas.openxmlformats.org/officeDocument/2006/relationships/hyperlink" Target="https://docs.google.com/spreadsheets/d/1ZiCGoPjLCjuYvujDTXK9Ixbth3tekiLtFBzBrGjPCr4/edit?gid=0" TargetMode="External" Id="rId23"/><Relationship Type="http://schemas.openxmlformats.org/officeDocument/2006/relationships/hyperlink" Target="https://docs.google.com/spreadsheets/d/1ZiCGoPjLCjuYvujDTXK9Ixbth3tekiLtFBzBrGjPCr4/edit?gid=0" TargetMode="External" Id="rId24"/><Relationship Type="http://schemas.openxmlformats.org/officeDocument/2006/relationships/hyperlink" Target="https://docs.google.com/spreadsheets/d/1ZiCGoPjLCjuYvujDTXK9Ixbth3tekiLtFBzBrGjPCr4/edit?gid=0" TargetMode="External" Id="rId25"/><Relationship Type="http://schemas.openxmlformats.org/officeDocument/2006/relationships/hyperlink" Target="https://docs.google.com/spreadsheets/d/1ZiCGoPjLCjuYvujDTXK9Ixbth3tekiLtFBzBrGjPCr4/edit?gid=0" TargetMode="External" Id="rId26"/><Relationship Type="http://schemas.openxmlformats.org/officeDocument/2006/relationships/hyperlink" Target="https://docs.google.com/spreadsheets/d/1ZiCGoPjLCjuYvujDTXK9Ixbth3tekiLtFBzBrGjPCr4/edit?gid=0" TargetMode="External" Id="rId27"/><Relationship Type="http://schemas.openxmlformats.org/officeDocument/2006/relationships/hyperlink" Target="https://docs.google.com/spreadsheets/d/1ZiCGoPjLCjuYvujDTXK9Ixbth3tekiLtFBzBrGjPCr4/edit?gid=0" TargetMode="External" Id="rId28"/><Relationship Type="http://schemas.openxmlformats.org/officeDocument/2006/relationships/hyperlink" Target="https://docs.google.com/spreadsheets/d/1ZiCGoPjLCjuYvujDTXK9Ixbth3tekiLtFBzBrGjPCr4/edit?gid=0" TargetMode="External" Id="rId29"/><Relationship Type="http://schemas.openxmlformats.org/officeDocument/2006/relationships/hyperlink" Target="https://docs.google.com/spreadsheets/d/1ZiCGoPjLCjuYvujDTXK9Ixbth3tekiLtFBzBrGjPCr4/edit?gid=0" TargetMode="External" Id="rId30"/><Relationship Type="http://schemas.openxmlformats.org/officeDocument/2006/relationships/hyperlink" Target="https://docs.google.com/spreadsheets/d/1ZiCGoPjLCjuYvujDTXK9Ixbth3tekiLtFBzBrGjPCr4/edit?gid=0" TargetMode="External" Id="rId31"/><Relationship Type="http://schemas.openxmlformats.org/officeDocument/2006/relationships/hyperlink" Target="https://docs.google.com/spreadsheets/d/1ZiCGoPjLCjuYvujDTXK9Ixbth3tekiLtFBzBrGjPCr4/edit?gid=0" TargetMode="External" Id="rId32"/><Relationship Type="http://schemas.openxmlformats.org/officeDocument/2006/relationships/hyperlink" Target="https://docs.google.com/spreadsheets/d/1ZiCGoPjLCjuYvujDTXK9Ixbth3tekiLtFBzBrGjPCr4/edit?gid=0" TargetMode="External" Id="rId33"/><Relationship Type="http://schemas.openxmlformats.org/officeDocument/2006/relationships/hyperlink" Target="https://docs.google.com/spreadsheets/d/1ZiCGoPjLCjuYvujDTXK9Ixbth3tekiLtFBzBrGjPCr4/edit?gid=0" TargetMode="External" Id="rId34"/><Relationship Type="http://schemas.openxmlformats.org/officeDocument/2006/relationships/hyperlink" Target="https://docs.google.com/spreadsheets/d/1ZiCGoPjLCjuYvujDTXK9Ixbth3tekiLtFBzBrGjPCr4/edit?gid=0" TargetMode="External" Id="rId35"/><Relationship Type="http://schemas.openxmlformats.org/officeDocument/2006/relationships/hyperlink" Target="https://docs.google.com/spreadsheets/d/1ZiCGoPjLCjuYvujDTXK9Ixbth3tekiLtFBzBrGjPCr4/edit?gid=0" TargetMode="External" Id="rId36"/><Relationship Type="http://schemas.openxmlformats.org/officeDocument/2006/relationships/hyperlink" Target="https://docs.google.com/spreadsheets/d/1ZiCGoPjLCjuYvujDTXK9Ixbth3tekiLtFBzBrGjPCr4/edit?gid=0" TargetMode="External" Id="rId37"/><Relationship Type="http://schemas.openxmlformats.org/officeDocument/2006/relationships/hyperlink" Target="https://docs.google.com/spreadsheets/d/1ZiCGoPjLCjuYvujDTXK9Ixbth3tekiLtFBzBrGjPCr4/edit?gid=0" TargetMode="External" Id="rId38"/><Relationship Type="http://schemas.openxmlformats.org/officeDocument/2006/relationships/hyperlink" Target="https://docs.google.com/spreadsheets/d/1ZiCGoPjLCjuYvujDTXK9Ixbth3tekiLtFBzBrGjPCr4/edit?gid=0" TargetMode="External" Id="rId39"/><Relationship Type="http://schemas.openxmlformats.org/officeDocument/2006/relationships/hyperlink" Target="https://docs.google.com/spreadsheets/d/1ZiCGoPjLCjuYvujDTXK9Ixbth3tekiLtFBzBrGjPCr4/edit?gid=0" TargetMode="External" Id="rId40"/><Relationship Type="http://schemas.openxmlformats.org/officeDocument/2006/relationships/hyperlink" Target="https://docs.google.com/spreadsheets/d/1ZiCGoPjLCjuYvujDTXK9Ixbth3tekiLtFBzBrGjPCr4/edit?gid=0" TargetMode="External" Id="rId41"/><Relationship Type="http://schemas.openxmlformats.org/officeDocument/2006/relationships/hyperlink" Target="https://docs.google.com/spreadsheets/d/1ZiCGoPjLCjuYvujDTXK9Ixbth3tekiLtFBzBrGjPCr4/edit?gid=0" TargetMode="External" Id="rId42"/><Relationship Type="http://schemas.openxmlformats.org/officeDocument/2006/relationships/hyperlink" Target="https://docs.google.com/spreadsheets/d/1ZiCGoPjLCjuYvujDTXK9Ixbth3tekiLtFBzBrGjPCr4/edit?gid=0" TargetMode="External" Id="rId43"/><Relationship Type="http://schemas.openxmlformats.org/officeDocument/2006/relationships/hyperlink" Target="https://docs.google.com/spreadsheets/d/1ZiCGoPjLCjuYvujDTXK9Ixbth3tekiLtFBzBrGjPCr4/edit?gid=0" TargetMode="External" Id="rId44"/><Relationship Type="http://schemas.openxmlformats.org/officeDocument/2006/relationships/hyperlink" Target="https://docs.google.com/spreadsheets/d/1ZiCGoPjLCjuYvujDTXK9Ixbth3tekiLtFBzBrGjPCr4/edit?gid=0" TargetMode="External" Id="rId45"/><Relationship Type="http://schemas.openxmlformats.org/officeDocument/2006/relationships/hyperlink" Target="https://docs.google.com/spreadsheets/d/1ZiCGoPjLCjuYvujDTXK9Ixbth3tekiLtFBzBrGjPCr4/edit?gid=0" TargetMode="External" Id="rId46"/><Relationship Type="http://schemas.openxmlformats.org/officeDocument/2006/relationships/hyperlink" Target="https://docs.google.com/spreadsheets/d/1ZiCGoPjLCjuYvujDTXK9Ixbth3tekiLtFBzBrGjPCr4/edit?gid=0" TargetMode="External" Id="rId47"/><Relationship Type="http://schemas.openxmlformats.org/officeDocument/2006/relationships/hyperlink" Target="https://docs.google.com/spreadsheets/d/1ZiCGoPjLCjuYvujDTXK9Ixbth3tekiLtFBzBrGjPCr4/edit?gid=0" TargetMode="External" Id="rId48"/><Relationship Type="http://schemas.openxmlformats.org/officeDocument/2006/relationships/hyperlink" Target="https://docs.google.com/spreadsheets/d/1ZiCGoPjLCjuYvujDTXK9Ixbth3tekiLtFBzBrGjPCr4/edit?gid=0" TargetMode="External" Id="rId49"/><Relationship Type="http://schemas.openxmlformats.org/officeDocument/2006/relationships/hyperlink" Target="https://docs.google.com/spreadsheets/d/1ZiCGoPjLCjuYvujDTXK9Ixbth3tekiLtFBzBrGjPCr4/edit?gid=0" TargetMode="External" Id="rId50"/><Relationship Type="http://schemas.openxmlformats.org/officeDocument/2006/relationships/hyperlink" Target="https://docs.google.com/spreadsheets/d/1ZiCGoPjLCjuYvujDTXK9Ixbth3tekiLtFBzBrGjPCr4/edit?gid=0" TargetMode="External" Id="rId51"/><Relationship Type="http://schemas.openxmlformats.org/officeDocument/2006/relationships/hyperlink" Target="https://docs.google.com/spreadsheets/d/1ZiCGoPjLCjuYvujDTXK9Ixbth3tekiLtFBzBrGjPCr4/edit?gid=0" TargetMode="External" Id="rId52"/><Relationship Type="http://schemas.openxmlformats.org/officeDocument/2006/relationships/hyperlink" Target="https://docs.google.com/spreadsheets/d/1ZiCGoPjLCjuYvujDTXK9Ixbth3tekiLtFBzBrGjPCr4/edit?gid=0" TargetMode="External" Id="rId53"/><Relationship Type="http://schemas.openxmlformats.org/officeDocument/2006/relationships/hyperlink" Target="https://docs.google.com/spreadsheets/d/1ZiCGoPjLCjuYvujDTXK9Ixbth3tekiLtFBzBrGjPCr4/edit?gid=0" TargetMode="External" Id="rId54"/><Relationship Type="http://schemas.openxmlformats.org/officeDocument/2006/relationships/hyperlink" Target="https://docs.google.com/spreadsheets/d/1ZiCGoPjLCjuYvujDTXK9Ixbth3tekiLtFBzBrGjPCr4/edit?gid=0" TargetMode="External" Id="rId55"/><Relationship Type="http://schemas.openxmlformats.org/officeDocument/2006/relationships/hyperlink" Target="https://docs.google.com/spreadsheets/d/1ZiCGoPjLCjuYvujDTXK9Ixbth3tekiLtFBzBrGjPCr4/edit?gid=0" TargetMode="External" Id="rId56"/><Relationship Type="http://schemas.openxmlformats.org/officeDocument/2006/relationships/hyperlink" Target="https://docs.google.com/spreadsheets/d/1ZiCGoPjLCjuYvujDTXK9Ixbth3tekiLtFBzBrGjPCr4/edit?gid=0" TargetMode="External" Id="rId57"/><Relationship Type="http://schemas.openxmlformats.org/officeDocument/2006/relationships/hyperlink" Target="https://docs.google.com/spreadsheets/d/1ZiCGoPjLCjuYvujDTXK9Ixbth3tekiLtFBzBrGjPCr4/edit?gid=0" TargetMode="External" Id="rId58"/><Relationship Type="http://schemas.openxmlformats.org/officeDocument/2006/relationships/hyperlink" Target="https://docs.google.com/spreadsheets/d/1ZiCGoPjLCjuYvujDTXK9Ixbth3tekiLtFBzBrGjPCr4/edit?gid=0" TargetMode="External" Id="rId59"/><Relationship Type="http://schemas.openxmlformats.org/officeDocument/2006/relationships/hyperlink" Target="https://docs.google.com/spreadsheets/d/1ZiCGoPjLCjuYvujDTXK9Ixbth3tekiLtFBzBrGjPCr4/edit?gid=0" TargetMode="External" Id="rId60"/><Relationship Type="http://schemas.openxmlformats.org/officeDocument/2006/relationships/hyperlink" Target="https://docs.google.com/spreadsheets/d/1ZiCGoPjLCjuYvujDTXK9Ixbth3tekiLtFBzBrGjPCr4/edit?gid=0" TargetMode="External" Id="rId61"/><Relationship Type="http://schemas.openxmlformats.org/officeDocument/2006/relationships/hyperlink" Target="https://docs.google.com/spreadsheets/d/1ZiCGoPjLCjuYvujDTXK9Ixbth3tekiLtFBzBrGjPCr4/edit?gid=0" TargetMode="External" Id="rId62"/><Relationship Type="http://schemas.openxmlformats.org/officeDocument/2006/relationships/hyperlink" Target="https://docs.google.com/spreadsheets/d/1ZiCGoPjLCjuYvujDTXK9Ixbth3tekiLtFBzBrGjPCr4/edit?gid=0" TargetMode="External" Id="rId63"/><Relationship Type="http://schemas.openxmlformats.org/officeDocument/2006/relationships/hyperlink" Target="https://docs.google.com/spreadsheets/d/1ZiCGoPjLCjuYvujDTXK9Ixbth3tekiLtFBzBrGjPCr4/edit?gid=0" TargetMode="External" Id="rId64"/><Relationship Type="http://schemas.openxmlformats.org/officeDocument/2006/relationships/hyperlink" Target="https://docs.google.com/spreadsheets/d/1ZiCGoPjLCjuYvujDTXK9Ixbth3tekiLtFBzBrGjPCr4/edit?gid=0" TargetMode="External" Id="rId65"/><Relationship Type="http://schemas.openxmlformats.org/officeDocument/2006/relationships/hyperlink" Target="https://docs.google.com/spreadsheets/d/1ZiCGoPjLCjuYvujDTXK9Ixbth3tekiLtFBzBrGjPCr4/edit?gid=0" TargetMode="External" Id="rId66"/><Relationship Type="http://schemas.openxmlformats.org/officeDocument/2006/relationships/hyperlink" Target="https://docs.google.com/spreadsheets/d/1ZiCGoPjLCjuYvujDTXK9Ixbth3tekiLtFBzBrGjPCr4/edit?gid=0" TargetMode="External" Id="rId67"/><Relationship Type="http://schemas.openxmlformats.org/officeDocument/2006/relationships/hyperlink" Target="https://docs.google.com/spreadsheets/d/1ZiCGoPjLCjuYvujDTXK9Ixbth3tekiLtFBzBrGjPCr4/edit?gid=0" TargetMode="External" Id="rId68"/><Relationship Type="http://schemas.openxmlformats.org/officeDocument/2006/relationships/hyperlink" Target="https://docs.google.com/spreadsheets/d/1ZiCGoPjLCjuYvujDTXK9Ixbth3tekiLtFBzBrGjPCr4/edit?gid=0" TargetMode="External" Id="rId69"/><Relationship Type="http://schemas.openxmlformats.org/officeDocument/2006/relationships/hyperlink" Target="https://docs.google.com/spreadsheets/d/1ZiCGoPjLCjuYvujDTXK9Ixbth3tekiLtFBzBrGjPCr4/edit?gid=0" TargetMode="External" Id="rId70"/><Relationship Type="http://schemas.openxmlformats.org/officeDocument/2006/relationships/hyperlink" Target="https://docs.google.com/spreadsheets/d/1ZiCGoPjLCjuYvujDTXK9Ixbth3tekiLtFBzBrGjPCr4/edit?gid=0" TargetMode="External" Id="rId71"/><Relationship Type="http://schemas.openxmlformats.org/officeDocument/2006/relationships/hyperlink" Target="https://docs.google.com/spreadsheets/d/1ZiCGoPjLCjuYvujDTXK9Ixbth3tekiLtFBzBrGjPCr4/edit?gid=0" TargetMode="External" Id="rId72"/><Relationship Type="http://schemas.openxmlformats.org/officeDocument/2006/relationships/hyperlink" Target="https://docs.google.com/spreadsheets/d/1ZiCGoPjLCjuYvujDTXK9Ixbth3tekiLtFBzBrGjPCr4/edit?gid=0" TargetMode="External" Id="rId73"/><Relationship Type="http://schemas.openxmlformats.org/officeDocument/2006/relationships/hyperlink" Target="https://docs.google.com/spreadsheets/d/1ZiCGoPjLCjuYvujDTXK9Ixbth3tekiLtFBzBrGjPCr4/edit?gid=0" TargetMode="External" Id="rId74"/><Relationship Type="http://schemas.openxmlformats.org/officeDocument/2006/relationships/hyperlink" Target="https://docs.google.com/spreadsheets/d/1ZiCGoPjLCjuYvujDTXK9Ixbth3tekiLtFBzBrGjPCr4/edit?gid=0" TargetMode="External" Id="rId75"/><Relationship Type="http://schemas.openxmlformats.org/officeDocument/2006/relationships/hyperlink" Target="https://docs.google.com/spreadsheets/d/1ZiCGoPjLCjuYvujDTXK9Ixbth3tekiLtFBzBrGjPCr4/edit?gid=0" TargetMode="External" Id="rId76"/><Relationship Type="http://schemas.openxmlformats.org/officeDocument/2006/relationships/hyperlink" Target="https://docs.google.com/spreadsheets/d/1ZiCGoPjLCjuYvujDTXK9Ixbth3tekiLtFBzBrGjPCr4/edit?gid=0" TargetMode="External" Id="rId77"/><Relationship Type="http://schemas.openxmlformats.org/officeDocument/2006/relationships/hyperlink" Target="https://docs.google.com/spreadsheets/d/1ZiCGoPjLCjuYvujDTXK9Ixbth3tekiLtFBzBrGjPCr4/edit?gid=0" TargetMode="External" Id="rId78"/><Relationship Type="http://schemas.openxmlformats.org/officeDocument/2006/relationships/hyperlink" Target="https://docs.google.com/spreadsheets/d/1ZiCGoPjLCjuYvujDTXK9Ixbth3tekiLtFBzBrGjPCr4/edit?gid=0" TargetMode="External" Id="rId79"/><Relationship Type="http://schemas.openxmlformats.org/officeDocument/2006/relationships/hyperlink" Target="https://docs.google.com/spreadsheets/d/1ZiCGoPjLCjuYvujDTXK9Ixbth3tekiLtFBzBrGjPCr4/edit?gid=0" TargetMode="External" Id="rId80"/><Relationship Type="http://schemas.openxmlformats.org/officeDocument/2006/relationships/hyperlink" Target="https://docs.google.com/spreadsheets/d/1ZiCGoPjLCjuYvujDTXK9Ixbth3tekiLtFBzBrGjPCr4/edit?gid=0" TargetMode="External" Id="rId81"/><Relationship Type="http://schemas.openxmlformats.org/officeDocument/2006/relationships/hyperlink" Target="https://docs.google.com/spreadsheets/d/1ZiCGoPjLCjuYvujDTXK9Ixbth3tekiLtFBzBrGjPCr4/edit?gid=0" TargetMode="External" Id="rId82"/><Relationship Type="http://schemas.openxmlformats.org/officeDocument/2006/relationships/hyperlink" Target="https://docs.google.com/spreadsheets/d/1ZiCGoPjLCjuYvujDTXK9Ixbth3tekiLtFBzBrGjPCr4/edit?gid=0" TargetMode="External" Id="rId83"/><Relationship Type="http://schemas.openxmlformats.org/officeDocument/2006/relationships/hyperlink" Target="https://docs.google.com/spreadsheets/d/1ZiCGoPjLCjuYvujDTXK9Ixbth3tekiLtFBzBrGjPCr4/edit?gid=0" TargetMode="External" Id="rId84"/><Relationship Type="http://schemas.openxmlformats.org/officeDocument/2006/relationships/hyperlink" Target="https://docs.google.com/spreadsheets/d/1ZiCGoPjLCjuYvujDTXK9Ixbth3tekiLtFBzBrGjPCr4/edit?gid=0" TargetMode="External" Id="rId85"/><Relationship Type="http://schemas.openxmlformats.org/officeDocument/2006/relationships/hyperlink" Target="https://docs.google.com/spreadsheets/d/1ZiCGoPjLCjuYvujDTXK9Ixbth3tekiLtFBzBrGjPCr4/edit?gid=0" TargetMode="External" Id="rId86"/><Relationship Type="http://schemas.openxmlformats.org/officeDocument/2006/relationships/hyperlink" Target="https://docs.google.com/spreadsheets/d/1ZiCGoPjLCjuYvujDTXK9Ixbth3tekiLtFBzBrGjPCr4/edit?gid=0" TargetMode="External" Id="rId87"/><Relationship Type="http://schemas.openxmlformats.org/officeDocument/2006/relationships/hyperlink" Target="https://docs.google.com/spreadsheets/d/1ZiCGoPjLCjuYvujDTXK9Ixbth3tekiLtFBzBrGjPCr4/edit?gid=0" TargetMode="External" Id="rId88"/><Relationship Type="http://schemas.openxmlformats.org/officeDocument/2006/relationships/hyperlink" Target="https://docs.google.com/spreadsheets/d/1ZiCGoPjLCjuYvujDTXK9Ixbth3tekiLtFBzBrGjPCr4/edit?gid=0" TargetMode="External" Id="rId89"/><Relationship Type="http://schemas.openxmlformats.org/officeDocument/2006/relationships/hyperlink" Target="https://docs.google.com/spreadsheets/d/1ZiCGoPjLCjuYvujDTXK9Ixbth3tekiLtFBzBrGjPCr4/edit?gid=0" TargetMode="External" Id="rId90"/><Relationship Type="http://schemas.openxmlformats.org/officeDocument/2006/relationships/hyperlink" Target="https://docs.google.com/spreadsheets/d/1ZiCGoPjLCjuYvujDTXK9Ixbth3tekiLtFBzBrGjPCr4/edit?gid=0" TargetMode="External" Id="rId91"/><Relationship Type="http://schemas.openxmlformats.org/officeDocument/2006/relationships/hyperlink" Target="https://docs.google.com/spreadsheets/d/1ZiCGoPjLCjuYvujDTXK9Ixbth3tekiLtFBzBrGjPCr4/edit?gid=0" TargetMode="External" Id="rId92"/><Relationship Type="http://schemas.openxmlformats.org/officeDocument/2006/relationships/hyperlink" Target="https://docs.google.com/spreadsheets/d/1ZiCGoPjLCjuYvujDTXK9Ixbth3tekiLtFBzBrGjPCr4/edit?gid=0" TargetMode="External" Id="rId93"/><Relationship Type="http://schemas.openxmlformats.org/officeDocument/2006/relationships/hyperlink" Target="https://docs.google.com/spreadsheets/d/1ZiCGoPjLCjuYvujDTXK9Ixbth3tekiLtFBzBrGjPCr4/edit?gid=0" TargetMode="External" Id="rId94"/><Relationship Type="http://schemas.openxmlformats.org/officeDocument/2006/relationships/hyperlink" Target="https://docs.google.com/spreadsheets/d/1ZiCGoPjLCjuYvujDTXK9Ixbth3tekiLtFBzBrGjPCr4/edit?gid=0" TargetMode="External" Id="rId95"/><Relationship Type="http://schemas.openxmlformats.org/officeDocument/2006/relationships/hyperlink" Target="https://docs.google.com/spreadsheets/d/1ZiCGoPjLCjuYvujDTXK9Ixbth3tekiLtFBzBrGjPCr4/edit?gid=0" TargetMode="External" Id="rId96"/><Relationship Type="http://schemas.openxmlformats.org/officeDocument/2006/relationships/hyperlink" Target="https://docs.google.com/spreadsheets/d/1ZiCGoPjLCjuYvujDTXK9Ixbth3tekiLtFBzBrGjPCr4/edit?gid=0" TargetMode="External" Id="rId97"/><Relationship Type="http://schemas.openxmlformats.org/officeDocument/2006/relationships/hyperlink" Target="https://docs.google.com/spreadsheets/d/1ZiCGoPjLCjuYvujDTXK9Ixbth3tekiLtFBzBrGjPCr4/edit?gid=0" TargetMode="External" Id="rId98"/><Relationship Type="http://schemas.openxmlformats.org/officeDocument/2006/relationships/hyperlink" Target="https://docs.google.com/spreadsheets/d/1ZiCGoPjLCjuYvujDTXK9Ixbth3tekiLtFBzBrGjPCr4/edit?gid=0" TargetMode="External" Id="rId99"/><Relationship Type="http://schemas.openxmlformats.org/officeDocument/2006/relationships/hyperlink" Target="https://docs.google.com/spreadsheets/d/1ZiCGoPjLCjuYvujDTXK9Ixbth3tekiLtFBzBrGjPCr4/edit?gid=0" TargetMode="External" Id="rId100"/><Relationship Type="http://schemas.openxmlformats.org/officeDocument/2006/relationships/hyperlink" Target="https://docs.google.com/spreadsheets/d/1ZiCGoPjLCjuYvujDTXK9Ixbth3tekiLtFBzBrGjPCr4/edit?gid=0" TargetMode="External" Id="rId101"/><Relationship Type="http://schemas.openxmlformats.org/officeDocument/2006/relationships/hyperlink" Target="https://docs.google.com/spreadsheets/d/1ZiCGoPjLCjuYvujDTXK9Ixbth3tekiLtFBzBrGjPCr4/edit?gid=0" TargetMode="External" Id="rId102"/><Relationship Type="http://schemas.openxmlformats.org/officeDocument/2006/relationships/hyperlink" Target="https://docs.google.com/spreadsheets/d/1ZiCGoPjLCjuYvujDTXK9Ixbth3tekiLtFBzBrGjPCr4/edit?gid=0" TargetMode="External" Id="rId103"/><Relationship Type="http://schemas.openxmlformats.org/officeDocument/2006/relationships/hyperlink" Target="https://docs.google.com/spreadsheets/d/1ZiCGoPjLCjuYvujDTXK9Ixbth3tekiLtFBzBrGjPCr4/edit?gid=0" TargetMode="External" Id="rId104"/><Relationship Type="http://schemas.openxmlformats.org/officeDocument/2006/relationships/hyperlink" Target="https://docs.google.com/spreadsheets/d/1ZiCGoPjLCjuYvujDTXK9Ixbth3tekiLtFBzBrGjPCr4/edit?gid=0" TargetMode="External" Id="rId105"/><Relationship Type="http://schemas.openxmlformats.org/officeDocument/2006/relationships/hyperlink" Target="https://docs.google.com/spreadsheets/d/1ZiCGoPjLCjuYvujDTXK9Ixbth3tekiLtFBzBrGjPCr4/edit?gid=0" TargetMode="External" Id="rId106"/><Relationship Type="http://schemas.openxmlformats.org/officeDocument/2006/relationships/hyperlink" Target="https://docs.google.com/spreadsheets/d/1ZiCGoPjLCjuYvujDTXK9Ixbth3tekiLtFBzBrGjPCr4/edit?gid=0" TargetMode="External" Id="rId107"/><Relationship Type="http://schemas.openxmlformats.org/officeDocument/2006/relationships/hyperlink" Target="https://docs.google.com/spreadsheets/d/1ZiCGoPjLCjuYvujDTXK9Ixbth3tekiLtFBzBrGjPCr4/edit?gid=0" TargetMode="External" Id="rId108"/><Relationship Type="http://schemas.openxmlformats.org/officeDocument/2006/relationships/hyperlink" Target="https://docs.google.com/spreadsheets/d/1ZiCGoPjLCjuYvujDTXK9Ixbth3tekiLtFBzBrGjPCr4/edit?gid=0" TargetMode="External" Id="rId109"/><Relationship Type="http://schemas.openxmlformats.org/officeDocument/2006/relationships/hyperlink" Target="https://docs.google.com/spreadsheets/d/1ZiCGoPjLCjuYvujDTXK9Ixbth3tekiLtFBzBrGjPCr4/edit?gid=0" TargetMode="External" Id="rId110"/><Relationship Type="http://schemas.openxmlformats.org/officeDocument/2006/relationships/hyperlink" Target="https://docs.google.com/spreadsheets/d/1ZiCGoPjLCjuYvujDTXK9Ixbth3tekiLtFBzBrGjPCr4/edit?gid=0" TargetMode="External" Id="rId111"/><Relationship Type="http://schemas.openxmlformats.org/officeDocument/2006/relationships/hyperlink" Target="https://docs.google.com/spreadsheets/d/1ZiCGoPjLCjuYvujDTXK9Ixbth3tekiLtFBzBrGjPCr4/edit?gid=0" TargetMode="External" Id="rId112"/><Relationship Type="http://schemas.openxmlformats.org/officeDocument/2006/relationships/hyperlink" Target="https://docs.google.com/spreadsheets/d/1ZiCGoPjLCjuYvujDTXK9Ixbth3tekiLtFBzBrGjPCr4/edit?gid=0" TargetMode="External" Id="rId113"/><Relationship Type="http://schemas.openxmlformats.org/officeDocument/2006/relationships/hyperlink" Target="https://docs.google.com/spreadsheets/d/1ZiCGoPjLCjuYvujDTXK9Ixbth3tekiLtFBzBrGjPCr4/edit?gid=0" TargetMode="External" Id="rId114"/><Relationship Type="http://schemas.openxmlformats.org/officeDocument/2006/relationships/hyperlink" Target="https://docs.google.com/spreadsheets/d/1ZiCGoPjLCjuYvujDTXK9Ixbth3tekiLtFBzBrGjPCr4/edit?gid=0" TargetMode="External" Id="rId115"/><Relationship Type="http://schemas.openxmlformats.org/officeDocument/2006/relationships/hyperlink" Target="https://docs.google.com/spreadsheets/d/1ZiCGoPjLCjuYvujDTXK9Ixbth3tekiLtFBzBrGjPCr4/edit?gid=0" TargetMode="External" Id="rId116"/><Relationship Type="http://schemas.openxmlformats.org/officeDocument/2006/relationships/hyperlink" Target="https://docs.google.com/spreadsheets/d/1ZiCGoPjLCjuYvujDTXK9Ixbth3tekiLtFBzBrGjPCr4/edit?gid=0" TargetMode="External" Id="rId117"/><Relationship Type="http://schemas.openxmlformats.org/officeDocument/2006/relationships/hyperlink" Target="https://docs.google.com/spreadsheets/d/1ZiCGoPjLCjuYvujDTXK9Ixbth3tekiLtFBzBrGjPCr4/edit?gid=0" TargetMode="External" Id="rId118"/><Relationship Type="http://schemas.openxmlformats.org/officeDocument/2006/relationships/hyperlink" Target="https://docs.google.com/spreadsheets/d/1ZiCGoPjLCjuYvujDTXK9Ixbth3tekiLtFBzBrGjPCr4/edit?gid=0" TargetMode="External" Id="rId119"/><Relationship Type="http://schemas.openxmlformats.org/officeDocument/2006/relationships/hyperlink" Target="https://docs.google.com/spreadsheets/d/1ZiCGoPjLCjuYvujDTXK9Ixbth3tekiLtFBzBrGjPCr4/edit?gid=0" TargetMode="External" Id="rId120"/><Relationship Type="http://schemas.openxmlformats.org/officeDocument/2006/relationships/hyperlink" Target="https://docs.google.com/spreadsheets/d/1ZiCGoPjLCjuYvujDTXK9Ixbth3tekiLtFBzBrGjPCr4/edit?gid=0" TargetMode="External" Id="rId121"/><Relationship Type="http://schemas.openxmlformats.org/officeDocument/2006/relationships/hyperlink" Target="https://docs.google.com/spreadsheets/d/1ZiCGoPjLCjuYvujDTXK9Ixbth3tekiLtFBzBrGjPCr4/edit?gid=0" TargetMode="External" Id="rId122"/><Relationship Type="http://schemas.openxmlformats.org/officeDocument/2006/relationships/hyperlink" Target="https://docs.google.com/spreadsheets/d/1ZiCGoPjLCjuYvujDTXK9Ixbth3tekiLtFBzBrGjPCr4/edit?gid=0" TargetMode="External" Id="rId123"/><Relationship Type="http://schemas.openxmlformats.org/officeDocument/2006/relationships/hyperlink" Target="https://docs.google.com/spreadsheets/d/1ZiCGoPjLCjuYvujDTXK9Ixbth3tekiLtFBzBrGjPCr4/edit?gid=0" TargetMode="External" Id="rId124"/><Relationship Type="http://schemas.openxmlformats.org/officeDocument/2006/relationships/hyperlink" Target="https://docs.google.com/spreadsheets/d/1ZiCGoPjLCjuYvujDTXK9Ixbth3tekiLtFBzBrGjPCr4/edit?gid=0" TargetMode="External" Id="rId125"/><Relationship Type="http://schemas.openxmlformats.org/officeDocument/2006/relationships/hyperlink" Target="https://docs.google.com/spreadsheets/d/1ZiCGoPjLCjuYvujDTXK9Ixbth3tekiLtFBzBrGjPCr4/edit?gid=0" TargetMode="External" Id="rId126"/><Relationship Type="http://schemas.openxmlformats.org/officeDocument/2006/relationships/hyperlink" Target="https://docs.google.com/spreadsheets/d/1ZiCGoPjLCjuYvujDTXK9Ixbth3tekiLtFBzBrGjPCr4/edit?gid=0" TargetMode="External" Id="rId127"/><Relationship Type="http://schemas.openxmlformats.org/officeDocument/2006/relationships/hyperlink" Target="https://docs.google.com/spreadsheets/d/1ZiCGoPjLCjuYvujDTXK9Ixbth3tekiLtFBzBrGjPCr4/edit?gid=0" TargetMode="External" Id="rId128"/><Relationship Type="http://schemas.openxmlformats.org/officeDocument/2006/relationships/hyperlink" Target="https://docs.google.com/spreadsheets/d/1ZiCGoPjLCjuYvujDTXK9Ixbth3tekiLtFBzBrGjPCr4/edit?gid=0" TargetMode="External" Id="rId129"/><Relationship Type="http://schemas.openxmlformats.org/officeDocument/2006/relationships/hyperlink" Target="https://docs.google.com/spreadsheets/d/1ZiCGoPjLCjuYvujDTXK9Ixbth3tekiLtFBzBrGjPCr4/edit?gid=0" TargetMode="External" Id="rId130"/><Relationship Type="http://schemas.openxmlformats.org/officeDocument/2006/relationships/hyperlink" Target="https://docs.google.com/spreadsheets/d/1ZiCGoPjLCjuYvujDTXK9Ixbth3tekiLtFBzBrGjPCr4/edit?gid=0" TargetMode="External" Id="rId131"/><Relationship Type="http://schemas.openxmlformats.org/officeDocument/2006/relationships/hyperlink" Target="https://docs.google.com/spreadsheets/d/1ZiCGoPjLCjuYvujDTXK9Ixbth3tekiLtFBzBrGjPCr4/edit?gid=0" TargetMode="External" Id="rId132"/><Relationship Type="http://schemas.openxmlformats.org/officeDocument/2006/relationships/hyperlink" Target="https://docs.google.com/spreadsheets/d/1ZiCGoPjLCjuYvujDTXK9Ixbth3tekiLtFBzBrGjPCr4/edit?gid=0" TargetMode="External" Id="rId133"/><Relationship Type="http://schemas.openxmlformats.org/officeDocument/2006/relationships/hyperlink" Target="https://docs.google.com/spreadsheets/d/1ZiCGoPjLCjuYvujDTXK9Ixbth3tekiLtFBzBrGjPCr4/edit?gid=0" TargetMode="External" Id="rId134"/><Relationship Type="http://schemas.openxmlformats.org/officeDocument/2006/relationships/hyperlink" Target="https://docs.google.com/spreadsheets/d/1ZiCGoPjLCjuYvujDTXK9Ixbth3tekiLtFBzBrGjPCr4/edit?gid=0" TargetMode="External" Id="rId135"/><Relationship Type="http://schemas.openxmlformats.org/officeDocument/2006/relationships/hyperlink" Target="https://docs.google.com/spreadsheets/d/1ZiCGoPjLCjuYvujDTXK9Ixbth3tekiLtFBzBrGjPCr4/edit?gid=0" TargetMode="External" Id="rId136"/><Relationship Type="http://schemas.openxmlformats.org/officeDocument/2006/relationships/hyperlink" Target="https://docs.google.com/spreadsheets/d/1ZiCGoPjLCjuYvujDTXK9Ixbth3tekiLtFBzBrGjPCr4/edit?gid=0" TargetMode="External" Id="rId137"/><Relationship Type="http://schemas.openxmlformats.org/officeDocument/2006/relationships/hyperlink" Target="https://docs.google.com/spreadsheets/d/1ZiCGoPjLCjuYvujDTXK9Ixbth3tekiLtFBzBrGjPCr4/edit?gid=0" TargetMode="External" Id="rId138"/><Relationship Type="http://schemas.openxmlformats.org/officeDocument/2006/relationships/hyperlink" Target="https://docs.google.com/spreadsheets/d/1ZiCGoPjLCjuYvujDTXK9Ixbth3tekiLtFBzBrGjPCr4/edit?gid=0" TargetMode="External" Id="rId139"/><Relationship Type="http://schemas.openxmlformats.org/officeDocument/2006/relationships/hyperlink" Target="https://docs.google.com/spreadsheets/d/1ZiCGoPjLCjuYvujDTXK9Ixbth3tekiLtFBzBrGjPCr4/edit?gid=0" TargetMode="External" Id="rId140"/><Relationship Type="http://schemas.openxmlformats.org/officeDocument/2006/relationships/hyperlink" Target="https://docs.google.com/spreadsheets/d/1ZiCGoPjLCjuYvujDTXK9Ixbth3tekiLtFBzBrGjPCr4/edit?gid=0" TargetMode="External" Id="rId141"/><Relationship Type="http://schemas.openxmlformats.org/officeDocument/2006/relationships/hyperlink" Target="https://docs.google.com/spreadsheets/d/1ZiCGoPjLCjuYvujDTXK9Ixbth3tekiLtFBzBrGjPCr4/edit?gid=0" TargetMode="External" Id="rId142"/><Relationship Type="http://schemas.openxmlformats.org/officeDocument/2006/relationships/hyperlink" Target="https://docs.google.com/spreadsheets/d/1ZiCGoPjLCjuYvujDTXK9Ixbth3tekiLtFBzBrGjPCr4/edit?gid=0" TargetMode="External" Id="rId143"/><Relationship Type="http://schemas.openxmlformats.org/officeDocument/2006/relationships/hyperlink" Target="https://docs.google.com/spreadsheets/d/1ZiCGoPjLCjuYvujDTXK9Ixbth3tekiLtFBzBrGjPCr4/edit?gid=0" TargetMode="External" Id="rId144"/><Relationship Type="http://schemas.openxmlformats.org/officeDocument/2006/relationships/hyperlink" Target="https://docs.google.com/spreadsheets/d/1ZiCGoPjLCjuYvujDTXK9Ixbth3tekiLtFBzBrGjPCr4/edit?gid=0" TargetMode="External" Id="rId145"/><Relationship Type="http://schemas.openxmlformats.org/officeDocument/2006/relationships/hyperlink" Target="https://docs.google.com/spreadsheets/d/1ZiCGoPjLCjuYvujDTXK9Ixbth3tekiLtFBzBrGjPCr4/edit?gid=0" TargetMode="External" Id="rId146"/><Relationship Type="http://schemas.openxmlformats.org/officeDocument/2006/relationships/hyperlink" Target="https://docs.google.com/spreadsheets/d/1ZiCGoPjLCjuYvujDTXK9Ixbth3tekiLtFBzBrGjPCr4/edit?gid=0" TargetMode="External" Id="rId147"/><Relationship Type="http://schemas.openxmlformats.org/officeDocument/2006/relationships/hyperlink" Target="https://docs.google.com/spreadsheets/d/1ZiCGoPjLCjuYvujDTXK9Ixbth3tekiLtFBzBrGjPCr4/edit?gid=0" TargetMode="External" Id="rId148"/><Relationship Type="http://schemas.openxmlformats.org/officeDocument/2006/relationships/hyperlink" Target="https://docs.google.com/spreadsheets/d/1ZiCGoPjLCjuYvujDTXK9Ixbth3tekiLtFBzBrGjPCr4/edit?gid=0" TargetMode="External" Id="rId149"/><Relationship Type="http://schemas.openxmlformats.org/officeDocument/2006/relationships/hyperlink" Target="https://docs.google.com/spreadsheets/d/1ZiCGoPjLCjuYvujDTXK9Ixbth3tekiLtFBzBrGjPCr4/edit?gid=0" TargetMode="External" Id="rId150"/><Relationship Type="http://schemas.openxmlformats.org/officeDocument/2006/relationships/hyperlink" Target="https://docs.google.com/spreadsheets/d/1ZiCGoPjLCjuYvujDTXK9Ixbth3tekiLtFBzBrGjPCr4/edit?gid=0" TargetMode="External" Id="rId151"/><Relationship Type="http://schemas.openxmlformats.org/officeDocument/2006/relationships/hyperlink" Target="https://docs.google.com/spreadsheets/d/1ZiCGoPjLCjuYvujDTXK9Ixbth3tekiLtFBzBrGjPCr4/edit?gid=0" TargetMode="External" Id="rId152"/><Relationship Type="http://schemas.openxmlformats.org/officeDocument/2006/relationships/hyperlink" Target="https://docs.google.com/spreadsheets/d/1ZiCGoPjLCjuYvujDTXK9Ixbth3tekiLtFBzBrGjPCr4/edit?gid=0" TargetMode="External" Id="rId153"/><Relationship Type="http://schemas.openxmlformats.org/officeDocument/2006/relationships/hyperlink" Target="https://docs.google.com/spreadsheets/d/1ZiCGoPjLCjuYvujDTXK9Ixbth3tekiLtFBzBrGjPCr4/edit?gid=0" TargetMode="External" Id="rId154"/><Relationship Type="http://schemas.openxmlformats.org/officeDocument/2006/relationships/hyperlink" Target="https://docs.google.com/spreadsheets/d/1ZiCGoPjLCjuYvujDTXK9Ixbth3tekiLtFBzBrGjPCr4/edit?gid=0" TargetMode="External" Id="rId155"/><Relationship Type="http://schemas.openxmlformats.org/officeDocument/2006/relationships/hyperlink" Target="https://docs.google.com/spreadsheets/d/1ZiCGoPjLCjuYvujDTXK9Ixbth3tekiLtFBzBrGjPCr4/edit?gid=0" TargetMode="External" Id="rId156"/><Relationship Type="http://schemas.openxmlformats.org/officeDocument/2006/relationships/hyperlink" Target="https://docs.google.com/spreadsheets/d/1ZiCGoPjLCjuYvujDTXK9Ixbth3tekiLtFBzBrGjPCr4/edit?gid=0" TargetMode="External" Id="rId157"/><Relationship Type="http://schemas.openxmlformats.org/officeDocument/2006/relationships/hyperlink" Target="https://docs.google.com/spreadsheets/d/1ZiCGoPjLCjuYvujDTXK9Ixbth3tekiLtFBzBrGjPCr4/edit?gid=0" TargetMode="External" Id="rId158"/><Relationship Type="http://schemas.openxmlformats.org/officeDocument/2006/relationships/hyperlink" Target="https://docs.google.com/spreadsheets/d/1ZiCGoPjLCjuYvujDTXK9Ixbth3tekiLtFBzBrGjPCr4/edit?gid=0" TargetMode="External" Id="rId159"/><Relationship Type="http://schemas.openxmlformats.org/officeDocument/2006/relationships/hyperlink" Target="https://docs.google.com/spreadsheets/d/1ZiCGoPjLCjuYvujDTXK9Ixbth3tekiLtFBzBrGjPCr4/edit?gid=0" TargetMode="External" Id="rId160"/><Relationship Type="http://schemas.openxmlformats.org/officeDocument/2006/relationships/hyperlink" Target="https://docs.google.com/spreadsheets/d/1ZiCGoPjLCjuYvujDTXK9Ixbth3tekiLtFBzBrGjPCr4/edit?gid=0" TargetMode="External" Id="rId161"/><Relationship Type="http://schemas.openxmlformats.org/officeDocument/2006/relationships/hyperlink" Target="https://docs.google.com/spreadsheets/d/1ZiCGoPjLCjuYvujDTXK9Ixbth3tekiLtFBzBrGjPCr4/edit?gid=0" TargetMode="External" Id="rId162"/><Relationship Type="http://schemas.openxmlformats.org/officeDocument/2006/relationships/hyperlink" Target="https://docs.google.com/spreadsheets/d/1ZiCGoPjLCjuYvujDTXK9Ixbth3tekiLtFBzBrGjPCr4/edit?gid=0" TargetMode="External" Id="rId163"/><Relationship Type="http://schemas.openxmlformats.org/officeDocument/2006/relationships/hyperlink" Target="https://docs.google.com/spreadsheets/d/1ZiCGoPjLCjuYvujDTXK9Ixbth3tekiLtFBzBrGjPCr4/edit?gid=0" TargetMode="External" Id="rId164"/><Relationship Type="http://schemas.openxmlformats.org/officeDocument/2006/relationships/hyperlink" Target="https://docs.google.com/spreadsheets/d/1ZiCGoPjLCjuYvujDTXK9Ixbth3tekiLtFBzBrGjPCr4/edit?gid=0" TargetMode="External" Id="rId165"/><Relationship Type="http://schemas.openxmlformats.org/officeDocument/2006/relationships/hyperlink" Target="https://docs.google.com/spreadsheets/d/1ZiCGoPjLCjuYvujDTXK9Ixbth3tekiLtFBzBrGjPCr4/edit?gid=0" TargetMode="External" Id="rId166"/><Relationship Type="http://schemas.openxmlformats.org/officeDocument/2006/relationships/hyperlink" Target="https://docs.google.com/spreadsheets/d/1ZiCGoPjLCjuYvujDTXK9Ixbth3tekiLtFBzBrGjPCr4/edit?gid=0" TargetMode="External" Id="rId167"/><Relationship Type="http://schemas.openxmlformats.org/officeDocument/2006/relationships/hyperlink" Target="https://docs.google.com/spreadsheets/d/1ZiCGoPjLCjuYvujDTXK9Ixbth3tekiLtFBzBrGjPCr4/edit?gid=0" TargetMode="External" Id="rId168"/><Relationship Type="http://schemas.openxmlformats.org/officeDocument/2006/relationships/hyperlink" Target="https://docs.google.com/spreadsheets/d/1ZiCGoPjLCjuYvujDTXK9Ixbth3tekiLtFBzBrGjPCr4/edit?gid=0" TargetMode="External" Id="rId169"/><Relationship Type="http://schemas.openxmlformats.org/officeDocument/2006/relationships/hyperlink" Target="https://docs.google.com/spreadsheets/d/1ZiCGoPjLCjuYvujDTXK9Ixbth3tekiLtFBzBrGjPCr4/edit?gid=0" TargetMode="External" Id="rId170"/><Relationship Type="http://schemas.openxmlformats.org/officeDocument/2006/relationships/hyperlink" Target="https://docs.google.com/spreadsheets/d/1ZiCGoPjLCjuYvujDTXK9Ixbth3tekiLtFBzBrGjPCr4/edit?gid=0" TargetMode="External" Id="rId171"/><Relationship Type="http://schemas.openxmlformats.org/officeDocument/2006/relationships/hyperlink" Target="https://docs.google.com/spreadsheets/d/1ZiCGoPjLCjuYvujDTXK9Ixbth3tekiLtFBzBrGjPCr4/edit?gid=0" TargetMode="External" Id="rId172"/><Relationship Type="http://schemas.openxmlformats.org/officeDocument/2006/relationships/hyperlink" Target="https://docs.google.com/spreadsheets/d/1ZiCGoPjLCjuYvujDTXK9Ixbth3tekiLtFBzBrGjPCr4/edit?gid=0" TargetMode="External" Id="rId173"/><Relationship Type="http://schemas.openxmlformats.org/officeDocument/2006/relationships/hyperlink" Target="https://docs.google.com/spreadsheets/d/1ZiCGoPjLCjuYvujDTXK9Ixbth3tekiLtFBzBrGjPCr4/edit?gid=0" TargetMode="External" Id="rId174"/><Relationship Type="http://schemas.openxmlformats.org/officeDocument/2006/relationships/hyperlink" Target="https://docs.google.com/spreadsheets/d/1ZiCGoPjLCjuYvujDTXK9Ixbth3tekiLtFBzBrGjPCr4/edit?gid=0" TargetMode="External" Id="rId175"/><Relationship Type="http://schemas.openxmlformats.org/officeDocument/2006/relationships/hyperlink" Target="https://docs.google.com/spreadsheets/d/1ZiCGoPjLCjuYvujDTXK9Ixbth3tekiLtFBzBrGjPCr4/edit?gid=0" TargetMode="External" Id="rId176"/><Relationship Type="http://schemas.openxmlformats.org/officeDocument/2006/relationships/hyperlink" Target="https://docs.google.com/spreadsheets/d/1ZiCGoPjLCjuYvujDTXK9Ixbth3tekiLtFBzBrGjPCr4/edit?gid=0" TargetMode="External" Id="rId177"/><Relationship Type="http://schemas.openxmlformats.org/officeDocument/2006/relationships/hyperlink" Target="https://docs.google.com/spreadsheets/d/1ZiCGoPjLCjuYvujDTXK9Ixbth3tekiLtFBzBrGjPCr4/edit?gid=0" TargetMode="External" Id="rId178"/><Relationship Type="http://schemas.openxmlformats.org/officeDocument/2006/relationships/hyperlink" Target="https://docs.google.com/spreadsheets/d/1ZiCGoPjLCjuYvujDTXK9Ixbth3tekiLtFBzBrGjPCr4/edit?gid=0" TargetMode="External" Id="rId179"/><Relationship Type="http://schemas.openxmlformats.org/officeDocument/2006/relationships/hyperlink" Target="https://docs.google.com/spreadsheets/d/1ZiCGoPjLCjuYvujDTXK9Ixbth3tekiLtFBzBrGjPCr4/edit?gid=0" TargetMode="External" Id="rId180"/><Relationship Type="http://schemas.openxmlformats.org/officeDocument/2006/relationships/hyperlink" Target="https://docs.google.com/spreadsheets/d/1ZiCGoPjLCjuYvujDTXK9Ixbth3tekiLtFBzBrGjPCr4/edit?gid=0" TargetMode="External" Id="rId181"/><Relationship Type="http://schemas.openxmlformats.org/officeDocument/2006/relationships/hyperlink" Target="https://docs.google.com/spreadsheets/d/1ZiCGoPjLCjuYvujDTXK9Ixbth3tekiLtFBzBrGjPCr4/edit?gid=0" TargetMode="External" Id="rId182"/><Relationship Type="http://schemas.openxmlformats.org/officeDocument/2006/relationships/hyperlink" Target="https://docs.google.com/spreadsheets/d/1ZiCGoPjLCjuYvujDTXK9Ixbth3tekiLtFBzBrGjPCr4/edit?gid=0" TargetMode="External" Id="rId183"/><Relationship Type="http://schemas.openxmlformats.org/officeDocument/2006/relationships/hyperlink" Target="https://docs.google.com/spreadsheets/d/1ZiCGoPjLCjuYvujDTXK9Ixbth3tekiLtFBzBrGjPCr4/edit?gid=0" TargetMode="External" Id="rId184"/><Relationship Type="http://schemas.openxmlformats.org/officeDocument/2006/relationships/hyperlink" Target="https://docs.google.com/spreadsheets/d/1ZiCGoPjLCjuYvujDTXK9Ixbth3tekiLtFBzBrGjPCr4/edit?gid=0" TargetMode="External" Id="rId185"/><Relationship Type="http://schemas.openxmlformats.org/officeDocument/2006/relationships/hyperlink" Target="https://docs.google.com/spreadsheets/d/1ZiCGoPjLCjuYvujDTXK9Ixbth3tekiLtFBzBrGjPCr4/edit?gid=0" TargetMode="External" Id="rId186"/><Relationship Type="http://schemas.openxmlformats.org/officeDocument/2006/relationships/hyperlink" Target="https://docs.google.com/spreadsheets/d/1ZiCGoPjLCjuYvujDTXK9Ixbth3tekiLtFBzBrGjPCr4/edit?gid=0" TargetMode="External" Id="rId187"/><Relationship Type="http://schemas.openxmlformats.org/officeDocument/2006/relationships/hyperlink" Target="https://docs.google.com/spreadsheets/d/1ZiCGoPjLCjuYvujDTXK9Ixbth3tekiLtFBzBrGjPCr4/edit?gid=0" TargetMode="External" Id="rId188"/><Relationship Type="http://schemas.openxmlformats.org/officeDocument/2006/relationships/hyperlink" Target="https://docs.google.com/spreadsheets/d/1ZiCGoPjLCjuYvujDTXK9Ixbth3tekiLtFBzBrGjPCr4/edit?gid=0" TargetMode="External" Id="rId189"/><Relationship Type="http://schemas.openxmlformats.org/officeDocument/2006/relationships/hyperlink" Target="https://docs.google.com/spreadsheets/d/1ZiCGoPjLCjuYvujDTXK9Ixbth3tekiLtFBzBrGjPCr4/edit?gid=0" TargetMode="External" Id="rId190"/><Relationship Type="http://schemas.openxmlformats.org/officeDocument/2006/relationships/hyperlink" Target="https://docs.google.com/spreadsheets/d/1ZiCGoPjLCjuYvujDTXK9Ixbth3tekiLtFBzBrGjPCr4/edit?gid=0" TargetMode="External" Id="rId191"/><Relationship Type="http://schemas.openxmlformats.org/officeDocument/2006/relationships/hyperlink" Target="https://docs.google.com/spreadsheets/d/1ZiCGoPjLCjuYvujDTXK9Ixbth3tekiLtFBzBrGjPCr4/edit?gid=0" TargetMode="External" Id="rId192"/><Relationship Type="http://schemas.openxmlformats.org/officeDocument/2006/relationships/hyperlink" Target="https://docs.google.com/spreadsheets/d/1ZiCGoPjLCjuYvujDTXK9Ixbth3tekiLtFBzBrGjPCr4/edit?gid=0" TargetMode="External" Id="rId193"/><Relationship Type="http://schemas.openxmlformats.org/officeDocument/2006/relationships/hyperlink" Target="https://docs.google.com/spreadsheets/d/1ZiCGoPjLCjuYvujDTXK9Ixbth3tekiLtFBzBrGjPCr4/edit?gid=0" TargetMode="External" Id="rId194"/><Relationship Type="http://schemas.openxmlformats.org/officeDocument/2006/relationships/hyperlink" Target="https://docs.google.com/spreadsheets/d/1ZiCGoPjLCjuYvujDTXK9Ixbth3tekiLtFBzBrGjPCr4/edit?gid=0" TargetMode="External" Id="rId195"/><Relationship Type="http://schemas.openxmlformats.org/officeDocument/2006/relationships/hyperlink" Target="https://docs.google.com/spreadsheets/d/1ZiCGoPjLCjuYvujDTXK9Ixbth3tekiLtFBzBrGjPCr4/edit?gid=0" TargetMode="External" Id="rId196"/><Relationship Type="http://schemas.openxmlformats.org/officeDocument/2006/relationships/hyperlink" Target="https://docs.google.com/spreadsheets/d/1ZiCGoPjLCjuYvujDTXK9Ixbth3tekiLtFBzBrGjPCr4/edit?gid=0" TargetMode="External" Id="rId197"/><Relationship Type="http://schemas.openxmlformats.org/officeDocument/2006/relationships/hyperlink" Target="https://docs.google.com/spreadsheets/d/1ZiCGoPjLCjuYvujDTXK9Ixbth3tekiLtFBzBrGjPCr4/edit?gid=0" TargetMode="External" Id="rId198"/><Relationship Type="http://schemas.openxmlformats.org/officeDocument/2006/relationships/hyperlink" Target="https://docs.google.com/spreadsheets/d/1ZiCGoPjLCjuYvujDTXK9Ixbth3tekiLtFBzBrGjPCr4/edit?gid=0" TargetMode="External" Id="rId199"/><Relationship Type="http://schemas.openxmlformats.org/officeDocument/2006/relationships/hyperlink" Target="https://docs.google.com/spreadsheets/d/1ZiCGoPjLCjuYvujDTXK9Ixbth3tekiLtFBzBrGjPCr4/edit?gid=0" TargetMode="External" Id="rId200"/><Relationship Type="http://schemas.openxmlformats.org/officeDocument/2006/relationships/hyperlink" Target="https://docs.google.com/spreadsheets/d/1ZiCGoPjLCjuYvujDTXK9Ixbth3tekiLtFBzBrGjPCr4/edit?gid=0" TargetMode="External" Id="rId201"/><Relationship Type="http://schemas.openxmlformats.org/officeDocument/2006/relationships/hyperlink" Target="https://docs.google.com/spreadsheets/d/1ZiCGoPjLCjuYvujDTXK9Ixbth3tekiLtFBzBrGjPCr4/edit?gid=0" TargetMode="External" Id="rId202"/><Relationship Type="http://schemas.openxmlformats.org/officeDocument/2006/relationships/hyperlink" Target="https://docs.google.com/spreadsheets/d/1ZiCGoPjLCjuYvujDTXK9Ixbth3tekiLtFBzBrGjPCr4/edit?gid=0" TargetMode="External" Id="rId203"/><Relationship Type="http://schemas.openxmlformats.org/officeDocument/2006/relationships/hyperlink" Target="https://docs.google.com/spreadsheets/d/1ZiCGoPjLCjuYvujDTXK9Ixbth3tekiLtFBzBrGjPCr4/edit?gid=0" TargetMode="External" Id="rId204"/><Relationship Type="http://schemas.openxmlformats.org/officeDocument/2006/relationships/hyperlink" Target="https://docs.google.com/spreadsheets/d/1ZiCGoPjLCjuYvujDTXK9Ixbth3tekiLtFBzBrGjPCr4/edit?gid=0" TargetMode="External" Id="rId205"/><Relationship Type="http://schemas.openxmlformats.org/officeDocument/2006/relationships/hyperlink" Target="https://docs.google.com/spreadsheets/d/1ZiCGoPjLCjuYvujDTXK9Ixbth3tekiLtFBzBrGjPCr4/edit?gid=0" TargetMode="External" Id="rId206"/><Relationship Type="http://schemas.openxmlformats.org/officeDocument/2006/relationships/hyperlink" Target="https://docs.google.com/spreadsheets/d/1ZiCGoPjLCjuYvujDTXK9Ixbth3tekiLtFBzBrGjPCr4/edit?gid=0" TargetMode="External" Id="rId207"/><Relationship Type="http://schemas.openxmlformats.org/officeDocument/2006/relationships/hyperlink" Target="https://docs.google.com/spreadsheets/d/1ZiCGoPjLCjuYvujDTXK9Ixbth3tekiLtFBzBrGjPCr4/edit?gid=0" TargetMode="External" Id="rId208"/><Relationship Type="http://schemas.openxmlformats.org/officeDocument/2006/relationships/hyperlink" Target="https://docs.google.com/spreadsheets/d/1ZiCGoPjLCjuYvujDTXK9Ixbth3tekiLtFBzBrGjPCr4/edit?gid=0" TargetMode="External" Id="rId209"/><Relationship Type="http://schemas.openxmlformats.org/officeDocument/2006/relationships/hyperlink" Target="https://docs.google.com/spreadsheets/d/1ZiCGoPjLCjuYvujDTXK9Ixbth3tekiLtFBzBrGjPCr4/edit?gid=0" TargetMode="External" Id="rId210"/><Relationship Type="http://schemas.openxmlformats.org/officeDocument/2006/relationships/hyperlink" Target="https://docs.google.com/spreadsheets/d/1ZiCGoPjLCjuYvujDTXK9Ixbth3tekiLtFBzBrGjPCr4/edit?gid=0" TargetMode="External" Id="rId211"/><Relationship Type="http://schemas.openxmlformats.org/officeDocument/2006/relationships/hyperlink" Target="https://docs.google.com/spreadsheets/d/1ZiCGoPjLCjuYvujDTXK9Ixbth3tekiLtFBzBrGjPCr4/edit?gid=0" TargetMode="External" Id="rId212"/><Relationship Type="http://schemas.openxmlformats.org/officeDocument/2006/relationships/hyperlink" Target="https://docs.google.com/spreadsheets/d/1ZiCGoPjLCjuYvujDTXK9Ixbth3tekiLtFBzBrGjPCr4/edit?gid=0" TargetMode="External" Id="rId213"/><Relationship Type="http://schemas.openxmlformats.org/officeDocument/2006/relationships/hyperlink" Target="https://docs.google.com/spreadsheets/d/1ZiCGoPjLCjuYvujDTXK9Ixbth3tekiLtFBzBrGjPCr4/edit?gid=0" TargetMode="External" Id="rId214"/><Relationship Type="http://schemas.openxmlformats.org/officeDocument/2006/relationships/hyperlink" Target="https://docs.google.com/spreadsheets/d/1ZiCGoPjLCjuYvujDTXK9Ixbth3tekiLtFBzBrGjPCr4/edit?gid=0" TargetMode="External" Id="rId215"/><Relationship Type="http://schemas.openxmlformats.org/officeDocument/2006/relationships/hyperlink" Target="https://docs.google.com/spreadsheets/d/1ZiCGoPjLCjuYvujDTXK9Ixbth3tekiLtFBzBrGjPCr4/edit?gid=0" TargetMode="External" Id="rId216"/><Relationship Type="http://schemas.openxmlformats.org/officeDocument/2006/relationships/hyperlink" Target="https://docs.google.com/spreadsheets/d/1ZiCGoPjLCjuYvujDTXK9Ixbth3tekiLtFBzBrGjPCr4/edit?gid=0" TargetMode="External" Id="rId217"/><Relationship Type="http://schemas.openxmlformats.org/officeDocument/2006/relationships/hyperlink" Target="https://docs.google.com/spreadsheets/d/1ZiCGoPjLCjuYvujDTXK9Ixbth3tekiLtFBzBrGjPCr4/edit?gid=0" TargetMode="External" Id="rId218"/><Relationship Type="http://schemas.openxmlformats.org/officeDocument/2006/relationships/hyperlink" Target="https://docs.google.com/spreadsheets/d/1ZiCGoPjLCjuYvujDTXK9Ixbth3tekiLtFBzBrGjPCr4/edit?gid=0" TargetMode="External" Id="rId219"/><Relationship Type="http://schemas.openxmlformats.org/officeDocument/2006/relationships/hyperlink" Target="https://docs.google.com/spreadsheets/d/1ZiCGoPjLCjuYvujDTXK9Ixbth3tekiLtFBzBrGjPCr4/edit?gid=0" TargetMode="External" Id="rId220"/><Relationship Type="http://schemas.openxmlformats.org/officeDocument/2006/relationships/hyperlink" Target="https://docs.google.com/spreadsheets/d/1ZiCGoPjLCjuYvujDTXK9Ixbth3tekiLtFBzBrGjPCr4/edit?gid=0" TargetMode="External" Id="rId221"/><Relationship Type="http://schemas.openxmlformats.org/officeDocument/2006/relationships/hyperlink" Target="https://docs.google.com/spreadsheets/d/1ZiCGoPjLCjuYvujDTXK9Ixbth3tekiLtFBzBrGjPCr4/edit?gid=0" TargetMode="External" Id="rId222"/><Relationship Type="http://schemas.openxmlformats.org/officeDocument/2006/relationships/hyperlink" Target="https://docs.google.com/spreadsheets/d/1ZiCGoPjLCjuYvujDTXK9Ixbth3tekiLtFBzBrGjPCr4/edit?gid=0" TargetMode="External" Id="rId223"/><Relationship Type="http://schemas.openxmlformats.org/officeDocument/2006/relationships/hyperlink" Target="https://docs.google.com/spreadsheets/d/1ZiCGoPjLCjuYvujDTXK9Ixbth3tekiLtFBzBrGjPCr4/edit?gid=0" TargetMode="External" Id="rId224"/><Relationship Type="http://schemas.openxmlformats.org/officeDocument/2006/relationships/hyperlink" Target="https://docs.google.com/spreadsheets/d/1ZiCGoPjLCjuYvujDTXK9Ixbth3tekiLtFBzBrGjPCr4/edit?gid=0" TargetMode="External" Id="rId225"/><Relationship Type="http://schemas.openxmlformats.org/officeDocument/2006/relationships/hyperlink" Target="https://docs.google.com/spreadsheets/d/1ZiCGoPjLCjuYvujDTXK9Ixbth3tekiLtFBzBrGjPCr4/edit?gid=0" TargetMode="External" Id="rId226"/><Relationship Type="http://schemas.openxmlformats.org/officeDocument/2006/relationships/hyperlink" Target="https://docs.google.com/spreadsheets/d/1ZiCGoPjLCjuYvujDTXK9Ixbth3tekiLtFBzBrGjPCr4/edit?gid=0" TargetMode="External" Id="rId227"/><Relationship Type="http://schemas.openxmlformats.org/officeDocument/2006/relationships/hyperlink" Target="https://docs.google.com/spreadsheets/d/1ZiCGoPjLCjuYvujDTXK9Ixbth3tekiLtFBzBrGjPCr4/edit?gid=0" TargetMode="External" Id="rId228"/><Relationship Type="http://schemas.openxmlformats.org/officeDocument/2006/relationships/hyperlink" Target="https://docs.google.com/spreadsheets/d/1ZiCGoPjLCjuYvujDTXK9Ixbth3tekiLtFBzBrGjPCr4/edit?gid=0" TargetMode="External" Id="rId229"/><Relationship Type="http://schemas.openxmlformats.org/officeDocument/2006/relationships/hyperlink" Target="https://docs.google.com/spreadsheets/d/1ZiCGoPjLCjuYvujDTXK9Ixbth3tekiLtFBzBrGjPCr4/edit?gid=0" TargetMode="External" Id="rId230"/><Relationship Type="http://schemas.openxmlformats.org/officeDocument/2006/relationships/hyperlink" Target="https://docs.google.com/spreadsheets/d/1ZiCGoPjLCjuYvujDTXK9Ixbth3tekiLtFBzBrGjPCr4/edit?gid=0" TargetMode="External" Id="rId231"/><Relationship Type="http://schemas.openxmlformats.org/officeDocument/2006/relationships/hyperlink" Target="https://docs.google.com/spreadsheets/d/1ZiCGoPjLCjuYvujDTXK9Ixbth3tekiLtFBzBrGjPCr4/edit?gid=0" TargetMode="External" Id="rId232"/><Relationship Type="http://schemas.openxmlformats.org/officeDocument/2006/relationships/hyperlink" Target="https://docs.google.com/spreadsheets/d/1ZiCGoPjLCjuYvujDTXK9Ixbth3tekiLtFBzBrGjPCr4/edit?gid=0" TargetMode="External" Id="rId233"/><Relationship Type="http://schemas.openxmlformats.org/officeDocument/2006/relationships/hyperlink" Target="https://docs.google.com/spreadsheets/d/1ZiCGoPjLCjuYvujDTXK9Ixbth3tekiLtFBzBrGjPCr4/edit?gid=0" TargetMode="External" Id="rId234"/><Relationship Type="http://schemas.openxmlformats.org/officeDocument/2006/relationships/hyperlink" Target="https://docs.google.com/spreadsheets/d/1ZiCGoPjLCjuYvujDTXK9Ixbth3tekiLtFBzBrGjPCr4/edit?gid=0" TargetMode="External" Id="rId235"/><Relationship Type="http://schemas.openxmlformats.org/officeDocument/2006/relationships/hyperlink" Target="https://docs.google.com/spreadsheets/d/1ZiCGoPjLCjuYvujDTXK9Ixbth3tekiLtFBzBrGjPCr4/edit?gid=0" TargetMode="External" Id="rId236"/><Relationship Type="http://schemas.openxmlformats.org/officeDocument/2006/relationships/hyperlink" Target="https://docs.google.com/spreadsheets/d/1ZiCGoPjLCjuYvujDTXK9Ixbth3tekiLtFBzBrGjPCr4/edit?gid=0" TargetMode="External" Id="rId237"/><Relationship Type="http://schemas.openxmlformats.org/officeDocument/2006/relationships/hyperlink" Target="https://docs.google.com/spreadsheets/d/1ZiCGoPjLCjuYvujDTXK9Ixbth3tekiLtFBzBrGjPCr4/edit?gid=0" TargetMode="External" Id="rId238"/><Relationship Type="http://schemas.openxmlformats.org/officeDocument/2006/relationships/hyperlink" Target="https://docs.google.com/spreadsheets/d/1ZiCGoPjLCjuYvujDTXK9Ixbth3tekiLtFBzBrGjPCr4/edit?gid=0" TargetMode="External" Id="rId239"/><Relationship Type="http://schemas.openxmlformats.org/officeDocument/2006/relationships/hyperlink" Target="https://docs.google.com/spreadsheets/d/1ZiCGoPjLCjuYvujDTXK9Ixbth3tekiLtFBzBrGjPCr4/edit?gid=0" TargetMode="External" Id="rId240"/><Relationship Type="http://schemas.openxmlformats.org/officeDocument/2006/relationships/hyperlink" Target="https://docs.google.com/spreadsheets/d/1ZiCGoPjLCjuYvujDTXK9Ixbth3tekiLtFBzBrGjPCr4/edit?gid=0" TargetMode="External" Id="rId241"/><Relationship Type="http://schemas.openxmlformats.org/officeDocument/2006/relationships/hyperlink" Target="https://docs.google.com/spreadsheets/d/1ZiCGoPjLCjuYvujDTXK9Ixbth3tekiLtFBzBrGjPCr4/edit?gid=0" TargetMode="External" Id="rId242"/><Relationship Type="http://schemas.openxmlformats.org/officeDocument/2006/relationships/hyperlink" Target="https://docs.google.com/spreadsheets/d/1ZiCGoPjLCjuYvujDTXK9Ixbth3tekiLtFBzBrGjPCr4/edit?gid=0" TargetMode="External" Id="rId243"/><Relationship Type="http://schemas.openxmlformats.org/officeDocument/2006/relationships/hyperlink" Target="https://docs.google.com/spreadsheets/d/1ZiCGoPjLCjuYvujDTXK9Ixbth3tekiLtFBzBrGjPCr4/edit?gid=0" TargetMode="External" Id="rId244"/><Relationship Type="http://schemas.openxmlformats.org/officeDocument/2006/relationships/hyperlink" Target="https://docs.google.com/spreadsheets/d/1ZiCGoPjLCjuYvujDTXK9Ixbth3tekiLtFBzBrGjPCr4/edit?gid=0" TargetMode="External" Id="rId245"/><Relationship Type="http://schemas.openxmlformats.org/officeDocument/2006/relationships/hyperlink" Target="https://docs.google.com/spreadsheets/d/1ZiCGoPjLCjuYvujDTXK9Ixbth3tekiLtFBzBrGjPCr4/edit?gid=0" TargetMode="External" Id="rId246"/><Relationship Type="http://schemas.openxmlformats.org/officeDocument/2006/relationships/hyperlink" Target="https://docs.google.com/spreadsheets/d/1ZiCGoPjLCjuYvujDTXK9Ixbth3tekiLtFBzBrGjPCr4/edit?gid=0" TargetMode="External" Id="rId247"/><Relationship Type="http://schemas.openxmlformats.org/officeDocument/2006/relationships/hyperlink" Target="https://docs.google.com/spreadsheets/d/1ZiCGoPjLCjuYvujDTXK9Ixbth3tekiLtFBzBrGjPCr4/edit?gid=0" TargetMode="External" Id="rId248"/><Relationship Type="http://schemas.openxmlformats.org/officeDocument/2006/relationships/hyperlink" Target="https://docs.google.com/spreadsheets/d/1ZiCGoPjLCjuYvujDTXK9Ixbth3tekiLtFBzBrGjPCr4/edit?gid=0" TargetMode="External" Id="rId249"/><Relationship Type="http://schemas.openxmlformats.org/officeDocument/2006/relationships/hyperlink" Target="https://docs.google.com/spreadsheets/d/1ZiCGoPjLCjuYvujDTXK9Ixbth3tekiLtFBzBrGjPCr4/edit?gid=0" TargetMode="External" Id="rId250"/><Relationship Type="http://schemas.openxmlformats.org/officeDocument/2006/relationships/hyperlink" Target="https://docs.google.com/spreadsheets/d/1ZiCGoPjLCjuYvujDTXK9Ixbth3tekiLtFBzBrGjPCr4/edit?gid=0" TargetMode="External" Id="rId251"/><Relationship Type="http://schemas.openxmlformats.org/officeDocument/2006/relationships/hyperlink" Target="https://docs.google.com/spreadsheets/d/1ZiCGoPjLCjuYvujDTXK9Ixbth3tekiLtFBzBrGjPCr4/edit?gid=0" TargetMode="External" Id="rId252"/><Relationship Type="http://schemas.openxmlformats.org/officeDocument/2006/relationships/hyperlink" Target="https://docs.google.com/spreadsheets/d/1ZiCGoPjLCjuYvujDTXK9Ixbth3tekiLtFBzBrGjPCr4/edit?gid=0" TargetMode="External" Id="rId253"/><Relationship Type="http://schemas.openxmlformats.org/officeDocument/2006/relationships/hyperlink" Target="https://docs.google.com/spreadsheets/d/1ZiCGoPjLCjuYvujDTXK9Ixbth3tekiLtFBzBrGjPCr4/edit?gid=0" TargetMode="External" Id="rId254"/><Relationship Type="http://schemas.openxmlformats.org/officeDocument/2006/relationships/hyperlink" Target="https://docs.google.com/spreadsheets/d/1ZiCGoPjLCjuYvujDTXK9Ixbth3tekiLtFBzBrGjPCr4/edit?gid=0" TargetMode="External" Id="rId255"/><Relationship Type="http://schemas.openxmlformats.org/officeDocument/2006/relationships/hyperlink" Target="https://docs.google.com/spreadsheets/d/1ZiCGoPjLCjuYvujDTXK9Ixbth3tekiLtFBzBrGjPCr4/edit?gid=0" TargetMode="External" Id="rId256"/><Relationship Type="http://schemas.openxmlformats.org/officeDocument/2006/relationships/hyperlink" Target="https://docs.google.com/spreadsheets/d/1ZiCGoPjLCjuYvujDTXK9Ixbth3tekiLtFBzBrGjPCr4/edit?gid=0" TargetMode="External" Id="rId257"/><Relationship Type="http://schemas.openxmlformats.org/officeDocument/2006/relationships/hyperlink" Target="https://docs.google.com/spreadsheets/d/1ZiCGoPjLCjuYvujDTXK9Ixbth3tekiLtFBzBrGjPCr4/edit?gid=0" TargetMode="External" Id="rId258"/><Relationship Type="http://schemas.openxmlformats.org/officeDocument/2006/relationships/hyperlink" Target="https://docs.google.com/spreadsheets/d/1ZiCGoPjLCjuYvujDTXK9Ixbth3tekiLtFBzBrGjPCr4/edit?gid=0" TargetMode="External" Id="rId259"/><Relationship Type="http://schemas.openxmlformats.org/officeDocument/2006/relationships/hyperlink" Target="https://docs.google.com/spreadsheets/d/1ZiCGoPjLCjuYvujDTXK9Ixbth3tekiLtFBzBrGjPCr4/edit?gid=0" TargetMode="External" Id="rId260"/><Relationship Type="http://schemas.openxmlformats.org/officeDocument/2006/relationships/hyperlink" Target="https://docs.google.com/spreadsheets/d/1ZiCGoPjLCjuYvujDTXK9Ixbth3tekiLtFBzBrGjPCr4/edit?gid=0" TargetMode="External" Id="rId261"/><Relationship Type="http://schemas.openxmlformats.org/officeDocument/2006/relationships/hyperlink" Target="https://docs.google.com/spreadsheets/d/1ZiCGoPjLCjuYvujDTXK9Ixbth3tekiLtFBzBrGjPCr4/edit?gid=0" TargetMode="External" Id="rId262"/><Relationship Type="http://schemas.openxmlformats.org/officeDocument/2006/relationships/hyperlink" Target="https://docs.google.com/spreadsheets/d/1ZiCGoPjLCjuYvujDTXK9Ixbth3tekiLtFBzBrGjPCr4/edit?gid=0" TargetMode="External" Id="rId263"/><Relationship Type="http://schemas.openxmlformats.org/officeDocument/2006/relationships/hyperlink" Target="https://docs.google.com/spreadsheets/d/1ZiCGoPjLCjuYvujDTXK9Ixbth3tekiLtFBzBrGjPCr4/edit?gid=0" TargetMode="External" Id="rId264"/><Relationship Type="http://schemas.openxmlformats.org/officeDocument/2006/relationships/hyperlink" Target="https://docs.google.com/spreadsheets/d/1ZiCGoPjLCjuYvujDTXK9Ixbth3tekiLtFBzBrGjPCr4/edit?gid=0" TargetMode="External" Id="rId265"/><Relationship Type="http://schemas.openxmlformats.org/officeDocument/2006/relationships/hyperlink" Target="https://docs.google.com/spreadsheets/d/1ZiCGoPjLCjuYvujDTXK9Ixbth3tekiLtFBzBrGjPCr4/edit?gid=0" TargetMode="External" Id="rId266"/><Relationship Type="http://schemas.openxmlformats.org/officeDocument/2006/relationships/hyperlink" Target="https://docs.google.com/spreadsheets/d/1ZiCGoPjLCjuYvujDTXK9Ixbth3tekiLtFBzBrGjPCr4/edit?gid=0" TargetMode="External" Id="rId267"/><Relationship Type="http://schemas.openxmlformats.org/officeDocument/2006/relationships/hyperlink" Target="https://docs.google.com/spreadsheets/d/1ZiCGoPjLCjuYvujDTXK9Ixbth3tekiLtFBzBrGjPCr4/edit?gid=0" TargetMode="External" Id="rId268"/><Relationship Type="http://schemas.openxmlformats.org/officeDocument/2006/relationships/hyperlink" Target="https://docs.google.com/spreadsheets/d/1ZiCGoPjLCjuYvujDTXK9Ixbth3tekiLtFBzBrGjPCr4/edit?gid=0" TargetMode="External" Id="rId269"/><Relationship Type="http://schemas.openxmlformats.org/officeDocument/2006/relationships/hyperlink" Target="https://docs.google.com/spreadsheets/d/1ZiCGoPjLCjuYvujDTXK9Ixbth3tekiLtFBzBrGjPCr4/edit?gid=0" TargetMode="External" Id="rId270"/><Relationship Type="http://schemas.openxmlformats.org/officeDocument/2006/relationships/hyperlink" Target="https://docs.google.com/spreadsheets/d/1ZiCGoPjLCjuYvujDTXK9Ixbth3tekiLtFBzBrGjPCr4/edit?gid=0" TargetMode="External" Id="rId271"/><Relationship Type="http://schemas.openxmlformats.org/officeDocument/2006/relationships/hyperlink" Target="https://docs.google.com/spreadsheets/d/1ZiCGoPjLCjuYvujDTXK9Ixbth3tekiLtFBzBrGjPCr4/edit?gid=0" TargetMode="External" Id="rId272"/><Relationship Type="http://schemas.openxmlformats.org/officeDocument/2006/relationships/hyperlink" Target="https://docs.google.com/spreadsheets/d/1ZiCGoPjLCjuYvujDTXK9Ixbth3tekiLtFBzBrGjPCr4/edit?gid=0" TargetMode="External" Id="rId273"/><Relationship Type="http://schemas.openxmlformats.org/officeDocument/2006/relationships/hyperlink" Target="https://docs.google.com/spreadsheets/d/1ZiCGoPjLCjuYvujDTXK9Ixbth3tekiLtFBzBrGjPCr4/edit?gid=0" TargetMode="External" Id="rId274"/><Relationship Type="http://schemas.openxmlformats.org/officeDocument/2006/relationships/hyperlink" Target="https://docs.google.com/spreadsheets/d/1ZiCGoPjLCjuYvujDTXK9Ixbth3tekiLtFBzBrGjPCr4/edit?gid=0" TargetMode="External" Id="rId275"/><Relationship Type="http://schemas.openxmlformats.org/officeDocument/2006/relationships/hyperlink" Target="https://docs.google.com/spreadsheets/d/1ZiCGoPjLCjuYvujDTXK9Ixbth3tekiLtFBzBrGjPCr4/edit?gid=0" TargetMode="External" Id="rId276"/><Relationship Type="http://schemas.openxmlformats.org/officeDocument/2006/relationships/hyperlink" Target="https://docs.google.com/spreadsheets/d/1ZiCGoPjLCjuYvujDTXK9Ixbth3tekiLtFBzBrGjPCr4/edit?gid=0" TargetMode="External" Id="rId277"/><Relationship Type="http://schemas.openxmlformats.org/officeDocument/2006/relationships/hyperlink" Target="https://docs.google.com/spreadsheets/d/1ZiCGoPjLCjuYvujDTXK9Ixbth3tekiLtFBzBrGjPCr4/edit?gid=0" TargetMode="External" Id="rId278"/><Relationship Type="http://schemas.openxmlformats.org/officeDocument/2006/relationships/hyperlink" Target="https://docs.google.com/spreadsheets/d/1ZiCGoPjLCjuYvujDTXK9Ixbth3tekiLtFBzBrGjPCr4/edit?gid=0" TargetMode="External" Id="rId279"/><Relationship Type="http://schemas.openxmlformats.org/officeDocument/2006/relationships/hyperlink" Target="https://docs.google.com/spreadsheets/d/1ZiCGoPjLCjuYvujDTXK9Ixbth3tekiLtFBzBrGjPCr4/edit?gid=0" TargetMode="External" Id="rId280"/><Relationship Type="http://schemas.openxmlformats.org/officeDocument/2006/relationships/hyperlink" Target="https://docs.google.com/spreadsheets/d/1ZiCGoPjLCjuYvujDTXK9Ixbth3tekiLtFBzBrGjPCr4/edit?gid=0" TargetMode="External" Id="rId281"/><Relationship Type="http://schemas.openxmlformats.org/officeDocument/2006/relationships/hyperlink" Target="https://docs.google.com/spreadsheets/d/1ZiCGoPjLCjuYvujDTXK9Ixbth3tekiLtFBzBrGjPCr4/edit?gid=0" TargetMode="External" Id="rId282"/><Relationship Type="http://schemas.openxmlformats.org/officeDocument/2006/relationships/hyperlink" Target="https://docs.google.com/spreadsheets/d/1ZiCGoPjLCjuYvujDTXK9Ixbth3tekiLtFBzBrGjPCr4/edit?gid=0" TargetMode="External" Id="rId283"/><Relationship Type="http://schemas.openxmlformats.org/officeDocument/2006/relationships/hyperlink" Target="https://docs.google.com/spreadsheets/d/1ZiCGoPjLCjuYvujDTXK9Ixbth3tekiLtFBzBrGjPCr4/edit?gid=0" TargetMode="External" Id="rId284"/><Relationship Type="http://schemas.openxmlformats.org/officeDocument/2006/relationships/hyperlink" Target="https://docs.google.com/spreadsheets/d/1ZiCGoPjLCjuYvujDTXK9Ixbth3tekiLtFBzBrGjPCr4/edit?gid=0" TargetMode="External" Id="rId285"/><Relationship Type="http://schemas.openxmlformats.org/officeDocument/2006/relationships/hyperlink" Target="https://docs.google.com/spreadsheets/d/1ZiCGoPjLCjuYvujDTXK9Ixbth3tekiLtFBzBrGjPCr4/edit?gid=0" TargetMode="External" Id="rId286"/><Relationship Type="http://schemas.openxmlformats.org/officeDocument/2006/relationships/hyperlink" Target="https://docs.google.com/spreadsheets/d/1ZiCGoPjLCjuYvujDTXK9Ixbth3tekiLtFBzBrGjPCr4/edit?gid=0" TargetMode="External" Id="rId287"/><Relationship Type="http://schemas.openxmlformats.org/officeDocument/2006/relationships/hyperlink" Target="https://docs.google.com/spreadsheets/d/1ZiCGoPjLCjuYvujDTXK9Ixbth3tekiLtFBzBrGjPCr4/edit?gid=0" TargetMode="External" Id="rId288"/><Relationship Type="http://schemas.openxmlformats.org/officeDocument/2006/relationships/hyperlink" Target="https://docs.google.com/spreadsheets/d/1ZiCGoPjLCjuYvujDTXK9Ixbth3tekiLtFBzBrGjPCr4/edit?gid=0" TargetMode="External" Id="rId289"/><Relationship Type="http://schemas.openxmlformats.org/officeDocument/2006/relationships/hyperlink" Target="https://docs.google.com/spreadsheets/d/1ZiCGoPjLCjuYvujDTXK9Ixbth3tekiLtFBzBrGjPCr4/edit?gid=0" TargetMode="External" Id="rId290"/><Relationship Type="http://schemas.openxmlformats.org/officeDocument/2006/relationships/hyperlink" Target="https://docs.google.com/spreadsheets/d/1ZiCGoPjLCjuYvujDTXK9Ixbth3tekiLtFBzBrGjPCr4/edit?gid=0" TargetMode="External" Id="rId291"/><Relationship Type="http://schemas.openxmlformats.org/officeDocument/2006/relationships/hyperlink" Target="https://docs.google.com/spreadsheets/d/1ZiCGoPjLCjuYvujDTXK9Ixbth3tekiLtFBzBrGjPCr4/edit?gid=0" TargetMode="External" Id="rId292"/><Relationship Type="http://schemas.openxmlformats.org/officeDocument/2006/relationships/hyperlink" Target="https://docs.google.com/spreadsheets/d/1ZiCGoPjLCjuYvujDTXK9Ixbth3tekiLtFBzBrGjPCr4/edit?gid=0" TargetMode="External" Id="rId293"/><Relationship Type="http://schemas.openxmlformats.org/officeDocument/2006/relationships/hyperlink" Target="https://docs.google.com/spreadsheets/d/1ZiCGoPjLCjuYvujDTXK9Ixbth3tekiLtFBzBrGjPCr4/edit?gid=0" TargetMode="External" Id="rId294"/><Relationship Type="http://schemas.openxmlformats.org/officeDocument/2006/relationships/hyperlink" Target="https://docs.google.com/spreadsheets/d/1ZiCGoPjLCjuYvujDTXK9Ixbth3tekiLtFBzBrGjPCr4/edit?gid=0" TargetMode="External" Id="rId295"/><Relationship Type="http://schemas.openxmlformats.org/officeDocument/2006/relationships/hyperlink" Target="https://docs.google.com/spreadsheets/d/1ZiCGoPjLCjuYvujDTXK9Ixbth3tekiLtFBzBrGjPCr4/edit?gid=0" TargetMode="External" Id="rId296"/><Relationship Type="http://schemas.openxmlformats.org/officeDocument/2006/relationships/hyperlink" Target="https://docs.google.com/spreadsheets/d/1ZiCGoPjLCjuYvujDTXK9Ixbth3tekiLtFBzBrGjPCr4/edit?gid=0" TargetMode="External" Id="rId297"/><Relationship Type="http://schemas.openxmlformats.org/officeDocument/2006/relationships/hyperlink" Target="https://docs.google.com/spreadsheets/d/1ZiCGoPjLCjuYvujDTXK9Ixbth3tekiLtFBzBrGjPCr4/edit?gid=0" TargetMode="External" Id="rId298"/><Relationship Type="http://schemas.openxmlformats.org/officeDocument/2006/relationships/hyperlink" Target="https://docs.google.com/spreadsheets/d/1ZiCGoPjLCjuYvujDTXK9Ixbth3tekiLtFBzBrGjPCr4/edit?gid=0" TargetMode="External" Id="rId299"/><Relationship Type="http://schemas.openxmlformats.org/officeDocument/2006/relationships/hyperlink" Target="https://docs.google.com/spreadsheets/d/1ZiCGoPjLCjuYvujDTXK9Ixbth3tekiLtFBzBrGjPCr4/edit?gid=0" TargetMode="External" Id="rId300"/><Relationship Type="http://schemas.openxmlformats.org/officeDocument/2006/relationships/hyperlink" Target="https://docs.google.com/spreadsheets/d/1ZiCGoPjLCjuYvujDTXK9Ixbth3tekiLtFBzBrGjPCr4/edit?gid=0" TargetMode="External" Id="rId301"/><Relationship Type="http://schemas.openxmlformats.org/officeDocument/2006/relationships/hyperlink" Target="https://docs.google.com/spreadsheets/d/1ZiCGoPjLCjuYvujDTXK9Ixbth3tekiLtFBzBrGjPCr4/edit?gid=0" TargetMode="External" Id="rId302"/><Relationship Type="http://schemas.openxmlformats.org/officeDocument/2006/relationships/hyperlink" Target="https://docs.google.com/spreadsheets/d/1ZiCGoPjLCjuYvujDTXK9Ixbth3tekiLtFBzBrGjPCr4/edit?gid=0" TargetMode="External" Id="rId303"/><Relationship Type="http://schemas.openxmlformats.org/officeDocument/2006/relationships/hyperlink" Target="https://docs.google.com/spreadsheets/d/1ZiCGoPjLCjuYvujDTXK9Ixbth3tekiLtFBzBrGjPCr4/edit?gid=0" TargetMode="External" Id="rId304"/><Relationship Type="http://schemas.openxmlformats.org/officeDocument/2006/relationships/hyperlink" Target="https://docs.google.com/spreadsheets/d/1ZiCGoPjLCjuYvujDTXK9Ixbth3tekiLtFBzBrGjPCr4/edit?gid=0" TargetMode="External" Id="rId305"/><Relationship Type="http://schemas.openxmlformats.org/officeDocument/2006/relationships/hyperlink" Target="https://docs.google.com/spreadsheets/d/1ZiCGoPjLCjuYvujDTXK9Ixbth3tekiLtFBzBrGjPCr4/edit?gid=0" TargetMode="External" Id="rId306"/><Relationship Type="http://schemas.openxmlformats.org/officeDocument/2006/relationships/hyperlink" Target="https://docs.google.com/spreadsheets/d/1ZiCGoPjLCjuYvujDTXK9Ixbth3tekiLtFBzBrGjPCr4/edit?gid=0" TargetMode="External" Id="rId307"/><Relationship Type="http://schemas.openxmlformats.org/officeDocument/2006/relationships/hyperlink" Target="https://docs.google.com/spreadsheets/d/1ZiCGoPjLCjuYvujDTXK9Ixbth3tekiLtFBzBrGjPCr4/edit?gid=0" TargetMode="External" Id="rId308"/><Relationship Type="http://schemas.openxmlformats.org/officeDocument/2006/relationships/hyperlink" Target="https://docs.google.com/spreadsheets/d/1ZiCGoPjLCjuYvujDTXK9Ixbth3tekiLtFBzBrGjPCr4/edit?gid=0" TargetMode="External" Id="rId309"/><Relationship Type="http://schemas.openxmlformats.org/officeDocument/2006/relationships/hyperlink" Target="https://docs.google.com/spreadsheets/d/1ZiCGoPjLCjuYvujDTXK9Ixbth3tekiLtFBzBrGjPCr4/edit?gid=0" TargetMode="External" Id="rId310"/><Relationship Type="http://schemas.openxmlformats.org/officeDocument/2006/relationships/hyperlink" Target="https://docs.google.com/spreadsheets/d/1ZiCGoPjLCjuYvujDTXK9Ixbth3tekiLtFBzBrGjPCr4/edit?gid=0" TargetMode="External" Id="rId311"/><Relationship Type="http://schemas.openxmlformats.org/officeDocument/2006/relationships/hyperlink" Target="https://docs.google.com/spreadsheets/d/1ZiCGoPjLCjuYvujDTXK9Ixbth3tekiLtFBzBrGjPCr4/edit?gid=0" TargetMode="External" Id="rId312"/><Relationship Type="http://schemas.openxmlformats.org/officeDocument/2006/relationships/hyperlink" Target="https://docs.google.com/spreadsheets/d/1ZiCGoPjLCjuYvujDTXK9Ixbth3tekiLtFBzBrGjPCr4/edit?gid=0" TargetMode="External" Id="rId313"/><Relationship Type="http://schemas.openxmlformats.org/officeDocument/2006/relationships/hyperlink" Target="https://docs.google.com/spreadsheets/d/1ZiCGoPjLCjuYvujDTXK9Ixbth3tekiLtFBzBrGjPCr4/edit?gid=0" TargetMode="External" Id="rId314"/><Relationship Type="http://schemas.openxmlformats.org/officeDocument/2006/relationships/hyperlink" Target="https://docs.google.com/spreadsheets/d/1ZiCGoPjLCjuYvujDTXK9Ixbth3tekiLtFBzBrGjPCr4/edit?gid=0" TargetMode="External" Id="rId315"/><Relationship Type="http://schemas.openxmlformats.org/officeDocument/2006/relationships/hyperlink" Target="https://docs.google.com/spreadsheets/d/1ZiCGoPjLCjuYvujDTXK9Ixbth3tekiLtFBzBrGjPCr4/edit?gid=0" TargetMode="External" Id="rId316"/><Relationship Type="http://schemas.openxmlformats.org/officeDocument/2006/relationships/hyperlink" Target="https://docs.google.com/spreadsheets/d/1ZiCGoPjLCjuYvujDTXK9Ixbth3tekiLtFBzBrGjPCr4/edit?gid=0" TargetMode="External" Id="rId317"/><Relationship Type="http://schemas.openxmlformats.org/officeDocument/2006/relationships/hyperlink" Target="https://docs.google.com/spreadsheets/d/1ZiCGoPjLCjuYvujDTXK9Ixbth3tekiLtFBzBrGjPCr4/edit?gid=0" TargetMode="External" Id="rId318"/><Relationship Type="http://schemas.openxmlformats.org/officeDocument/2006/relationships/hyperlink" Target="https://docs.google.com/spreadsheets/d/1ZiCGoPjLCjuYvujDTXK9Ixbth3tekiLtFBzBrGjPCr4/edit?gid=0" TargetMode="External" Id="rId319"/><Relationship Type="http://schemas.openxmlformats.org/officeDocument/2006/relationships/hyperlink" Target="https://docs.google.com/spreadsheets/d/1ZiCGoPjLCjuYvujDTXK9Ixbth3tekiLtFBzBrGjPCr4/edit?gid=0" TargetMode="External" Id="rId320"/><Relationship Type="http://schemas.openxmlformats.org/officeDocument/2006/relationships/hyperlink" Target="https://docs.google.com/spreadsheets/d/1ZiCGoPjLCjuYvujDTXK9Ixbth3tekiLtFBzBrGjPCr4/edit?gid=0" TargetMode="External" Id="rId321"/><Relationship Type="http://schemas.openxmlformats.org/officeDocument/2006/relationships/hyperlink" Target="https://docs.google.com/spreadsheets/d/1ZiCGoPjLCjuYvujDTXK9Ixbth3tekiLtFBzBrGjPCr4/edit?gid=0" TargetMode="External" Id="rId322"/><Relationship Type="http://schemas.openxmlformats.org/officeDocument/2006/relationships/hyperlink" Target="https://docs.google.com/spreadsheets/d/1ZiCGoPjLCjuYvujDTXK9Ixbth3tekiLtFBzBrGjPCr4/edit?gid=0" TargetMode="External" Id="rId323"/><Relationship Type="http://schemas.openxmlformats.org/officeDocument/2006/relationships/hyperlink" Target="https://docs.google.com/spreadsheets/d/1ZiCGoPjLCjuYvujDTXK9Ixbth3tekiLtFBzBrGjPCr4/edit?gid=0" TargetMode="External" Id="rId324"/><Relationship Type="http://schemas.openxmlformats.org/officeDocument/2006/relationships/hyperlink" Target="https://docs.google.com/spreadsheets/d/1ZiCGoPjLCjuYvujDTXK9Ixbth3tekiLtFBzBrGjPCr4/edit?gid=0" TargetMode="External" Id="rId325"/><Relationship Type="http://schemas.openxmlformats.org/officeDocument/2006/relationships/hyperlink" Target="https://docs.google.com/spreadsheets/d/1ZiCGoPjLCjuYvujDTXK9Ixbth3tekiLtFBzBrGjPCr4/edit?gid=0" TargetMode="External" Id="rId326"/><Relationship Type="http://schemas.openxmlformats.org/officeDocument/2006/relationships/hyperlink" Target="https://docs.google.com/spreadsheets/d/1ZiCGoPjLCjuYvujDTXK9Ixbth3tekiLtFBzBrGjPCr4/edit?gid=0" TargetMode="External" Id="rId327"/><Relationship Type="http://schemas.openxmlformats.org/officeDocument/2006/relationships/hyperlink" Target="https://docs.google.com/spreadsheets/d/1ZiCGoPjLCjuYvujDTXK9Ixbth3tekiLtFBzBrGjPCr4/edit?gid=0" TargetMode="External" Id="rId328"/><Relationship Type="http://schemas.openxmlformats.org/officeDocument/2006/relationships/hyperlink" Target="https://docs.google.com/spreadsheets/d/1ZiCGoPjLCjuYvujDTXK9Ixbth3tekiLtFBzBrGjPCr4/edit?gid=0" TargetMode="External" Id="rId329"/><Relationship Type="http://schemas.openxmlformats.org/officeDocument/2006/relationships/hyperlink" Target="https://docs.google.com/spreadsheets/d/1ZiCGoPjLCjuYvujDTXK9Ixbth3tekiLtFBzBrGjPCr4/edit?gid=0" TargetMode="External" Id="rId330"/><Relationship Type="http://schemas.openxmlformats.org/officeDocument/2006/relationships/hyperlink" Target="https://docs.google.com/spreadsheets/d/1ZiCGoPjLCjuYvujDTXK9Ixbth3tekiLtFBzBrGjPCr4/edit?gid=0" TargetMode="External" Id="rId331"/><Relationship Type="http://schemas.openxmlformats.org/officeDocument/2006/relationships/hyperlink" Target="https://docs.google.com/spreadsheets/d/1ZiCGoPjLCjuYvujDTXK9Ixbth3tekiLtFBzBrGjPCr4/edit?gid=0" TargetMode="External" Id="rId332"/><Relationship Type="http://schemas.openxmlformats.org/officeDocument/2006/relationships/hyperlink" Target="https://docs.google.com/spreadsheets/d/1ZiCGoPjLCjuYvujDTXK9Ixbth3tekiLtFBzBrGjPCr4/edit?gid=0" TargetMode="External" Id="rId333"/><Relationship Type="http://schemas.openxmlformats.org/officeDocument/2006/relationships/hyperlink" Target="https://docs.google.com/spreadsheets/d/1ZiCGoPjLCjuYvujDTXK9Ixbth3tekiLtFBzBrGjPCr4/edit?gid=0" TargetMode="External" Id="rId334"/><Relationship Type="http://schemas.openxmlformats.org/officeDocument/2006/relationships/hyperlink" Target="https://docs.google.com/spreadsheets/d/1ZiCGoPjLCjuYvujDTXK9Ixbth3tekiLtFBzBrGjPCr4/edit?gid=0" TargetMode="External" Id="rId335"/><Relationship Type="http://schemas.openxmlformats.org/officeDocument/2006/relationships/hyperlink" Target="https://docs.google.com/spreadsheets/d/1ZiCGoPjLCjuYvujDTXK9Ixbth3tekiLtFBzBrGjPCr4/edit?gid=0" TargetMode="External" Id="rId336"/><Relationship Type="http://schemas.openxmlformats.org/officeDocument/2006/relationships/hyperlink" Target="https://docs.google.com/spreadsheets/d/1ZiCGoPjLCjuYvujDTXK9Ixbth3tekiLtFBzBrGjPCr4/edit?gid=0" TargetMode="External" Id="rId337"/><Relationship Type="http://schemas.openxmlformats.org/officeDocument/2006/relationships/hyperlink" Target="https://docs.google.com/spreadsheets/d/1ZiCGoPjLCjuYvujDTXK9Ixbth3tekiLtFBzBrGjPCr4/edit?gid=0" TargetMode="External" Id="rId338"/><Relationship Type="http://schemas.openxmlformats.org/officeDocument/2006/relationships/hyperlink" Target="https://docs.google.com/spreadsheets/d/1ZiCGoPjLCjuYvujDTXK9Ixbth3tekiLtFBzBrGjPCr4/edit?gid=0" TargetMode="External" Id="rId339"/><Relationship Type="http://schemas.openxmlformats.org/officeDocument/2006/relationships/hyperlink" Target="https://docs.google.com/spreadsheets/d/1ZiCGoPjLCjuYvujDTXK9Ixbth3tekiLtFBzBrGjPCr4/edit?gid=0" TargetMode="External" Id="rId340"/><Relationship Type="http://schemas.openxmlformats.org/officeDocument/2006/relationships/hyperlink" Target="https://docs.google.com/spreadsheets/d/1ZiCGoPjLCjuYvujDTXK9Ixbth3tekiLtFBzBrGjPCr4/edit?gid=0" TargetMode="External" Id="rId341"/><Relationship Type="http://schemas.openxmlformats.org/officeDocument/2006/relationships/hyperlink" Target="https://docs.google.com/spreadsheets/d/1ZiCGoPjLCjuYvujDTXK9Ixbth3tekiLtFBzBrGjPCr4/edit?gid=0" TargetMode="External" Id="rId342"/><Relationship Type="http://schemas.openxmlformats.org/officeDocument/2006/relationships/hyperlink" Target="https://docs.google.com/spreadsheets/d/1ZiCGoPjLCjuYvujDTXK9Ixbth3tekiLtFBzBrGjPCr4/edit?gid=0" TargetMode="External" Id="rId343"/><Relationship Type="http://schemas.openxmlformats.org/officeDocument/2006/relationships/hyperlink" Target="https://docs.google.com/spreadsheets/d/1ZiCGoPjLCjuYvujDTXK9Ixbth3tekiLtFBzBrGjPCr4/edit?gid=0" TargetMode="External" Id="rId344"/><Relationship Type="http://schemas.openxmlformats.org/officeDocument/2006/relationships/hyperlink" Target="https://docs.google.com/spreadsheets/d/1ZiCGoPjLCjuYvujDTXK9Ixbth3tekiLtFBzBrGjPCr4/edit?gid=0" TargetMode="External" Id="rId345"/><Relationship Type="http://schemas.openxmlformats.org/officeDocument/2006/relationships/hyperlink" Target="https://docs.google.com/spreadsheets/d/1ZiCGoPjLCjuYvujDTXK9Ixbth3tekiLtFBzBrGjPCr4/edit?gid=0" TargetMode="External" Id="rId346"/><Relationship Type="http://schemas.openxmlformats.org/officeDocument/2006/relationships/hyperlink" Target="https://docs.google.com/spreadsheets/d/1ZiCGoPjLCjuYvujDTXK9Ixbth3tekiLtFBzBrGjPCr4/edit?gid=0" TargetMode="External" Id="rId347"/><Relationship Type="http://schemas.openxmlformats.org/officeDocument/2006/relationships/hyperlink" Target="https://docs.google.com/spreadsheets/d/1ZiCGoPjLCjuYvujDTXK9Ixbth3tekiLtFBzBrGjPCr4/edit?gid=0" TargetMode="External" Id="rId348"/><Relationship Type="http://schemas.openxmlformats.org/officeDocument/2006/relationships/hyperlink" Target="https://docs.google.com/spreadsheets/d/1ZiCGoPjLCjuYvujDTXK9Ixbth3tekiLtFBzBrGjPCr4/edit?gid=0" TargetMode="External" Id="rId349"/><Relationship Type="http://schemas.openxmlformats.org/officeDocument/2006/relationships/hyperlink" Target="https://docs.google.com/spreadsheets/d/1ZiCGoPjLCjuYvujDTXK9Ixbth3tekiLtFBzBrGjPCr4/edit?gid=0" TargetMode="External" Id="rId350"/><Relationship Type="http://schemas.openxmlformats.org/officeDocument/2006/relationships/hyperlink" Target="https://docs.google.com/spreadsheets/d/1ZiCGoPjLCjuYvujDTXK9Ixbth3tekiLtFBzBrGjPCr4/edit?gid=0" TargetMode="External" Id="rId351"/><Relationship Type="http://schemas.openxmlformats.org/officeDocument/2006/relationships/hyperlink" Target="https://docs.google.com/spreadsheets/d/1ZiCGoPjLCjuYvujDTXK9Ixbth3tekiLtFBzBrGjPCr4/edit?gid=0" TargetMode="External" Id="rId352"/><Relationship Type="http://schemas.openxmlformats.org/officeDocument/2006/relationships/hyperlink" Target="https://docs.google.com/spreadsheets/d/1ZiCGoPjLCjuYvujDTXK9Ixbth3tekiLtFBzBrGjPCr4/edit?gid=0" TargetMode="External" Id="rId353"/><Relationship Type="http://schemas.openxmlformats.org/officeDocument/2006/relationships/hyperlink" Target="https://docs.google.com/spreadsheets/d/1ZiCGoPjLCjuYvujDTXK9Ixbth3tekiLtFBzBrGjPCr4/edit?gid=0" TargetMode="External" Id="rId354"/><Relationship Type="http://schemas.openxmlformats.org/officeDocument/2006/relationships/hyperlink" Target="https://docs.google.com/spreadsheets/d/1ZiCGoPjLCjuYvujDTXK9Ixbth3tekiLtFBzBrGjPCr4/edit?gid=0" TargetMode="External" Id="rId355"/><Relationship Type="http://schemas.openxmlformats.org/officeDocument/2006/relationships/hyperlink" Target="https://docs.google.com/spreadsheets/d/1ZiCGoPjLCjuYvujDTXK9Ixbth3tekiLtFBzBrGjPCr4/edit?gid=0" TargetMode="External" Id="rId356"/><Relationship Type="http://schemas.openxmlformats.org/officeDocument/2006/relationships/hyperlink" Target="https://docs.google.com/spreadsheets/d/1ZiCGoPjLCjuYvujDTXK9Ixbth3tekiLtFBzBrGjPCr4/edit?gid=0" TargetMode="External" Id="rId357"/><Relationship Type="http://schemas.openxmlformats.org/officeDocument/2006/relationships/hyperlink" Target="https://docs.google.com/spreadsheets/d/1ZiCGoPjLCjuYvujDTXK9Ixbth3tekiLtFBzBrGjPCr4/edit?gid=0" TargetMode="External" Id="rId358"/><Relationship Type="http://schemas.openxmlformats.org/officeDocument/2006/relationships/hyperlink" Target="https://docs.google.com/spreadsheets/d/1ZiCGoPjLCjuYvujDTXK9Ixbth3tekiLtFBzBrGjPCr4/edit?gid=0" TargetMode="External" Id="rId359"/><Relationship Type="http://schemas.openxmlformats.org/officeDocument/2006/relationships/hyperlink" Target="https://docs.google.com/spreadsheets/d/1ZiCGoPjLCjuYvujDTXK9Ixbth3tekiLtFBzBrGjPCr4/edit?gid=0" TargetMode="External" Id="rId360"/><Relationship Type="http://schemas.openxmlformats.org/officeDocument/2006/relationships/hyperlink" Target="https://docs.google.com/spreadsheets/d/1ZiCGoPjLCjuYvujDTXK9Ixbth3tekiLtFBzBrGjPCr4/edit?gid=0" TargetMode="External" Id="rId361"/><Relationship Type="http://schemas.openxmlformats.org/officeDocument/2006/relationships/hyperlink" Target="https://docs.google.com/spreadsheets/d/1ZiCGoPjLCjuYvujDTXK9Ixbth3tekiLtFBzBrGjPCr4/edit?gid=0" TargetMode="External" Id="rId362"/><Relationship Type="http://schemas.openxmlformats.org/officeDocument/2006/relationships/hyperlink" Target="https://docs.google.com/spreadsheets/d/1ZiCGoPjLCjuYvujDTXK9Ixbth3tekiLtFBzBrGjPCr4/edit?gid=0" TargetMode="External" Id="rId363"/><Relationship Type="http://schemas.openxmlformats.org/officeDocument/2006/relationships/hyperlink" Target="https://docs.google.com/spreadsheets/d/1ZiCGoPjLCjuYvujDTXK9Ixbth3tekiLtFBzBrGjPCr4/edit?gid=0" TargetMode="External" Id="rId364"/><Relationship Type="http://schemas.openxmlformats.org/officeDocument/2006/relationships/hyperlink" Target="https://docs.google.com/spreadsheets/d/1ZiCGoPjLCjuYvujDTXK9Ixbth3tekiLtFBzBrGjPCr4/edit?gid=0" TargetMode="External" Id="rId365"/><Relationship Type="http://schemas.openxmlformats.org/officeDocument/2006/relationships/hyperlink" Target="https://docs.google.com/spreadsheets/d/1ZiCGoPjLCjuYvujDTXK9Ixbth3tekiLtFBzBrGjPCr4/edit?gid=0" TargetMode="External" Id="rId366"/><Relationship Type="http://schemas.openxmlformats.org/officeDocument/2006/relationships/hyperlink" Target="https://docs.google.com/spreadsheets/d/1ZiCGoPjLCjuYvujDTXK9Ixbth3tekiLtFBzBrGjPCr4/edit?gid=0" TargetMode="External" Id="rId367"/><Relationship Type="http://schemas.openxmlformats.org/officeDocument/2006/relationships/hyperlink" Target="https://docs.google.com/spreadsheets/d/1ZiCGoPjLCjuYvujDTXK9Ixbth3tekiLtFBzBrGjPCr4/edit?gid=0" TargetMode="External" Id="rId368"/><Relationship Type="http://schemas.openxmlformats.org/officeDocument/2006/relationships/hyperlink" Target="https://docs.google.com/spreadsheets/d/1ZiCGoPjLCjuYvujDTXK9Ixbth3tekiLtFBzBrGjPCr4/edit?gid=0" TargetMode="External" Id="rId369"/><Relationship Type="http://schemas.openxmlformats.org/officeDocument/2006/relationships/hyperlink" Target="https://docs.google.com/spreadsheets/d/1ZiCGoPjLCjuYvujDTXK9Ixbth3tekiLtFBzBrGjPCr4/edit?gid=0" TargetMode="External" Id="rId370"/><Relationship Type="http://schemas.openxmlformats.org/officeDocument/2006/relationships/hyperlink" Target="https://docs.google.com/spreadsheets/d/1ZiCGoPjLCjuYvujDTXK9Ixbth3tekiLtFBzBrGjPCr4/edit?gid=0" TargetMode="External" Id="rId371"/><Relationship Type="http://schemas.openxmlformats.org/officeDocument/2006/relationships/hyperlink" Target="https://docs.google.com/spreadsheets/d/1ZiCGoPjLCjuYvujDTXK9Ixbth3tekiLtFBzBrGjPCr4/edit?gid=0" TargetMode="External" Id="rId372"/><Relationship Type="http://schemas.openxmlformats.org/officeDocument/2006/relationships/hyperlink" Target="https://docs.google.com/spreadsheets/d/1ZiCGoPjLCjuYvujDTXK9Ixbth3tekiLtFBzBrGjPCr4/edit?gid=0" TargetMode="External" Id="rId373"/><Relationship Type="http://schemas.openxmlformats.org/officeDocument/2006/relationships/hyperlink" Target="https://docs.google.com/spreadsheets/d/1ZiCGoPjLCjuYvujDTXK9Ixbth3tekiLtFBzBrGjPCr4/edit?gid=0" TargetMode="External" Id="rId374"/><Relationship Type="http://schemas.openxmlformats.org/officeDocument/2006/relationships/hyperlink" Target="https://docs.google.com/spreadsheets/d/1ZiCGoPjLCjuYvujDTXK9Ixbth3tekiLtFBzBrGjPCr4/edit?gid=0" TargetMode="External" Id="rId375"/><Relationship Type="http://schemas.openxmlformats.org/officeDocument/2006/relationships/hyperlink" Target="https://docs.google.com/spreadsheets/d/1ZiCGoPjLCjuYvujDTXK9Ixbth3tekiLtFBzBrGjPCr4/edit?gid=0" TargetMode="External" Id="rId376"/><Relationship Type="http://schemas.openxmlformats.org/officeDocument/2006/relationships/hyperlink" Target="https://docs.google.com/spreadsheets/d/1ZiCGoPjLCjuYvujDTXK9Ixbth3tekiLtFBzBrGjPCr4/edit?gid=0" TargetMode="External" Id="rId377"/><Relationship Type="http://schemas.openxmlformats.org/officeDocument/2006/relationships/hyperlink" Target="https://docs.google.com/spreadsheets/d/1ZiCGoPjLCjuYvujDTXK9Ixbth3tekiLtFBzBrGjPCr4/edit?gid=0" TargetMode="External" Id="rId378"/><Relationship Type="http://schemas.openxmlformats.org/officeDocument/2006/relationships/hyperlink" Target="https://docs.google.com/spreadsheets/d/1ZiCGoPjLCjuYvujDTXK9Ixbth3tekiLtFBzBrGjPCr4/edit?gid=0" TargetMode="External" Id="rId379"/><Relationship Type="http://schemas.openxmlformats.org/officeDocument/2006/relationships/hyperlink" Target="https://docs.google.com/spreadsheets/d/1ZiCGoPjLCjuYvujDTXK9Ixbth3tekiLtFBzBrGjPCr4/edit?gid=0" TargetMode="External" Id="rId380"/><Relationship Type="http://schemas.openxmlformats.org/officeDocument/2006/relationships/hyperlink" Target="https://docs.google.com/spreadsheets/d/1ZiCGoPjLCjuYvujDTXK9Ixbth3tekiLtFBzBrGjPCr4/edit?gid=0" TargetMode="External" Id="rId381"/><Relationship Type="http://schemas.openxmlformats.org/officeDocument/2006/relationships/hyperlink" Target="https://docs.google.com/spreadsheets/d/1ZiCGoPjLCjuYvujDTXK9Ixbth3tekiLtFBzBrGjPCr4/edit?gid=0" TargetMode="External" Id="rId382"/><Relationship Type="http://schemas.openxmlformats.org/officeDocument/2006/relationships/hyperlink" Target="https://docs.google.com/spreadsheets/d/1ZiCGoPjLCjuYvujDTXK9Ixbth3tekiLtFBzBrGjPCr4/edit?gid=0" TargetMode="External" Id="rId383"/><Relationship Type="http://schemas.openxmlformats.org/officeDocument/2006/relationships/hyperlink" Target="https://docs.google.com/spreadsheets/d/1ZiCGoPjLCjuYvujDTXK9Ixbth3tekiLtFBzBrGjPCr4/edit?gid=0" TargetMode="External" Id="rId384"/><Relationship Type="http://schemas.openxmlformats.org/officeDocument/2006/relationships/hyperlink" Target="https://docs.google.com/spreadsheets/d/1ZiCGoPjLCjuYvujDTXK9Ixbth3tekiLtFBzBrGjPCr4/edit?gid=0" TargetMode="External" Id="rId385"/><Relationship Type="http://schemas.openxmlformats.org/officeDocument/2006/relationships/hyperlink" Target="https://docs.google.com/spreadsheets/d/1ZiCGoPjLCjuYvujDTXK9Ixbth3tekiLtFBzBrGjPCr4/edit?gid=0" TargetMode="External" Id="rId386"/><Relationship Type="http://schemas.openxmlformats.org/officeDocument/2006/relationships/hyperlink" Target="https://docs.google.com/spreadsheets/d/1ZiCGoPjLCjuYvujDTXK9Ixbth3tekiLtFBzBrGjPCr4/edit?gid=0" TargetMode="External" Id="rId387"/><Relationship Type="http://schemas.openxmlformats.org/officeDocument/2006/relationships/hyperlink" Target="https://docs.google.com/spreadsheets/d/1ZiCGoPjLCjuYvujDTXK9Ixbth3tekiLtFBzBrGjPCr4/edit?gid=0" TargetMode="External" Id="rId388"/><Relationship Type="http://schemas.openxmlformats.org/officeDocument/2006/relationships/hyperlink" Target="https://docs.google.com/spreadsheets/d/1ZiCGoPjLCjuYvujDTXK9Ixbth3tekiLtFBzBrGjPCr4/edit?gid=0" TargetMode="External" Id="rId389"/><Relationship Type="http://schemas.openxmlformats.org/officeDocument/2006/relationships/hyperlink" Target="https://docs.google.com/spreadsheets/d/1ZiCGoPjLCjuYvujDTXK9Ixbth3tekiLtFBzBrGjPCr4/edit?gid=0" TargetMode="External" Id="rId390"/><Relationship Type="http://schemas.openxmlformats.org/officeDocument/2006/relationships/hyperlink" Target="https://docs.google.com/spreadsheets/d/1ZiCGoPjLCjuYvujDTXK9Ixbth3tekiLtFBzBrGjPCr4/edit?gid=0" TargetMode="External" Id="rId391"/><Relationship Type="http://schemas.openxmlformats.org/officeDocument/2006/relationships/hyperlink" Target="https://docs.google.com/spreadsheets/d/1ZiCGoPjLCjuYvujDTXK9Ixbth3tekiLtFBzBrGjPCr4/edit?gid=0" TargetMode="External" Id="rId392"/><Relationship Type="http://schemas.openxmlformats.org/officeDocument/2006/relationships/hyperlink" Target="https://docs.google.com/spreadsheets/d/1ZiCGoPjLCjuYvujDTXK9Ixbth3tekiLtFBzBrGjPCr4/edit?gid=0" TargetMode="External" Id="rId393"/><Relationship Type="http://schemas.openxmlformats.org/officeDocument/2006/relationships/hyperlink" Target="https://docs.google.com/spreadsheets/d/1ZiCGoPjLCjuYvujDTXK9Ixbth3tekiLtFBzBrGjPCr4/edit?gid=0" TargetMode="External" Id="rId394"/><Relationship Type="http://schemas.openxmlformats.org/officeDocument/2006/relationships/hyperlink" Target="https://docs.google.com/spreadsheets/d/1ZiCGoPjLCjuYvujDTXK9Ixbth3tekiLtFBzBrGjPCr4/edit?gid=0" TargetMode="External" Id="rId395"/><Relationship Type="http://schemas.openxmlformats.org/officeDocument/2006/relationships/hyperlink" Target="https://docs.google.com/spreadsheets/d/1ZiCGoPjLCjuYvujDTXK9Ixbth3tekiLtFBzBrGjPCr4/edit?gid=0" TargetMode="External" Id="rId396"/><Relationship Type="http://schemas.openxmlformats.org/officeDocument/2006/relationships/hyperlink" Target="https://docs.google.com/spreadsheets/d/1ZiCGoPjLCjuYvujDTXK9Ixbth3tekiLtFBzBrGjPCr4/edit?gid=0" TargetMode="External" Id="rId397"/><Relationship Type="http://schemas.openxmlformats.org/officeDocument/2006/relationships/hyperlink" Target="https://docs.google.com/spreadsheets/d/1ZiCGoPjLCjuYvujDTXK9Ixbth3tekiLtFBzBrGjPCr4/edit?gid=0" TargetMode="External" Id="rId398"/><Relationship Type="http://schemas.openxmlformats.org/officeDocument/2006/relationships/hyperlink" Target="https://docs.google.com/spreadsheets/d/1ZiCGoPjLCjuYvujDTXK9Ixbth3tekiLtFBzBrGjPCr4/edit?gid=0" TargetMode="External" Id="rId399"/><Relationship Type="http://schemas.openxmlformats.org/officeDocument/2006/relationships/hyperlink" Target="https://docs.google.com/spreadsheets/d/1ZiCGoPjLCjuYvujDTXK9Ixbth3tekiLtFBzBrGjPCr4/edit?gid=0" TargetMode="External" Id="rId400"/><Relationship Type="http://schemas.openxmlformats.org/officeDocument/2006/relationships/hyperlink" Target="https://docs.google.com/spreadsheets/d/1ZiCGoPjLCjuYvujDTXK9Ixbth3tekiLtFBzBrGjPCr4/edit?gid=0" TargetMode="External" Id="rId401"/><Relationship Type="http://schemas.openxmlformats.org/officeDocument/2006/relationships/hyperlink" Target="https://docs.google.com/spreadsheets/d/1ZiCGoPjLCjuYvujDTXK9Ixbth3tekiLtFBzBrGjPCr4/edit?gid=0" TargetMode="External" Id="rId402"/><Relationship Type="http://schemas.openxmlformats.org/officeDocument/2006/relationships/hyperlink" Target="https://docs.google.com/spreadsheets/d/1ZiCGoPjLCjuYvujDTXK9Ixbth3tekiLtFBzBrGjPCr4/edit?gid=0" TargetMode="External" Id="rId403"/><Relationship Type="http://schemas.openxmlformats.org/officeDocument/2006/relationships/hyperlink" Target="https://docs.google.com/spreadsheets/d/1ZiCGoPjLCjuYvujDTXK9Ixbth3tekiLtFBzBrGjPCr4/edit?gid=0" TargetMode="External" Id="rId404"/><Relationship Type="http://schemas.openxmlformats.org/officeDocument/2006/relationships/hyperlink" Target="https://docs.google.com/spreadsheets/d/1ZiCGoPjLCjuYvujDTXK9Ixbth3tekiLtFBzBrGjPCr4/edit?gid=0" TargetMode="External" Id="rId405"/><Relationship Type="http://schemas.openxmlformats.org/officeDocument/2006/relationships/hyperlink" Target="https://docs.google.com/spreadsheets/d/1ZiCGoPjLCjuYvujDTXK9Ixbth3tekiLtFBzBrGjPCr4/edit?gid=0" TargetMode="External" Id="rId406"/><Relationship Type="http://schemas.openxmlformats.org/officeDocument/2006/relationships/hyperlink" Target="https://docs.google.com/spreadsheets/d/1ZiCGoPjLCjuYvujDTXK9Ixbth3tekiLtFBzBrGjPCr4/edit?gid=0" TargetMode="External" Id="rId407"/><Relationship Type="http://schemas.openxmlformats.org/officeDocument/2006/relationships/hyperlink" Target="https://docs.google.com/spreadsheets/d/1ZiCGoPjLCjuYvujDTXK9Ixbth3tekiLtFBzBrGjPCr4/edit?gid=0" TargetMode="External" Id="rId408"/><Relationship Type="http://schemas.openxmlformats.org/officeDocument/2006/relationships/hyperlink" Target="https://docs.google.com/spreadsheets/d/1ZiCGoPjLCjuYvujDTXK9Ixbth3tekiLtFBzBrGjPCr4/edit?gid=0" TargetMode="External" Id="rId409"/><Relationship Type="http://schemas.openxmlformats.org/officeDocument/2006/relationships/hyperlink" Target="https://docs.google.com/spreadsheets/d/1ZiCGoPjLCjuYvujDTXK9Ixbth3tekiLtFBzBrGjPCr4/edit?gid=0" TargetMode="External" Id="rId410"/><Relationship Type="http://schemas.openxmlformats.org/officeDocument/2006/relationships/hyperlink" Target="https://docs.google.com/spreadsheets/d/1ZiCGoPjLCjuYvujDTXK9Ixbth3tekiLtFBzBrGjPCr4/edit?gid=0" TargetMode="External" Id="rId411"/><Relationship Type="http://schemas.openxmlformats.org/officeDocument/2006/relationships/hyperlink" Target="https://docs.google.com/spreadsheets/d/1ZiCGoPjLCjuYvujDTXK9Ixbth3tekiLtFBzBrGjPCr4/edit?gid=0" TargetMode="External" Id="rId412"/><Relationship Type="http://schemas.openxmlformats.org/officeDocument/2006/relationships/hyperlink" Target="https://docs.google.com/spreadsheets/d/1ZiCGoPjLCjuYvujDTXK9Ixbth3tekiLtFBzBrGjPCr4/edit?gid=0" TargetMode="External" Id="rId413"/><Relationship Type="http://schemas.openxmlformats.org/officeDocument/2006/relationships/hyperlink" Target="https://docs.google.com/spreadsheets/d/1ZiCGoPjLCjuYvujDTXK9Ixbth3tekiLtFBzBrGjPCr4/edit?gid=0" TargetMode="External" Id="rId414"/><Relationship Type="http://schemas.openxmlformats.org/officeDocument/2006/relationships/hyperlink" Target="https://docs.google.com/spreadsheets/d/1ZiCGoPjLCjuYvujDTXK9Ixbth3tekiLtFBzBrGjPCr4/edit?gid=0" TargetMode="External" Id="rId415"/><Relationship Type="http://schemas.openxmlformats.org/officeDocument/2006/relationships/hyperlink" Target="https://docs.google.com/spreadsheets/d/1ZiCGoPjLCjuYvujDTXK9Ixbth3tekiLtFBzBrGjPCr4/edit?gid=0" TargetMode="External" Id="rId416"/><Relationship Type="http://schemas.openxmlformats.org/officeDocument/2006/relationships/hyperlink" Target="https://docs.google.com/spreadsheets/d/1ZiCGoPjLCjuYvujDTXK9Ixbth3tekiLtFBzBrGjPCr4/edit?gid=0" TargetMode="External" Id="rId417"/><Relationship Type="http://schemas.openxmlformats.org/officeDocument/2006/relationships/hyperlink" Target="https://docs.google.com/spreadsheets/d/1ZiCGoPjLCjuYvujDTXK9Ixbth3tekiLtFBzBrGjPCr4/edit?gid=0" TargetMode="External" Id="rId418"/><Relationship Type="http://schemas.openxmlformats.org/officeDocument/2006/relationships/hyperlink" Target="https://docs.google.com/spreadsheets/d/1ZiCGoPjLCjuYvujDTXK9Ixbth3tekiLtFBzBrGjPCr4/edit?gid=0" TargetMode="External" Id="rId419"/><Relationship Type="http://schemas.openxmlformats.org/officeDocument/2006/relationships/hyperlink" Target="https://docs.google.com/spreadsheets/d/1ZiCGoPjLCjuYvujDTXK9Ixbth3tekiLtFBzBrGjPCr4/edit?gid=0" TargetMode="External" Id="rId420"/><Relationship Type="http://schemas.openxmlformats.org/officeDocument/2006/relationships/hyperlink" Target="https://docs.google.com/spreadsheets/d/1ZiCGoPjLCjuYvujDTXK9Ixbth3tekiLtFBzBrGjPCr4/edit?gid=0" TargetMode="External" Id="rId421"/><Relationship Type="http://schemas.openxmlformats.org/officeDocument/2006/relationships/hyperlink" Target="https://docs.google.com/spreadsheets/d/1ZiCGoPjLCjuYvujDTXK9Ixbth3tekiLtFBzBrGjPCr4/edit?gid=0" TargetMode="External" Id="rId422"/><Relationship Type="http://schemas.openxmlformats.org/officeDocument/2006/relationships/hyperlink" Target="https://docs.google.com/spreadsheets/d/1ZiCGoPjLCjuYvujDTXK9Ixbth3tekiLtFBzBrGjPCr4/edit?gid=0" TargetMode="External" Id="rId423"/><Relationship Type="http://schemas.openxmlformats.org/officeDocument/2006/relationships/hyperlink" Target="https://docs.google.com/spreadsheets/d/1ZiCGoPjLCjuYvujDTXK9Ixbth3tekiLtFBzBrGjPCr4/edit?gid=0" TargetMode="External" Id="rId424"/><Relationship Type="http://schemas.openxmlformats.org/officeDocument/2006/relationships/hyperlink" Target="https://docs.google.com/spreadsheets/d/1ZiCGoPjLCjuYvujDTXK9Ixbth3tekiLtFBzBrGjPCr4/edit?gid=0" TargetMode="External" Id="rId425"/><Relationship Type="http://schemas.openxmlformats.org/officeDocument/2006/relationships/hyperlink" Target="https://docs.google.com/spreadsheets/d/1ZiCGoPjLCjuYvujDTXK9Ixbth3tekiLtFBzBrGjPCr4/edit?gid=0" TargetMode="External" Id="rId426"/><Relationship Type="http://schemas.openxmlformats.org/officeDocument/2006/relationships/hyperlink" Target="https://docs.google.com/spreadsheets/d/1ZiCGoPjLCjuYvujDTXK9Ixbth3tekiLtFBzBrGjPCr4/edit?gid=0" TargetMode="External" Id="rId427"/><Relationship Type="http://schemas.openxmlformats.org/officeDocument/2006/relationships/hyperlink" Target="https://docs.google.com/spreadsheets/d/1ZiCGoPjLCjuYvujDTXK9Ixbth3tekiLtFBzBrGjPCr4/edit?gid=0" TargetMode="External" Id="rId428"/><Relationship Type="http://schemas.openxmlformats.org/officeDocument/2006/relationships/hyperlink" Target="https://docs.google.com/spreadsheets/d/1ZiCGoPjLCjuYvujDTXK9Ixbth3tekiLtFBzBrGjPCr4/edit?gid=0" TargetMode="External" Id="rId429"/><Relationship Type="http://schemas.openxmlformats.org/officeDocument/2006/relationships/hyperlink" Target="https://docs.google.com/spreadsheets/d/1ZiCGoPjLCjuYvujDTXK9Ixbth3tekiLtFBzBrGjPCr4/edit?gid=0" TargetMode="External" Id="rId430"/><Relationship Type="http://schemas.openxmlformats.org/officeDocument/2006/relationships/hyperlink" Target="https://docs.google.com/spreadsheets/d/1ZiCGoPjLCjuYvujDTXK9Ixbth3tekiLtFBzBrGjPCr4/edit?gid=0" TargetMode="External" Id="rId431"/><Relationship Type="http://schemas.openxmlformats.org/officeDocument/2006/relationships/hyperlink" Target="https://docs.google.com/spreadsheets/d/1ZiCGoPjLCjuYvujDTXK9Ixbth3tekiLtFBzBrGjPCr4/edit?gid=0" TargetMode="External" Id="rId432"/><Relationship Type="http://schemas.openxmlformats.org/officeDocument/2006/relationships/hyperlink" Target="https://docs.google.com/spreadsheets/d/1ZiCGoPjLCjuYvujDTXK9Ixbth3tekiLtFBzBrGjPCr4/edit?gid=0" TargetMode="External" Id="rId433"/><Relationship Type="http://schemas.openxmlformats.org/officeDocument/2006/relationships/hyperlink" Target="https://docs.google.com/spreadsheets/d/1ZiCGoPjLCjuYvujDTXK9Ixbth3tekiLtFBzBrGjPCr4/edit?gid=0" TargetMode="External" Id="rId434"/><Relationship Type="http://schemas.openxmlformats.org/officeDocument/2006/relationships/hyperlink" Target="https://docs.google.com/spreadsheets/d/1ZiCGoPjLCjuYvujDTXK9Ixbth3tekiLtFBzBrGjPCr4/edit?gid=0" TargetMode="External" Id="rId435"/><Relationship Type="http://schemas.openxmlformats.org/officeDocument/2006/relationships/hyperlink" Target="https://docs.google.com/spreadsheets/d/1ZiCGoPjLCjuYvujDTXK9Ixbth3tekiLtFBzBrGjPCr4/edit?gid=0" TargetMode="External" Id="rId436"/><Relationship Type="http://schemas.openxmlformats.org/officeDocument/2006/relationships/hyperlink" Target="https://docs.google.com/spreadsheets/d/1ZiCGoPjLCjuYvujDTXK9Ixbth3tekiLtFBzBrGjPCr4/edit?gid=0" TargetMode="External" Id="rId437"/><Relationship Type="http://schemas.openxmlformats.org/officeDocument/2006/relationships/hyperlink" Target="https://docs.google.com/spreadsheets/d/1ZiCGoPjLCjuYvujDTXK9Ixbth3tekiLtFBzBrGjPCr4/edit?gid=0" TargetMode="External" Id="rId438"/><Relationship Type="http://schemas.openxmlformats.org/officeDocument/2006/relationships/hyperlink" Target="https://docs.google.com/spreadsheets/d/1ZiCGoPjLCjuYvujDTXK9Ixbth3tekiLtFBzBrGjPCr4/edit?gid=0" TargetMode="External" Id="rId439"/><Relationship Type="http://schemas.openxmlformats.org/officeDocument/2006/relationships/hyperlink" Target="https://docs.google.com/spreadsheets/d/1ZiCGoPjLCjuYvujDTXK9Ixbth3tekiLtFBzBrGjPCr4/edit?gid=0" TargetMode="External" Id="rId440"/><Relationship Type="http://schemas.openxmlformats.org/officeDocument/2006/relationships/hyperlink" Target="https://docs.google.com/spreadsheets/d/1ZiCGoPjLCjuYvujDTXK9Ixbth3tekiLtFBzBrGjPCr4/edit?gid=0" TargetMode="External" Id="rId441"/><Relationship Type="http://schemas.openxmlformats.org/officeDocument/2006/relationships/hyperlink" Target="https://docs.google.com/spreadsheets/d/1ZiCGoPjLCjuYvujDTXK9Ixbth3tekiLtFBzBrGjPCr4/edit?gid=0" TargetMode="External" Id="rId442"/><Relationship Type="http://schemas.openxmlformats.org/officeDocument/2006/relationships/hyperlink" Target="https://docs.google.com/spreadsheets/d/1ZiCGoPjLCjuYvujDTXK9Ixbth3tekiLtFBzBrGjPCr4/edit?gid=0" TargetMode="External" Id="rId443"/><Relationship Type="http://schemas.openxmlformats.org/officeDocument/2006/relationships/hyperlink" Target="https://docs.google.com/spreadsheets/d/1ZiCGoPjLCjuYvujDTXK9Ixbth3tekiLtFBzBrGjPCr4/edit?gid=0" TargetMode="External" Id="rId444"/><Relationship Type="http://schemas.openxmlformats.org/officeDocument/2006/relationships/hyperlink" Target="https://docs.google.com/spreadsheets/d/1ZiCGoPjLCjuYvujDTXK9Ixbth3tekiLtFBzBrGjPCr4/edit?gid=0" TargetMode="External" Id="rId445"/><Relationship Type="http://schemas.openxmlformats.org/officeDocument/2006/relationships/hyperlink" Target="https://docs.google.com/spreadsheets/d/1ZiCGoPjLCjuYvujDTXK9Ixbth3tekiLtFBzBrGjPCr4/edit?gid=0" TargetMode="External" Id="rId446"/><Relationship Type="http://schemas.openxmlformats.org/officeDocument/2006/relationships/hyperlink" Target="https://docs.google.com/spreadsheets/d/1ZiCGoPjLCjuYvujDTXK9Ixbth3tekiLtFBzBrGjPCr4/edit?gid=0" TargetMode="External" Id="rId447"/><Relationship Type="http://schemas.openxmlformats.org/officeDocument/2006/relationships/hyperlink" Target="https://docs.google.com/spreadsheets/d/1ZiCGoPjLCjuYvujDTXK9Ixbth3tekiLtFBzBrGjPCr4/edit?gid=0" TargetMode="External" Id="rId448"/><Relationship Type="http://schemas.openxmlformats.org/officeDocument/2006/relationships/hyperlink" Target="https://docs.google.com/spreadsheets/d/1ZiCGoPjLCjuYvujDTXK9Ixbth3tekiLtFBzBrGjPCr4/edit?gid=0" TargetMode="External" Id="rId449"/><Relationship Type="http://schemas.openxmlformats.org/officeDocument/2006/relationships/hyperlink" Target="https://docs.google.com/spreadsheets/d/1ZiCGoPjLCjuYvujDTXK9Ixbth3tekiLtFBzBrGjPCr4/edit?gid=0" TargetMode="External" Id="rId450"/><Relationship Type="http://schemas.openxmlformats.org/officeDocument/2006/relationships/hyperlink" Target="https://docs.google.com/spreadsheets/d/1ZiCGoPjLCjuYvujDTXK9Ixbth3tekiLtFBzBrGjPCr4/edit?gid=0" TargetMode="External" Id="rId451"/><Relationship Type="http://schemas.openxmlformats.org/officeDocument/2006/relationships/hyperlink" Target="https://docs.google.com/spreadsheets/d/1ZiCGoPjLCjuYvujDTXK9Ixbth3tekiLtFBzBrGjPCr4/edit?gid=0" TargetMode="External" Id="rId452"/><Relationship Type="http://schemas.openxmlformats.org/officeDocument/2006/relationships/hyperlink" Target="https://docs.google.com/spreadsheets/d/1ZiCGoPjLCjuYvujDTXK9Ixbth3tekiLtFBzBrGjPCr4/edit?gid=0" TargetMode="External" Id="rId453"/><Relationship Type="http://schemas.openxmlformats.org/officeDocument/2006/relationships/hyperlink" Target="https://docs.google.com/spreadsheets/d/1ZiCGoPjLCjuYvujDTXK9Ixbth3tekiLtFBzBrGjPCr4/edit?gid=0" TargetMode="External" Id="rId454"/><Relationship Type="http://schemas.openxmlformats.org/officeDocument/2006/relationships/hyperlink" Target="https://docs.google.com/spreadsheets/d/1ZiCGoPjLCjuYvujDTXK9Ixbth3tekiLtFBzBrGjPCr4/edit?gid=0" TargetMode="External" Id="rId455"/><Relationship Type="http://schemas.openxmlformats.org/officeDocument/2006/relationships/hyperlink" Target="https://docs.google.com/spreadsheets/d/1ZiCGoPjLCjuYvujDTXK9Ixbth3tekiLtFBzBrGjPCr4/edit?gid=0" TargetMode="External" Id="rId456"/><Relationship Type="http://schemas.openxmlformats.org/officeDocument/2006/relationships/hyperlink" Target="https://docs.google.com/spreadsheets/d/1ZiCGoPjLCjuYvujDTXK9Ixbth3tekiLtFBzBrGjPCr4/edit?gid=0" TargetMode="External" Id="rId457"/><Relationship Type="http://schemas.openxmlformats.org/officeDocument/2006/relationships/hyperlink" Target="https://docs.google.com/spreadsheets/d/1ZiCGoPjLCjuYvujDTXK9Ixbth3tekiLtFBzBrGjPCr4/edit?gid=0" TargetMode="External" Id="rId458"/><Relationship Type="http://schemas.openxmlformats.org/officeDocument/2006/relationships/hyperlink" Target="https://docs.google.com/spreadsheets/d/1ZiCGoPjLCjuYvujDTXK9Ixbth3tekiLtFBzBrGjPCr4/edit?gid=0" TargetMode="External" Id="rId459"/><Relationship Type="http://schemas.openxmlformats.org/officeDocument/2006/relationships/hyperlink" Target="https://docs.google.com/spreadsheets/d/1ZiCGoPjLCjuYvujDTXK9Ixbth3tekiLtFBzBrGjPCr4/edit?gid=0" TargetMode="External" Id="rId460"/><Relationship Type="http://schemas.openxmlformats.org/officeDocument/2006/relationships/hyperlink" Target="https://docs.google.com/spreadsheets/d/1ZiCGoPjLCjuYvujDTXK9Ixbth3tekiLtFBzBrGjPCr4/edit?gid=0" TargetMode="External" Id="rId461"/><Relationship Type="http://schemas.openxmlformats.org/officeDocument/2006/relationships/hyperlink" Target="https://docs.google.com/spreadsheets/d/1ZiCGoPjLCjuYvujDTXK9Ixbth3tekiLtFBzBrGjPCr4/edit?gid=0" TargetMode="External" Id="rId462"/><Relationship Type="http://schemas.openxmlformats.org/officeDocument/2006/relationships/hyperlink" Target="https://docs.google.com/spreadsheets/d/1ZiCGoPjLCjuYvujDTXK9Ixbth3tekiLtFBzBrGjPCr4/edit?gid=0" TargetMode="External" Id="rId463"/><Relationship Type="http://schemas.openxmlformats.org/officeDocument/2006/relationships/hyperlink" Target="https://docs.google.com/spreadsheets/d/1ZiCGoPjLCjuYvujDTXK9Ixbth3tekiLtFBzBrGjPCr4/edit?gid=0" TargetMode="External" Id="rId464"/><Relationship Type="http://schemas.openxmlformats.org/officeDocument/2006/relationships/hyperlink" Target="https://docs.google.com/spreadsheets/d/1ZiCGoPjLCjuYvujDTXK9Ixbth3tekiLtFBzBrGjPCr4/edit?gid=0" TargetMode="External" Id="rId465"/><Relationship Type="http://schemas.openxmlformats.org/officeDocument/2006/relationships/hyperlink" Target="https://docs.google.com/spreadsheets/d/1ZiCGoPjLCjuYvujDTXK9Ixbth3tekiLtFBzBrGjPCr4/edit?gid=0" TargetMode="External" Id="rId466"/><Relationship Type="http://schemas.openxmlformats.org/officeDocument/2006/relationships/hyperlink" Target="https://docs.google.com/spreadsheets/d/1ZiCGoPjLCjuYvujDTXK9Ixbth3tekiLtFBzBrGjPCr4/edit?gid=0" TargetMode="External" Id="rId467"/><Relationship Type="http://schemas.openxmlformats.org/officeDocument/2006/relationships/hyperlink" Target="https://docs.google.com/spreadsheets/d/1ZiCGoPjLCjuYvujDTXK9Ixbth3tekiLtFBzBrGjPCr4/edit?gid=0" TargetMode="External" Id="rId468"/><Relationship Type="http://schemas.openxmlformats.org/officeDocument/2006/relationships/hyperlink" Target="https://docs.google.com/spreadsheets/d/1ZiCGoPjLCjuYvujDTXK9Ixbth3tekiLtFBzBrGjPCr4/edit?gid=0" TargetMode="External" Id="rId469"/><Relationship Type="http://schemas.openxmlformats.org/officeDocument/2006/relationships/hyperlink" Target="https://docs.google.com/spreadsheets/d/1ZiCGoPjLCjuYvujDTXK9Ixbth3tekiLtFBzBrGjPCr4/edit?gid=0" TargetMode="External" Id="rId470"/><Relationship Type="http://schemas.openxmlformats.org/officeDocument/2006/relationships/hyperlink" Target="https://docs.google.com/spreadsheets/d/1ZiCGoPjLCjuYvujDTXK9Ixbth3tekiLtFBzBrGjPCr4/edit?gid=0" TargetMode="External" Id="rId471"/><Relationship Type="http://schemas.openxmlformats.org/officeDocument/2006/relationships/hyperlink" Target="https://docs.google.com/spreadsheets/d/1ZiCGoPjLCjuYvujDTXK9Ixbth3tekiLtFBzBrGjPCr4/edit?gid=0" TargetMode="External" Id="rId472"/><Relationship Type="http://schemas.openxmlformats.org/officeDocument/2006/relationships/hyperlink" Target="https://docs.google.com/spreadsheets/d/1ZiCGoPjLCjuYvujDTXK9Ixbth3tekiLtFBzBrGjPCr4/edit?gid=0" TargetMode="External" Id="rId473"/><Relationship Type="http://schemas.openxmlformats.org/officeDocument/2006/relationships/hyperlink" Target="https://docs.google.com/spreadsheets/d/1ZiCGoPjLCjuYvujDTXK9Ixbth3tekiLtFBzBrGjPCr4/edit?gid=0" TargetMode="External" Id="rId474"/><Relationship Type="http://schemas.openxmlformats.org/officeDocument/2006/relationships/hyperlink" Target="https://docs.google.com/spreadsheets/d/1ZiCGoPjLCjuYvujDTXK9Ixbth3tekiLtFBzBrGjPCr4/edit?gid=0" TargetMode="External" Id="rId475"/><Relationship Type="http://schemas.openxmlformats.org/officeDocument/2006/relationships/hyperlink" Target="https://docs.google.com/spreadsheets/d/1ZiCGoPjLCjuYvujDTXK9Ixbth3tekiLtFBzBrGjPCr4/edit?gid=0" TargetMode="External" Id="rId476"/><Relationship Type="http://schemas.openxmlformats.org/officeDocument/2006/relationships/hyperlink" Target="https://docs.google.com/spreadsheets/d/1ZiCGoPjLCjuYvujDTXK9Ixbth3tekiLtFBzBrGjPCr4/edit?gid=0" TargetMode="External" Id="rId477"/><Relationship Type="http://schemas.openxmlformats.org/officeDocument/2006/relationships/hyperlink" Target="https://docs.google.com/spreadsheets/d/1ZiCGoPjLCjuYvujDTXK9Ixbth3tekiLtFBzBrGjPCr4/edit?gid=0" TargetMode="External" Id="rId478"/><Relationship Type="http://schemas.openxmlformats.org/officeDocument/2006/relationships/hyperlink" Target="https://docs.google.com/spreadsheets/d/1ZiCGoPjLCjuYvujDTXK9Ixbth3tekiLtFBzBrGjPCr4/edit?gid=0" TargetMode="External" Id="rId479"/><Relationship Type="http://schemas.openxmlformats.org/officeDocument/2006/relationships/hyperlink" Target="https://docs.google.com/spreadsheets/d/1ZiCGoPjLCjuYvujDTXK9Ixbth3tekiLtFBzBrGjPCr4/edit?gid=0" TargetMode="External" Id="rId480"/><Relationship Type="http://schemas.openxmlformats.org/officeDocument/2006/relationships/hyperlink" Target="https://docs.google.com/spreadsheets/d/1ZiCGoPjLCjuYvujDTXK9Ixbth3tekiLtFBzBrGjPCr4/edit?gid=0" TargetMode="External" Id="rId481"/><Relationship Type="http://schemas.openxmlformats.org/officeDocument/2006/relationships/hyperlink" Target="https://docs.google.com/spreadsheets/d/1ZiCGoPjLCjuYvujDTXK9Ixbth3tekiLtFBzBrGjPCr4/edit?gid=0" TargetMode="External" Id="rId482"/><Relationship Type="http://schemas.openxmlformats.org/officeDocument/2006/relationships/hyperlink" Target="https://docs.google.com/spreadsheets/d/1ZiCGoPjLCjuYvujDTXK9Ixbth3tekiLtFBzBrGjPCr4/edit?gid=0" TargetMode="External" Id="rId483"/><Relationship Type="http://schemas.openxmlformats.org/officeDocument/2006/relationships/hyperlink" Target="https://docs.google.com/spreadsheets/d/1ZiCGoPjLCjuYvujDTXK9Ixbth3tekiLtFBzBrGjPCr4/edit?gid=0" TargetMode="External" Id="rId484"/><Relationship Type="http://schemas.openxmlformats.org/officeDocument/2006/relationships/hyperlink" Target="https://docs.google.com/spreadsheets/d/1ZiCGoPjLCjuYvujDTXK9Ixbth3tekiLtFBzBrGjPCr4/edit?gid=0" TargetMode="External" Id="rId485"/><Relationship Type="http://schemas.openxmlformats.org/officeDocument/2006/relationships/hyperlink" Target="https://docs.google.com/spreadsheets/d/1ZiCGoPjLCjuYvujDTXK9Ixbth3tekiLtFBzBrGjPCr4/edit?gid=0" TargetMode="External" Id="rId486"/><Relationship Type="http://schemas.openxmlformats.org/officeDocument/2006/relationships/hyperlink" Target="https://docs.google.com/spreadsheets/d/1ZiCGoPjLCjuYvujDTXK9Ixbth3tekiLtFBzBrGjPCr4/edit?gid=0" TargetMode="External" Id="rId487"/><Relationship Type="http://schemas.openxmlformats.org/officeDocument/2006/relationships/hyperlink" Target="https://docs.google.com/spreadsheets/d/1ZiCGoPjLCjuYvujDTXK9Ixbth3tekiLtFBzBrGjPCr4/edit?gid=0" TargetMode="External" Id="rId488"/><Relationship Type="http://schemas.openxmlformats.org/officeDocument/2006/relationships/hyperlink" Target="https://docs.google.com/spreadsheets/d/1ZiCGoPjLCjuYvujDTXK9Ixbth3tekiLtFBzBrGjPCr4/edit?gid=0" TargetMode="External" Id="rId489"/><Relationship Type="http://schemas.openxmlformats.org/officeDocument/2006/relationships/hyperlink" Target="https://docs.google.com/spreadsheets/d/1ZiCGoPjLCjuYvujDTXK9Ixbth3tekiLtFBzBrGjPCr4/edit?gid=0" TargetMode="External" Id="rId490"/><Relationship Type="http://schemas.openxmlformats.org/officeDocument/2006/relationships/hyperlink" Target="https://docs.google.com/spreadsheets/d/1ZiCGoPjLCjuYvujDTXK9Ixbth3tekiLtFBzBrGjPCr4/edit?gid=0" TargetMode="External" Id="rId491"/><Relationship Type="http://schemas.openxmlformats.org/officeDocument/2006/relationships/hyperlink" Target="https://docs.google.com/spreadsheets/d/1ZiCGoPjLCjuYvujDTXK9Ixbth3tekiLtFBzBrGjPCr4/edit?gid=0" TargetMode="External" Id="rId492"/><Relationship Type="http://schemas.openxmlformats.org/officeDocument/2006/relationships/hyperlink" Target="https://docs.google.com/spreadsheets/d/1ZiCGoPjLCjuYvujDTXK9Ixbth3tekiLtFBzBrGjPCr4/edit?gid=0" TargetMode="External" Id="rId493"/><Relationship Type="http://schemas.openxmlformats.org/officeDocument/2006/relationships/hyperlink" Target="https://docs.google.com/spreadsheets/d/1ZiCGoPjLCjuYvujDTXK9Ixbth3tekiLtFBzBrGjPCr4/edit?gid=0" TargetMode="External" Id="rId494"/><Relationship Type="http://schemas.openxmlformats.org/officeDocument/2006/relationships/hyperlink" Target="https://docs.google.com/spreadsheets/d/1ZiCGoPjLCjuYvujDTXK9Ixbth3tekiLtFBzBrGjPCr4/edit?gid=0" TargetMode="External" Id="rId495"/><Relationship Type="http://schemas.openxmlformats.org/officeDocument/2006/relationships/hyperlink" Target="https://docs.google.com/spreadsheets/d/1ZiCGoPjLCjuYvujDTXK9Ixbth3tekiLtFBzBrGjPCr4/edit?gid=0" TargetMode="External" Id="rId496"/><Relationship Type="http://schemas.openxmlformats.org/officeDocument/2006/relationships/hyperlink" Target="https://docs.google.com/spreadsheets/d/1ZiCGoPjLCjuYvujDTXK9Ixbth3tekiLtFBzBrGjPCr4/edit?gid=0" TargetMode="External" Id="rId497"/><Relationship Type="http://schemas.openxmlformats.org/officeDocument/2006/relationships/hyperlink" Target="https://docs.google.com/spreadsheets/d/1ZiCGoPjLCjuYvujDTXK9Ixbth3tekiLtFBzBrGjPCr4/edit?gid=0" TargetMode="External" Id="rId498"/><Relationship Type="http://schemas.openxmlformats.org/officeDocument/2006/relationships/hyperlink" Target="https://docs.google.com/spreadsheets/d/1ZiCGoPjLCjuYvujDTXK9Ixbth3tekiLtFBzBrGjPCr4/edit?gid=0" TargetMode="External" Id="rId499"/><Relationship Type="http://schemas.openxmlformats.org/officeDocument/2006/relationships/hyperlink" Target="https://docs.google.com/spreadsheets/d/1ZiCGoPjLCjuYvujDTXK9Ixbth3tekiLtFBzBrGjPCr4/edit?gid=0" TargetMode="External" Id="rId500"/><Relationship Type="http://schemas.openxmlformats.org/officeDocument/2006/relationships/hyperlink" Target="https://docs.google.com/spreadsheets/d/1ZiCGoPjLCjuYvujDTXK9Ixbth3tekiLtFBzBrGjPCr4/edit?gid=0" TargetMode="External" Id="rId501"/><Relationship Type="http://schemas.openxmlformats.org/officeDocument/2006/relationships/hyperlink" Target="https://docs.google.com/spreadsheets/d/1ZiCGoPjLCjuYvujDTXK9Ixbth3tekiLtFBzBrGjPCr4/edit?gid=0" TargetMode="External" Id="rId502"/><Relationship Type="http://schemas.openxmlformats.org/officeDocument/2006/relationships/hyperlink" Target="https://docs.google.com/spreadsheets/d/1ZiCGoPjLCjuYvujDTXK9Ixbth3tekiLtFBzBrGjPCr4/edit?gid=0" TargetMode="External" Id="rId503"/><Relationship Type="http://schemas.openxmlformats.org/officeDocument/2006/relationships/hyperlink" Target="https://docs.google.com/spreadsheets/d/1ZiCGoPjLCjuYvujDTXK9Ixbth3tekiLtFBzBrGjPCr4/edit?gid=0" TargetMode="External" Id="rId504"/><Relationship Type="http://schemas.openxmlformats.org/officeDocument/2006/relationships/hyperlink" Target="https://docs.google.com/spreadsheets/d/1ZiCGoPjLCjuYvujDTXK9Ixbth3tekiLtFBzBrGjPCr4/edit?gid=0" TargetMode="External" Id="rId505"/><Relationship Type="http://schemas.openxmlformats.org/officeDocument/2006/relationships/hyperlink" Target="https://docs.google.com/spreadsheets/d/1ZiCGoPjLCjuYvujDTXK9Ixbth3tekiLtFBzBrGjPCr4/edit?gid=0" TargetMode="External" Id="rId506"/><Relationship Type="http://schemas.openxmlformats.org/officeDocument/2006/relationships/hyperlink" Target="https://docs.google.com/spreadsheets/d/1ZiCGoPjLCjuYvujDTXK9Ixbth3tekiLtFBzBrGjPCr4/edit?gid=0" TargetMode="External" Id="rId507"/><Relationship Type="http://schemas.openxmlformats.org/officeDocument/2006/relationships/hyperlink" Target="https://docs.google.com/spreadsheets/d/1ZiCGoPjLCjuYvujDTXK9Ixbth3tekiLtFBzBrGjPCr4/edit?gid=0" TargetMode="External" Id="rId508"/><Relationship Type="http://schemas.openxmlformats.org/officeDocument/2006/relationships/hyperlink" Target="https://docs.google.com/spreadsheets/d/1ZiCGoPjLCjuYvujDTXK9Ixbth3tekiLtFBzBrGjPCr4/edit?gid=0" TargetMode="External" Id="rId509"/><Relationship Type="http://schemas.openxmlformats.org/officeDocument/2006/relationships/hyperlink" Target="https://docs.google.com/spreadsheets/d/1ZiCGoPjLCjuYvujDTXK9Ixbth3tekiLtFBzBrGjPCr4/edit?gid=0" TargetMode="External" Id="rId510"/><Relationship Type="http://schemas.openxmlformats.org/officeDocument/2006/relationships/hyperlink" Target="https://docs.google.com/spreadsheets/d/1ZiCGoPjLCjuYvujDTXK9Ixbth3tekiLtFBzBrGjPCr4/edit?gid=0" TargetMode="External" Id="rId511"/><Relationship Type="http://schemas.openxmlformats.org/officeDocument/2006/relationships/hyperlink" Target="https://docs.google.com/spreadsheets/d/1ZiCGoPjLCjuYvujDTXK9Ixbth3tekiLtFBzBrGjPCr4/edit?gid=0" TargetMode="External" Id="rId512"/><Relationship Type="http://schemas.openxmlformats.org/officeDocument/2006/relationships/hyperlink" Target="https://docs.google.com/spreadsheets/d/1ZiCGoPjLCjuYvujDTXK9Ixbth3tekiLtFBzBrGjPCr4/edit?gid=0" TargetMode="External" Id="rId513"/><Relationship Type="http://schemas.openxmlformats.org/officeDocument/2006/relationships/hyperlink" Target="https://docs.google.com/spreadsheets/d/1ZiCGoPjLCjuYvujDTXK9Ixbth3tekiLtFBzBrGjPCr4/edit?gid=0" TargetMode="External" Id="rId514"/><Relationship Type="http://schemas.openxmlformats.org/officeDocument/2006/relationships/hyperlink" Target="https://docs.google.com/spreadsheets/d/1ZiCGoPjLCjuYvujDTXK9Ixbth3tekiLtFBzBrGjPCr4/edit?gid=0" TargetMode="External" Id="rId515"/><Relationship Type="http://schemas.openxmlformats.org/officeDocument/2006/relationships/hyperlink" Target="https://docs.google.com/spreadsheets/d/1ZiCGoPjLCjuYvujDTXK9Ixbth3tekiLtFBzBrGjPCr4/edit?gid=0" TargetMode="External" Id="rId516"/><Relationship Type="http://schemas.openxmlformats.org/officeDocument/2006/relationships/hyperlink" Target="https://docs.google.com/spreadsheets/d/1ZiCGoPjLCjuYvujDTXK9Ixbth3tekiLtFBzBrGjPCr4/edit?gid=0" TargetMode="External" Id="rId517"/><Relationship Type="http://schemas.openxmlformats.org/officeDocument/2006/relationships/hyperlink" Target="https://docs.google.com/spreadsheets/d/1ZiCGoPjLCjuYvujDTXK9Ixbth3tekiLtFBzBrGjPCr4/edit?gid=0" TargetMode="External" Id="rId518"/><Relationship Type="http://schemas.openxmlformats.org/officeDocument/2006/relationships/hyperlink" Target="https://docs.google.com/spreadsheets/d/1ZiCGoPjLCjuYvujDTXK9Ixbth3tekiLtFBzBrGjPCr4/edit?gid=0" TargetMode="External" Id="rId519"/><Relationship Type="http://schemas.openxmlformats.org/officeDocument/2006/relationships/hyperlink" Target="https://docs.google.com/spreadsheets/d/1ZiCGoPjLCjuYvujDTXK9Ixbth3tekiLtFBzBrGjPCr4/edit?gid=0" TargetMode="External" Id="rId520"/><Relationship Type="http://schemas.openxmlformats.org/officeDocument/2006/relationships/hyperlink" Target="https://docs.google.com/spreadsheets/d/1ZiCGoPjLCjuYvujDTXK9Ixbth3tekiLtFBzBrGjPCr4/edit?gid=0" TargetMode="External" Id="rId521"/><Relationship Type="http://schemas.openxmlformats.org/officeDocument/2006/relationships/hyperlink" Target="https://docs.google.com/spreadsheets/d/1ZiCGoPjLCjuYvujDTXK9Ixbth3tekiLtFBzBrGjPCr4/edit?gid=0" TargetMode="External" Id="rId522"/><Relationship Type="http://schemas.openxmlformats.org/officeDocument/2006/relationships/hyperlink" Target="https://docs.google.com/spreadsheets/d/1ZiCGoPjLCjuYvujDTXK9Ixbth3tekiLtFBzBrGjPCr4/edit?gid=0" TargetMode="External" Id="rId523"/><Relationship Type="http://schemas.openxmlformats.org/officeDocument/2006/relationships/hyperlink" Target="https://docs.google.com/spreadsheets/d/1ZiCGoPjLCjuYvujDTXK9Ixbth3tekiLtFBzBrGjPCr4/edit?gid=0" TargetMode="External" Id="rId524"/><Relationship Type="http://schemas.openxmlformats.org/officeDocument/2006/relationships/hyperlink" Target="https://docs.google.com/spreadsheets/d/1ZiCGoPjLCjuYvujDTXK9Ixbth3tekiLtFBzBrGjPCr4/edit?gid=0" TargetMode="External" Id="rId525"/><Relationship Type="http://schemas.openxmlformats.org/officeDocument/2006/relationships/hyperlink" Target="https://docs.google.com/spreadsheets/d/1ZiCGoPjLCjuYvujDTXK9Ixbth3tekiLtFBzBrGjPCr4/edit?gid=0" TargetMode="External" Id="rId526"/><Relationship Type="http://schemas.openxmlformats.org/officeDocument/2006/relationships/hyperlink" Target="https://docs.google.com/spreadsheets/d/1ZiCGoPjLCjuYvujDTXK9Ixbth3tekiLtFBzBrGjPCr4/edit?gid=0" TargetMode="External" Id="rId527"/><Relationship Type="http://schemas.openxmlformats.org/officeDocument/2006/relationships/hyperlink" Target="https://docs.google.com/spreadsheets/d/1ZiCGoPjLCjuYvujDTXK9Ixbth3tekiLtFBzBrGjPCr4/edit?gid=0" TargetMode="External" Id="rId528"/><Relationship Type="http://schemas.openxmlformats.org/officeDocument/2006/relationships/hyperlink" Target="https://docs.google.com/spreadsheets/d/1ZiCGoPjLCjuYvujDTXK9Ixbth3tekiLtFBzBrGjPCr4/edit?gid=0" TargetMode="External" Id="rId529"/><Relationship Type="http://schemas.openxmlformats.org/officeDocument/2006/relationships/hyperlink" Target="https://docs.google.com/spreadsheets/d/1ZiCGoPjLCjuYvujDTXK9Ixbth3tekiLtFBzBrGjPCr4/edit?gid=0" TargetMode="External" Id="rId530"/><Relationship Type="http://schemas.openxmlformats.org/officeDocument/2006/relationships/hyperlink" Target="https://docs.google.com/spreadsheets/d/1ZiCGoPjLCjuYvujDTXK9Ixbth3tekiLtFBzBrGjPCr4/edit?gid=0" TargetMode="External" Id="rId531"/><Relationship Type="http://schemas.openxmlformats.org/officeDocument/2006/relationships/hyperlink" Target="https://docs.google.com/spreadsheets/d/1ZiCGoPjLCjuYvujDTXK9Ixbth3tekiLtFBzBrGjPCr4/edit?gid=0" TargetMode="External" Id="rId532"/><Relationship Type="http://schemas.openxmlformats.org/officeDocument/2006/relationships/hyperlink" Target="https://docs.google.com/spreadsheets/d/1ZiCGoPjLCjuYvujDTXK9Ixbth3tekiLtFBzBrGjPCr4/edit?gid=0" TargetMode="External" Id="rId533"/><Relationship Type="http://schemas.openxmlformats.org/officeDocument/2006/relationships/hyperlink" Target="https://docs.google.com/spreadsheets/d/1ZiCGoPjLCjuYvujDTXK9Ixbth3tekiLtFBzBrGjPCr4/edit?gid=0" TargetMode="External" Id="rId534"/><Relationship Type="http://schemas.openxmlformats.org/officeDocument/2006/relationships/hyperlink" Target="https://docs.google.com/spreadsheets/d/1ZiCGoPjLCjuYvujDTXK9Ixbth3tekiLtFBzBrGjPCr4/edit?gid=0" TargetMode="External" Id="rId535"/><Relationship Type="http://schemas.openxmlformats.org/officeDocument/2006/relationships/hyperlink" Target="https://docs.google.com/spreadsheets/d/1ZiCGoPjLCjuYvujDTXK9Ixbth3tekiLtFBzBrGjPCr4/edit?gid=0" TargetMode="External" Id="rId536"/><Relationship Type="http://schemas.openxmlformats.org/officeDocument/2006/relationships/hyperlink" Target="https://docs.google.com/spreadsheets/d/1ZiCGoPjLCjuYvujDTXK9Ixbth3tekiLtFBzBrGjPCr4/edit?gid=0" TargetMode="External" Id="rId537"/><Relationship Type="http://schemas.openxmlformats.org/officeDocument/2006/relationships/hyperlink" Target="https://docs.google.com/spreadsheets/d/1ZiCGoPjLCjuYvujDTXK9Ixbth3tekiLtFBzBrGjPCr4/edit?gid=0" TargetMode="External" Id="rId538"/><Relationship Type="http://schemas.openxmlformats.org/officeDocument/2006/relationships/hyperlink" Target="https://docs.google.com/spreadsheets/d/1ZiCGoPjLCjuYvujDTXK9Ixbth3tekiLtFBzBrGjPCr4/edit?gid=0" TargetMode="External" Id="rId539"/><Relationship Type="http://schemas.openxmlformats.org/officeDocument/2006/relationships/hyperlink" Target="https://docs.google.com/spreadsheets/d/1ZiCGoPjLCjuYvujDTXK9Ixbth3tekiLtFBzBrGjPCr4/edit?gid=0" TargetMode="External" Id="rId540"/><Relationship Type="http://schemas.openxmlformats.org/officeDocument/2006/relationships/hyperlink" Target="https://docs.google.com/spreadsheets/d/1ZiCGoPjLCjuYvujDTXK9Ixbth3tekiLtFBzBrGjPCr4/edit?gid=0" TargetMode="External" Id="rId541"/><Relationship Type="http://schemas.openxmlformats.org/officeDocument/2006/relationships/hyperlink" Target="https://docs.google.com/spreadsheets/d/1ZiCGoPjLCjuYvujDTXK9Ixbth3tekiLtFBzBrGjPCr4/edit?gid=0" TargetMode="External" Id="rId542"/><Relationship Type="http://schemas.openxmlformats.org/officeDocument/2006/relationships/hyperlink" Target="https://docs.google.com/spreadsheets/d/1ZiCGoPjLCjuYvujDTXK9Ixbth3tekiLtFBzBrGjPCr4/edit?gid=0" TargetMode="External" Id="rId543"/><Relationship Type="http://schemas.openxmlformats.org/officeDocument/2006/relationships/hyperlink" Target="https://docs.google.com/spreadsheets/d/1ZiCGoPjLCjuYvujDTXK9Ixbth3tekiLtFBzBrGjPCr4/edit?gid=0" TargetMode="External" Id="rId544"/><Relationship Type="http://schemas.openxmlformats.org/officeDocument/2006/relationships/hyperlink" Target="https://docs.google.com/spreadsheets/d/1ZiCGoPjLCjuYvujDTXK9Ixbth3tekiLtFBzBrGjPCr4/edit?gid=0" TargetMode="External" Id="rId545"/><Relationship Type="http://schemas.openxmlformats.org/officeDocument/2006/relationships/hyperlink" Target="https://docs.google.com/spreadsheets/d/1ZiCGoPjLCjuYvujDTXK9Ixbth3tekiLtFBzBrGjPCr4/edit?gid=0" TargetMode="External" Id="rId546"/><Relationship Type="http://schemas.openxmlformats.org/officeDocument/2006/relationships/hyperlink" Target="https://docs.google.com/spreadsheets/d/1ZiCGoPjLCjuYvujDTXK9Ixbth3tekiLtFBzBrGjPCr4/edit?gid=0" TargetMode="External" Id="rId547"/><Relationship Type="http://schemas.openxmlformats.org/officeDocument/2006/relationships/hyperlink" Target="https://docs.google.com/spreadsheets/d/1ZiCGoPjLCjuYvujDTXK9Ixbth3tekiLtFBzBrGjPCr4/edit?gid=0" TargetMode="External" Id="rId548"/><Relationship Type="http://schemas.openxmlformats.org/officeDocument/2006/relationships/hyperlink" Target="https://docs.google.com/spreadsheets/d/1ZiCGoPjLCjuYvujDTXK9Ixbth3tekiLtFBzBrGjPCr4/edit?gid=0" TargetMode="External" Id="rId549"/><Relationship Type="http://schemas.openxmlformats.org/officeDocument/2006/relationships/hyperlink" Target="https://docs.google.com/spreadsheets/d/1ZiCGoPjLCjuYvujDTXK9Ixbth3tekiLtFBzBrGjPCr4/edit?gid=0" TargetMode="External" Id="rId550"/><Relationship Type="http://schemas.openxmlformats.org/officeDocument/2006/relationships/hyperlink" Target="https://docs.google.com/spreadsheets/d/1ZiCGoPjLCjuYvujDTXK9Ixbth3tekiLtFBzBrGjPCr4/edit?gid=0" TargetMode="External" Id="rId551"/><Relationship Type="http://schemas.openxmlformats.org/officeDocument/2006/relationships/hyperlink" Target="https://docs.google.com/spreadsheets/d/1ZiCGoPjLCjuYvujDTXK9Ixbth3tekiLtFBzBrGjPCr4/edit?gid=0" TargetMode="External" Id="rId552"/><Relationship Type="http://schemas.openxmlformats.org/officeDocument/2006/relationships/hyperlink" Target="https://docs.google.com/spreadsheets/d/1ZiCGoPjLCjuYvujDTXK9Ixbth3tekiLtFBzBrGjPCr4/edit?gid=0" TargetMode="External" Id="rId553"/><Relationship Type="http://schemas.openxmlformats.org/officeDocument/2006/relationships/hyperlink" Target="https://docs.google.com/spreadsheets/d/1ZiCGoPjLCjuYvujDTXK9Ixbth3tekiLtFBzBrGjPCr4/edit?gid=0" TargetMode="External" Id="rId554"/><Relationship Type="http://schemas.openxmlformats.org/officeDocument/2006/relationships/hyperlink" Target="https://docs.google.com/spreadsheets/d/1ZiCGoPjLCjuYvujDTXK9Ixbth3tekiLtFBzBrGjPCr4/edit?gid=0" TargetMode="External" Id="rId555"/><Relationship Type="http://schemas.openxmlformats.org/officeDocument/2006/relationships/hyperlink" Target="https://docs.google.com/spreadsheets/d/1ZiCGoPjLCjuYvujDTXK9Ixbth3tekiLtFBzBrGjPCr4/edit?gid=0" TargetMode="External" Id="rId556"/><Relationship Type="http://schemas.openxmlformats.org/officeDocument/2006/relationships/hyperlink" Target="https://docs.google.com/spreadsheets/d/1ZiCGoPjLCjuYvujDTXK9Ixbth3tekiLtFBzBrGjPCr4/edit?gid=0" TargetMode="External" Id="rId557"/><Relationship Type="http://schemas.openxmlformats.org/officeDocument/2006/relationships/hyperlink" Target="https://docs.google.com/spreadsheets/d/1ZiCGoPjLCjuYvujDTXK9Ixbth3tekiLtFBzBrGjPCr4/edit?gid=0" TargetMode="External" Id="rId558"/><Relationship Type="http://schemas.openxmlformats.org/officeDocument/2006/relationships/hyperlink" Target="https://docs.google.com/spreadsheets/d/1ZiCGoPjLCjuYvujDTXK9Ixbth3tekiLtFBzBrGjPCr4/edit?gid=0" TargetMode="External" Id="rId559"/><Relationship Type="http://schemas.openxmlformats.org/officeDocument/2006/relationships/hyperlink" Target="https://docs.google.com/spreadsheets/d/1ZiCGoPjLCjuYvujDTXK9Ixbth3tekiLtFBzBrGjPCr4/edit?gid=0" TargetMode="External" Id="rId560"/><Relationship Type="http://schemas.openxmlformats.org/officeDocument/2006/relationships/hyperlink" Target="https://docs.google.com/spreadsheets/d/1ZiCGoPjLCjuYvujDTXK9Ixbth3tekiLtFBzBrGjPCr4/edit?gid=0" TargetMode="External" Id="rId561"/><Relationship Type="http://schemas.openxmlformats.org/officeDocument/2006/relationships/hyperlink" Target="https://docs.google.com/spreadsheets/d/1ZiCGoPjLCjuYvujDTXK9Ixbth3tekiLtFBzBrGjPCr4/edit?gid=0" TargetMode="External" Id="rId562"/><Relationship Type="http://schemas.openxmlformats.org/officeDocument/2006/relationships/hyperlink" Target="https://docs.google.com/spreadsheets/d/1ZiCGoPjLCjuYvujDTXK9Ixbth3tekiLtFBzBrGjPCr4/edit?gid=0" TargetMode="External" Id="rId563"/><Relationship Type="http://schemas.openxmlformats.org/officeDocument/2006/relationships/hyperlink" Target="https://docs.google.com/spreadsheets/d/1ZiCGoPjLCjuYvujDTXK9Ixbth3tekiLtFBzBrGjPCr4/edit?gid=0" TargetMode="External" Id="rId564"/><Relationship Type="http://schemas.openxmlformats.org/officeDocument/2006/relationships/hyperlink" Target="https://docs.google.com/spreadsheets/d/1ZiCGoPjLCjuYvujDTXK9Ixbth3tekiLtFBzBrGjPCr4/edit?gid=0" TargetMode="External" Id="rId565"/><Relationship Type="http://schemas.openxmlformats.org/officeDocument/2006/relationships/hyperlink" Target="https://docs.google.com/spreadsheets/d/1ZiCGoPjLCjuYvujDTXK9Ixbth3tekiLtFBzBrGjPCr4/edit?gid=0" TargetMode="External" Id="rId566"/><Relationship Type="http://schemas.openxmlformats.org/officeDocument/2006/relationships/hyperlink" Target="https://docs.google.com/spreadsheets/d/1ZiCGoPjLCjuYvujDTXK9Ixbth3tekiLtFBzBrGjPCr4/edit?gid=0" TargetMode="External" Id="rId567"/><Relationship Type="http://schemas.openxmlformats.org/officeDocument/2006/relationships/hyperlink" Target="https://docs.google.com/spreadsheets/d/1ZiCGoPjLCjuYvujDTXK9Ixbth3tekiLtFBzBrGjPCr4/edit?gid=0" TargetMode="External" Id="rId568"/><Relationship Type="http://schemas.openxmlformats.org/officeDocument/2006/relationships/hyperlink" Target="https://docs.google.com/spreadsheets/d/1ZiCGoPjLCjuYvujDTXK9Ixbth3tekiLtFBzBrGjPCr4/edit?gid=0" TargetMode="External" Id="rId569"/><Relationship Type="http://schemas.openxmlformats.org/officeDocument/2006/relationships/hyperlink" Target="https://docs.google.com/spreadsheets/d/1ZiCGoPjLCjuYvujDTXK9Ixbth3tekiLtFBzBrGjPCr4/edit?gid=0" TargetMode="External" Id="rId570"/><Relationship Type="http://schemas.openxmlformats.org/officeDocument/2006/relationships/hyperlink" Target="https://docs.google.com/spreadsheets/d/1ZiCGoPjLCjuYvujDTXK9Ixbth3tekiLtFBzBrGjPCr4/edit?gid=0" TargetMode="External" Id="rId571"/><Relationship Type="http://schemas.openxmlformats.org/officeDocument/2006/relationships/hyperlink" Target="https://docs.google.com/spreadsheets/d/1ZiCGoPjLCjuYvujDTXK9Ixbth3tekiLtFBzBrGjPCr4/edit?gid=0" TargetMode="External" Id="rId572"/><Relationship Type="http://schemas.openxmlformats.org/officeDocument/2006/relationships/hyperlink" Target="https://docs.google.com/spreadsheets/d/1ZiCGoPjLCjuYvujDTXK9Ixbth3tekiLtFBzBrGjPCr4/edit?gid=0" TargetMode="External" Id="rId573"/><Relationship Type="http://schemas.openxmlformats.org/officeDocument/2006/relationships/hyperlink" Target="https://docs.google.com/spreadsheets/d/1ZiCGoPjLCjuYvujDTXK9Ixbth3tekiLtFBzBrGjPCr4/edit?gid=0" TargetMode="External" Id="rId574"/><Relationship Type="http://schemas.openxmlformats.org/officeDocument/2006/relationships/hyperlink" Target="https://docs.google.com/spreadsheets/d/1ZiCGoPjLCjuYvujDTXK9Ixbth3tekiLtFBzBrGjPCr4/edit?gid=0" TargetMode="External" Id="rId575"/><Relationship Type="http://schemas.openxmlformats.org/officeDocument/2006/relationships/hyperlink" Target="https://docs.google.com/spreadsheets/d/1ZiCGoPjLCjuYvujDTXK9Ixbth3tekiLtFBzBrGjPCr4/edit?gid=0" TargetMode="External" Id="rId576"/><Relationship Type="http://schemas.openxmlformats.org/officeDocument/2006/relationships/hyperlink" Target="https://docs.google.com/spreadsheets/d/1ZiCGoPjLCjuYvujDTXK9Ixbth3tekiLtFBzBrGjPCr4/edit?gid=0" TargetMode="External" Id="rId577"/><Relationship Type="http://schemas.openxmlformats.org/officeDocument/2006/relationships/hyperlink" Target="https://docs.google.com/spreadsheets/d/1ZiCGoPjLCjuYvujDTXK9Ixbth3tekiLtFBzBrGjPCr4/edit?gid=0" TargetMode="External" Id="rId578"/><Relationship Type="http://schemas.openxmlformats.org/officeDocument/2006/relationships/hyperlink" Target="https://docs.google.com/spreadsheets/d/1ZiCGoPjLCjuYvujDTXK9Ixbth3tekiLtFBzBrGjPCr4/edit?gid=0" TargetMode="External" Id="rId579"/><Relationship Type="http://schemas.openxmlformats.org/officeDocument/2006/relationships/hyperlink" Target="https://docs.google.com/spreadsheets/d/1ZiCGoPjLCjuYvujDTXK9Ixbth3tekiLtFBzBrGjPCr4/edit?gid=0" TargetMode="External" Id="rId580"/><Relationship Type="http://schemas.openxmlformats.org/officeDocument/2006/relationships/hyperlink" Target="https://docs.google.com/spreadsheets/d/1ZiCGoPjLCjuYvujDTXK9Ixbth3tekiLtFBzBrGjPCr4/edit?gid=0" TargetMode="External" Id="rId581"/><Relationship Type="http://schemas.openxmlformats.org/officeDocument/2006/relationships/hyperlink" Target="https://docs.google.com/spreadsheets/d/1ZiCGoPjLCjuYvujDTXK9Ixbth3tekiLtFBzBrGjPCr4/edit?gid=0" TargetMode="External" Id="rId582"/><Relationship Type="http://schemas.openxmlformats.org/officeDocument/2006/relationships/hyperlink" Target="https://docs.google.com/spreadsheets/d/1ZiCGoPjLCjuYvujDTXK9Ixbth3tekiLtFBzBrGjPCr4/edit?gid=0" TargetMode="External" Id="rId583"/><Relationship Type="http://schemas.openxmlformats.org/officeDocument/2006/relationships/hyperlink" Target="https://docs.google.com/spreadsheets/d/1ZiCGoPjLCjuYvujDTXK9Ixbth3tekiLtFBzBrGjPCr4/edit?gid=0" TargetMode="External" Id="rId584"/><Relationship Type="http://schemas.openxmlformats.org/officeDocument/2006/relationships/hyperlink" Target="https://docs.google.com/spreadsheets/d/1ZiCGoPjLCjuYvujDTXK9Ixbth3tekiLtFBzBrGjPCr4/edit?gid=0" TargetMode="External" Id="rId585"/><Relationship Type="http://schemas.openxmlformats.org/officeDocument/2006/relationships/hyperlink" Target="https://docs.google.com/spreadsheets/d/1ZiCGoPjLCjuYvujDTXK9Ixbth3tekiLtFBzBrGjPCr4/edit?gid=0" TargetMode="External" Id="rId586"/><Relationship Type="http://schemas.openxmlformats.org/officeDocument/2006/relationships/hyperlink" Target="https://docs.google.com/spreadsheets/d/1ZiCGoPjLCjuYvujDTXK9Ixbth3tekiLtFBzBrGjPCr4/edit?gid=0" TargetMode="External" Id="rId587"/><Relationship Type="http://schemas.openxmlformats.org/officeDocument/2006/relationships/hyperlink" Target="https://docs.google.com/spreadsheets/d/1ZiCGoPjLCjuYvujDTXK9Ixbth3tekiLtFBzBrGjPCr4/edit?gid=0" TargetMode="External" Id="rId588"/><Relationship Type="http://schemas.openxmlformats.org/officeDocument/2006/relationships/hyperlink" Target="https://docs.google.com/spreadsheets/d/1ZiCGoPjLCjuYvujDTXK9Ixbth3tekiLtFBzBrGjPCr4/edit?gid=0" TargetMode="External" Id="rId589"/><Relationship Type="http://schemas.openxmlformats.org/officeDocument/2006/relationships/hyperlink" Target="https://docs.google.com/spreadsheets/d/1ZiCGoPjLCjuYvujDTXK9Ixbth3tekiLtFBzBrGjPCr4/edit?gid=0" TargetMode="External" Id="rId590"/><Relationship Type="http://schemas.openxmlformats.org/officeDocument/2006/relationships/hyperlink" Target="https://docs.google.com/spreadsheets/d/1ZiCGoPjLCjuYvujDTXK9Ixbth3tekiLtFBzBrGjPCr4/edit?gid=0" TargetMode="External" Id="rId591"/><Relationship Type="http://schemas.openxmlformats.org/officeDocument/2006/relationships/hyperlink" Target="https://docs.google.com/spreadsheets/d/1ZiCGoPjLCjuYvujDTXK9Ixbth3tekiLtFBzBrGjPCr4/edit?gid=0" TargetMode="External" Id="rId592"/><Relationship Type="http://schemas.openxmlformats.org/officeDocument/2006/relationships/hyperlink" Target="https://docs.google.com/spreadsheets/d/1ZiCGoPjLCjuYvujDTXK9Ixbth3tekiLtFBzBrGjPCr4/edit?gid=0" TargetMode="External" Id="rId593"/><Relationship Type="http://schemas.openxmlformats.org/officeDocument/2006/relationships/hyperlink" Target="https://docs.google.com/spreadsheets/d/1ZiCGoPjLCjuYvujDTXK9Ixbth3tekiLtFBzBrGjPCr4/edit?gid=0" TargetMode="External" Id="rId594"/><Relationship Type="http://schemas.openxmlformats.org/officeDocument/2006/relationships/hyperlink" Target="https://docs.google.com/spreadsheets/d/1ZiCGoPjLCjuYvujDTXK9Ixbth3tekiLtFBzBrGjPCr4/edit?gid=0" TargetMode="External" Id="rId595"/><Relationship Type="http://schemas.openxmlformats.org/officeDocument/2006/relationships/hyperlink" Target="https://docs.google.com/spreadsheets/d/1ZiCGoPjLCjuYvujDTXK9Ixbth3tekiLtFBzBrGjPCr4/edit?gid=0" TargetMode="External" Id="rId596"/><Relationship Type="http://schemas.openxmlformats.org/officeDocument/2006/relationships/hyperlink" Target="https://docs.google.com/spreadsheets/d/1ZiCGoPjLCjuYvujDTXK9Ixbth3tekiLtFBzBrGjPCr4/edit?gid=0" TargetMode="External" Id="rId597"/><Relationship Type="http://schemas.openxmlformats.org/officeDocument/2006/relationships/hyperlink" Target="https://docs.google.com/spreadsheets/d/1ZiCGoPjLCjuYvujDTXK9Ixbth3tekiLtFBzBrGjPCr4/edit?gid=0" TargetMode="External" Id="rId598"/><Relationship Type="http://schemas.openxmlformats.org/officeDocument/2006/relationships/hyperlink" Target="https://docs.google.com/spreadsheets/d/1ZiCGoPjLCjuYvujDTXK9Ixbth3tekiLtFBzBrGjPCr4/edit?gid=0" TargetMode="External" Id="rId599"/><Relationship Type="http://schemas.openxmlformats.org/officeDocument/2006/relationships/hyperlink" Target="https://docs.google.com/spreadsheets/d/1ZiCGoPjLCjuYvujDTXK9Ixbth3tekiLtFBzBrGjPCr4/edit?gid=0" TargetMode="External" Id="rId600"/><Relationship Type="http://schemas.openxmlformats.org/officeDocument/2006/relationships/hyperlink" Target="https://docs.google.com/spreadsheets/d/1ZiCGoPjLCjuYvujDTXK9Ixbth3tekiLtFBzBrGjPCr4/edit?gid=0" TargetMode="External" Id="rId601"/><Relationship Type="http://schemas.openxmlformats.org/officeDocument/2006/relationships/hyperlink" Target="https://docs.google.com/spreadsheets/d/1ZiCGoPjLCjuYvujDTXK9Ixbth3tekiLtFBzBrGjPCr4/edit?gid=0" TargetMode="External" Id="rId602"/><Relationship Type="http://schemas.openxmlformats.org/officeDocument/2006/relationships/hyperlink" Target="https://docs.google.com/spreadsheets/d/1ZiCGoPjLCjuYvujDTXK9Ixbth3tekiLtFBzBrGjPCr4/edit?gid=0" TargetMode="External" Id="rId603"/><Relationship Type="http://schemas.openxmlformats.org/officeDocument/2006/relationships/hyperlink" Target="https://docs.google.com/spreadsheets/d/1ZiCGoPjLCjuYvujDTXK9Ixbth3tekiLtFBzBrGjPCr4/edit?gid=0" TargetMode="External" Id="rId604"/><Relationship Type="http://schemas.openxmlformats.org/officeDocument/2006/relationships/hyperlink" Target="https://docs.google.com/spreadsheets/d/1ZiCGoPjLCjuYvujDTXK9Ixbth3tekiLtFBzBrGjPCr4/edit?gid=0" TargetMode="External" Id="rId605"/><Relationship Type="http://schemas.openxmlformats.org/officeDocument/2006/relationships/hyperlink" Target="https://docs.google.com/spreadsheets/d/1ZiCGoPjLCjuYvujDTXK9Ixbth3tekiLtFBzBrGjPCr4/edit?gid=0" TargetMode="External" Id="rId606"/><Relationship Type="http://schemas.openxmlformats.org/officeDocument/2006/relationships/hyperlink" Target="https://docs.google.com/spreadsheets/d/1ZiCGoPjLCjuYvujDTXK9Ixbth3tekiLtFBzBrGjPCr4/edit?gid=0" TargetMode="External" Id="rId607"/><Relationship Type="http://schemas.openxmlformats.org/officeDocument/2006/relationships/hyperlink" Target="https://docs.google.com/spreadsheets/d/1ZiCGoPjLCjuYvujDTXK9Ixbth3tekiLtFBzBrGjPCr4/edit?gid=0" TargetMode="External" Id="rId608"/><Relationship Type="http://schemas.openxmlformats.org/officeDocument/2006/relationships/hyperlink" Target="https://docs.google.com/spreadsheets/d/1ZiCGoPjLCjuYvujDTXK9Ixbth3tekiLtFBzBrGjPCr4/edit?gid=0" TargetMode="External" Id="rId609"/><Relationship Type="http://schemas.openxmlformats.org/officeDocument/2006/relationships/hyperlink" Target="https://docs.google.com/spreadsheets/d/1ZiCGoPjLCjuYvujDTXK9Ixbth3tekiLtFBzBrGjPCr4/edit?gid=0" TargetMode="External" Id="rId610"/><Relationship Type="http://schemas.openxmlformats.org/officeDocument/2006/relationships/hyperlink" Target="https://docs.google.com/spreadsheets/d/1ZiCGoPjLCjuYvujDTXK9Ixbth3tekiLtFBzBrGjPCr4/edit?gid=0" TargetMode="External" Id="rId611"/><Relationship Type="http://schemas.openxmlformats.org/officeDocument/2006/relationships/hyperlink" Target="https://docs.google.com/spreadsheets/d/1ZiCGoPjLCjuYvujDTXK9Ixbth3tekiLtFBzBrGjPCr4/edit?gid=0" TargetMode="External" Id="rId612"/><Relationship Type="http://schemas.openxmlformats.org/officeDocument/2006/relationships/hyperlink" Target="https://docs.google.com/spreadsheets/d/1ZiCGoPjLCjuYvujDTXK9Ixbth3tekiLtFBzBrGjPCr4/edit?gid=0" TargetMode="External" Id="rId613"/><Relationship Type="http://schemas.openxmlformats.org/officeDocument/2006/relationships/hyperlink" Target="https://docs.google.com/spreadsheets/d/1ZiCGoPjLCjuYvujDTXK9Ixbth3tekiLtFBzBrGjPCr4/edit?gid=0" TargetMode="External" Id="rId614"/><Relationship Type="http://schemas.openxmlformats.org/officeDocument/2006/relationships/hyperlink" Target="https://docs.google.com/spreadsheets/d/1ZiCGoPjLCjuYvujDTXK9Ixbth3tekiLtFBzBrGjPCr4/edit?gid=0" TargetMode="External" Id="rId615"/><Relationship Type="http://schemas.openxmlformats.org/officeDocument/2006/relationships/hyperlink" Target="https://docs.google.com/spreadsheets/d/1ZiCGoPjLCjuYvujDTXK9Ixbth3tekiLtFBzBrGjPCr4/edit?gid=0" TargetMode="External" Id="rId616"/><Relationship Type="http://schemas.openxmlformats.org/officeDocument/2006/relationships/hyperlink" Target="https://docs.google.com/spreadsheets/d/1ZiCGoPjLCjuYvujDTXK9Ixbth3tekiLtFBzBrGjPCr4/edit?gid=0" TargetMode="External" Id="rId617"/><Relationship Type="http://schemas.openxmlformats.org/officeDocument/2006/relationships/hyperlink" Target="https://docs.google.com/spreadsheets/d/1ZiCGoPjLCjuYvujDTXK9Ixbth3tekiLtFBzBrGjPCr4/edit?gid=0" TargetMode="External" Id="rId618"/><Relationship Type="http://schemas.openxmlformats.org/officeDocument/2006/relationships/hyperlink" Target="https://docs.google.com/spreadsheets/d/1ZiCGoPjLCjuYvujDTXK9Ixbth3tekiLtFBzBrGjPCr4/edit?gid=0" TargetMode="External" Id="rId619"/><Relationship Type="http://schemas.openxmlformats.org/officeDocument/2006/relationships/hyperlink" Target="https://docs.google.com/spreadsheets/d/1ZiCGoPjLCjuYvujDTXK9Ixbth3tekiLtFBzBrGjPCr4/edit?gid=0" TargetMode="External" Id="rId620"/><Relationship Type="http://schemas.openxmlformats.org/officeDocument/2006/relationships/hyperlink" Target="https://docs.google.com/spreadsheets/d/1ZiCGoPjLCjuYvujDTXK9Ixbth3tekiLtFBzBrGjPCr4/edit?gid=0" TargetMode="External" Id="rId621"/><Relationship Type="http://schemas.openxmlformats.org/officeDocument/2006/relationships/table" Target="/xl/tables/table1.xml" Id="rId622"/><Relationship Type="http://schemas.openxmlformats.org/officeDocument/2006/relationships/table" Target="/xl/tables/table2.xml" Id="rId623"/><Relationship Type="http://schemas.openxmlformats.org/officeDocument/2006/relationships/table" Target="/xl/tables/table3.xml" Id="rId624"/></Relationships>
</file>

<file path=xl/worksheets/_rels/sheet2.xml.rels><Relationships xmlns="http://schemas.openxmlformats.org/package/2006/relationships"><Relationship Type="http://schemas.openxmlformats.org/officeDocument/2006/relationships/hyperlink" Target="https://sitedetransporte/link-do-informativo/" TargetMode="External" Id="rId1"/></Relationships>
</file>

<file path=xl/worksheets/_rels/sheet4.xml.rels><Relationships xmlns="http://schemas.openxmlformats.org/package/2006/relationships"><Relationship Type="http://schemas.openxmlformats.org/officeDocument/2006/relationships/hyperlink" Target="https://docs.google.com/spreadsheets/d/1ZiCGoPjLCjuYvujDTXK9Ixbth3tekiLtFBzBrGjPCr4/edit?gid=0" TargetMode="External" Id="rId1"/><Relationship Type="http://schemas.openxmlformats.org/officeDocument/2006/relationships/hyperlink" Target="https://docs.google.com/spreadsheets/d/1ZiCGoPjLCjuYvujDTXK9Ixbth3tekiLtFBzBrGjPCr4/edit?gid=0" TargetMode="External" Id="rId2"/><Relationship Type="http://schemas.openxmlformats.org/officeDocument/2006/relationships/hyperlink" Target="https://docs.google.com/spreadsheets/d/1ZiCGoPjLCjuYvujDTXK9Ixbth3tekiLtFBzBrGjPCr4/edit?gid=0" TargetMode="External" Id="rId3"/><Relationship Type="http://schemas.openxmlformats.org/officeDocument/2006/relationships/hyperlink" Target="https://docs.google.com/spreadsheets/d/1ZiCGoPjLCjuYvujDTXK9Ixbth3tekiLtFBzBrGjPCr4/edit?gid=0" TargetMode="External" Id="rId4"/><Relationship Type="http://schemas.openxmlformats.org/officeDocument/2006/relationships/hyperlink" Target="https://docs.google.com/spreadsheets/d/1ZiCGoPjLCjuYvujDTXK9Ixbth3tekiLtFBzBrGjPCr4/edit?gid=0" TargetMode="External" Id="rId5"/><Relationship Type="http://schemas.openxmlformats.org/officeDocument/2006/relationships/hyperlink" Target="https://docs.google.com/spreadsheets/d/1ZiCGoPjLCjuYvujDTXK9Ixbth3tekiLtFBzBrGjPCr4/edit?gid=0" TargetMode="External" Id="rId6"/><Relationship Type="http://schemas.openxmlformats.org/officeDocument/2006/relationships/hyperlink" Target="https://docs.google.com/spreadsheets/d/1ZiCGoPjLCjuYvujDTXK9Ixbth3tekiLtFBzBrGjPCr4/edit?gid=0" TargetMode="External" Id="rId7"/><Relationship Type="http://schemas.openxmlformats.org/officeDocument/2006/relationships/hyperlink" Target="https://docs.google.com/spreadsheets/d/1ZiCGoPjLCjuYvujDTXK9Ixbth3tekiLtFBzBrGjPCr4/edit?gid=0" TargetMode="External" Id="rId8"/><Relationship Type="http://schemas.openxmlformats.org/officeDocument/2006/relationships/hyperlink" Target="https://docs.google.com/spreadsheets/d/1ZiCGoPjLCjuYvujDTXK9Ixbth3tekiLtFBzBrGjPCr4/edit?gid=0" TargetMode="External" Id="rId9"/><Relationship Type="http://schemas.openxmlformats.org/officeDocument/2006/relationships/hyperlink" Target="https://docs.google.com/spreadsheets/d/1ZiCGoPjLCjuYvujDTXK9Ixbth3tekiLtFBzBrGjPCr4/edit?gid=0" TargetMode="External" Id="rId10"/><Relationship Type="http://schemas.openxmlformats.org/officeDocument/2006/relationships/hyperlink" Target="https://docs.google.com/spreadsheets/d/1ZiCGoPjLCjuYvujDTXK9Ixbth3tekiLtFBzBrGjPCr4/edit?gid=0" TargetMode="External" Id="rId11"/><Relationship Type="http://schemas.openxmlformats.org/officeDocument/2006/relationships/hyperlink" Target="https://docs.google.com/spreadsheets/d/1ZiCGoPjLCjuYvujDTXK9Ixbth3tekiLtFBzBrGjPCr4/edit?gid=0" TargetMode="External" Id="rId12"/><Relationship Type="http://schemas.openxmlformats.org/officeDocument/2006/relationships/hyperlink" Target="https://docs.google.com/spreadsheets/d/1ZiCGoPjLCjuYvujDTXK9Ixbth3tekiLtFBzBrGjPCr4/edit?gid=0" TargetMode="External" Id="rId13"/><Relationship Type="http://schemas.openxmlformats.org/officeDocument/2006/relationships/hyperlink" Target="https://docs.google.com/spreadsheets/d/1ZiCGoPjLCjuYvujDTXK9Ixbth3tekiLtFBzBrGjPCr4/edit?gid=0" TargetMode="External" Id="rId14"/><Relationship Type="http://schemas.openxmlformats.org/officeDocument/2006/relationships/hyperlink" Target="https://docs.google.com/spreadsheets/d/1ZiCGoPjLCjuYvujDTXK9Ixbth3tekiLtFBzBrGjPCr4/edit?gid=0" TargetMode="External" Id="rId15"/><Relationship Type="http://schemas.openxmlformats.org/officeDocument/2006/relationships/hyperlink" Target="https://docs.google.com/spreadsheets/d/1ZiCGoPjLCjuYvujDTXK9Ixbth3tekiLtFBzBrGjPCr4/edit?gid=0" TargetMode="External" Id="rId16"/><Relationship Type="http://schemas.openxmlformats.org/officeDocument/2006/relationships/hyperlink" Target="https://docs.google.com/spreadsheets/d/1ZiCGoPjLCjuYvujDTXK9Ixbth3tekiLtFBzBrGjPCr4/edit?gid=0" TargetMode="External" Id="rId17"/><Relationship Type="http://schemas.openxmlformats.org/officeDocument/2006/relationships/hyperlink" Target="https://docs.google.com/spreadsheets/d/1ZiCGoPjLCjuYvujDTXK9Ixbth3tekiLtFBzBrGjPCr4/edit?gid=0" TargetMode="External" Id="rId18"/><Relationship Type="http://schemas.openxmlformats.org/officeDocument/2006/relationships/hyperlink" Target="https://docs.google.com/spreadsheets/d/1ZiCGoPjLCjuYvujDTXK9Ixbth3tekiLtFBzBrGjPCr4/edit?gid=0" TargetMode="External" Id="rId19"/></Relationships>
</file>

<file path=xl/worksheets/sheet1.xml><?xml version="1.0" encoding="utf-8"?>
<worksheet xmlns="http://schemas.openxmlformats.org/spreadsheetml/2006/main">
  <sheetPr>
    <outlinePr summaryBelow="0" summaryRight="0"/>
    <pageSetUpPr/>
  </sheetPr>
  <dimension ref="A1:AF976"/>
  <sheetViews>
    <sheetView showGridLines="0" workbookViewId="0">
      <pane ySplit="2" topLeftCell="A3" activePane="bottomLeft" state="frozen"/>
      <selection pane="bottomLeft" activeCell="B4" sqref="B4"/>
    </sheetView>
  </sheetViews>
  <sheetFormatPr baseColWidth="8" defaultColWidth="12.63" defaultRowHeight="15.75" customHeight="1"/>
  <cols>
    <col width="11.5" customWidth="1" style="58" min="1" max="1"/>
    <col collapsed="1" width="2.63" customWidth="1" style="58" min="2" max="2"/>
    <col hidden="1" outlineLevel="1" width="12.63" customWidth="1" style="58" min="3" max="6"/>
    <col width="55.63" customWidth="1" style="58" min="10" max="10"/>
    <col width="3" customWidth="1" style="58" min="12" max="12"/>
    <col width="2.63" customWidth="1" style="58" min="13" max="13"/>
    <col width="2.63" customWidth="1" style="58" min="21" max="21"/>
    <col collapsed="1" width="18.75" customWidth="1" style="58" min="22" max="22"/>
    <col hidden="1" outlineLevel="1" width="12.63" customWidth="1" style="58" min="23" max="24"/>
    <col collapsed="1" width="2.63" customWidth="1" style="58" min="25" max="25"/>
    <col hidden="1" outlineLevel="1" width="3.5" customWidth="1" style="58" min="26" max="29"/>
    <col width="2.63" customWidth="1" style="58" min="30" max="30"/>
    <col width="6" customWidth="1" style="58" min="31" max="31"/>
  </cols>
  <sheetData>
    <row r="1">
      <c r="A1" s="27" t="inlineStr">
        <is>
          <t>Qtd Atnd p/dia</t>
        </is>
      </c>
      <c r="B1" s="20" t="n"/>
      <c r="C1" s="27" t="inlineStr">
        <is>
          <t>Dia</t>
        </is>
      </c>
      <c r="D1" s="27" t="inlineStr">
        <is>
          <t>Mês</t>
        </is>
      </c>
      <c r="E1" s="27" t="inlineStr">
        <is>
          <t>Ano</t>
        </is>
      </c>
      <c r="F1" s="27" t="inlineStr">
        <is>
          <t>Mês em texto</t>
        </is>
      </c>
      <c r="G1" s="27" t="inlineStr">
        <is>
          <t>Data Fixa</t>
        </is>
      </c>
      <c r="H1" s="27" t="inlineStr">
        <is>
          <t>Hora Fixa</t>
        </is>
      </c>
      <c r="I1" s="31" t="inlineStr">
        <is>
          <t>Link do Atendimento</t>
        </is>
      </c>
      <c r="J1" s="31" t="inlineStr">
        <is>
          <t>Problema do Cliente</t>
        </is>
      </c>
      <c r="K1" s="31" t="inlineStr">
        <is>
          <t>Observação</t>
        </is>
      </c>
      <c r="L1" s="23" t="inlineStr">
        <is>
          <t>U1</t>
        </is>
      </c>
      <c r="M1" s="20" t="n"/>
      <c r="N1" s="29" t="inlineStr">
        <is>
          <t>Contact Type</t>
        </is>
      </c>
      <c r="O1" s="29" t="inlineStr">
        <is>
          <t>Link KB</t>
        </is>
      </c>
      <c r="P1" s="29" t="inlineStr">
        <is>
          <t>Etapa</t>
        </is>
      </c>
      <c r="Q1" s="29" t="inlineStr">
        <is>
          <t>Informação Extra</t>
        </is>
      </c>
      <c r="R1" s="29" t="inlineStr">
        <is>
          <t>Obs Usuário</t>
        </is>
      </c>
      <c r="S1" s="29" t="inlineStr">
        <is>
          <t>Obs Motorista</t>
        </is>
      </c>
      <c r="T1" s="29" t="inlineStr">
        <is>
          <t>Resp p/Cliente</t>
        </is>
      </c>
      <c r="U1" s="20" t="n"/>
      <c r="V1" s="27" t="inlineStr">
        <is>
          <t>Status Tkt</t>
        </is>
      </c>
      <c r="W1" s="31" t="inlineStr">
        <is>
          <t>Somente Link</t>
        </is>
      </c>
      <c r="X1" s="31" t="inlineStr">
        <is>
          <t>Sigla</t>
        </is>
      </c>
      <c r="Y1" s="20" t="n"/>
      <c r="Z1" s="27" t="inlineStr">
        <is>
          <t>SC</t>
        </is>
      </c>
      <c r="AA1" s="27" t="inlineStr">
        <is>
          <t>CR</t>
        </is>
      </c>
      <c r="AB1" s="27" t="inlineStr">
        <is>
          <t>XX</t>
        </is>
      </c>
      <c r="AC1" s="27" t="inlineStr">
        <is>
          <t>PS</t>
        </is>
      </c>
      <c r="AD1" s="20" t="n"/>
      <c r="AE1" s="59" t="inlineStr">
        <is>
          <t>Hora</t>
        </is>
      </c>
      <c r="AF1" s="27" t="n"/>
    </row>
    <row r="2">
      <c r="A2" s="27" t="n"/>
      <c r="B2" s="20" t="n"/>
      <c r="C2" s="27" t="n"/>
      <c r="D2" s="27" t="n"/>
      <c r="E2" s="27" t="n"/>
      <c r="F2" s="27" t="n"/>
      <c r="G2" s="60" t="inlineStr">
        <is>
          <t>xx</t>
        </is>
      </c>
      <c r="H2" s="60" t="inlineStr">
        <is>
          <t>xx</t>
        </is>
      </c>
      <c r="I2" s="61" t="inlineStr">
        <is>
          <t>xx</t>
        </is>
      </c>
      <c r="J2" s="61" t="inlineStr">
        <is>
          <t>xx</t>
        </is>
      </c>
      <c r="K2" s="61" t="inlineStr">
        <is>
          <t>xx</t>
        </is>
      </c>
      <c r="L2" s="28" t="n"/>
      <c r="M2" s="20" t="n"/>
      <c r="N2" s="29" t="n"/>
      <c r="O2" s="30" t="n"/>
      <c r="P2" s="29" t="n"/>
      <c r="Q2" s="29" t="n"/>
      <c r="R2" s="29" t="n"/>
      <c r="S2" s="29" t="n"/>
      <c r="T2" s="29" t="n"/>
      <c r="U2" s="20" t="n"/>
      <c r="V2" s="27" t="n"/>
      <c r="W2" s="31" t="n"/>
      <c r="X2" s="31" t="n"/>
      <c r="Y2" s="20" t="n"/>
      <c r="Z2" s="27" t="n"/>
      <c r="AA2" s="27" t="n"/>
      <c r="AB2" s="27" t="n"/>
      <c r="AC2" s="27" t="n"/>
      <c r="AD2" s="20" t="n"/>
      <c r="AE2" s="27" t="n"/>
      <c r="AF2" s="27" t="n"/>
    </row>
    <row r="3" ht="19.5" customHeight="1" s="58">
      <c r="A3" s="62">
        <f>IF(G3="","",IF(G3=G2,"",COUNTIF($G$3:$G$976,G3)))</f>
        <v/>
      </c>
      <c r="B3" s="20" t="n"/>
      <c r="C3" s="63">
        <f>IF(G3="","",DAY(G3))</f>
        <v/>
      </c>
      <c r="D3" s="63">
        <f>IF(G3="","",MONTH(G3))</f>
        <v/>
      </c>
      <c r="E3" s="63">
        <f>IF(G3="","",YEAR(G3))</f>
        <v/>
      </c>
      <c r="F3" s="33">
        <f>IF(G3="","",CHOOSE(MONTH(G3),"Janeiro","Fevereiro","Março","Abril","Maio","Junho","Julho","Agosto","Setembro","Outubro","Novembro","Dezembro"))</f>
        <v/>
      </c>
      <c r="G3" s="64" t="n">
        <v>46054</v>
      </c>
      <c r="H3" s="65" t="n">
        <v>0.002974537037037037</v>
      </c>
      <c r="I3" s="66" t="inlineStr">
        <is>
          <t>https://docs.google.com/spreadsheets/d/1ZiCGoPjLCjuYvujDTXK9Ixbth3tekiLtFBzBrGjPCr4/edit?gid=0#gid=0</t>
        </is>
      </c>
      <c r="J3" s="67" t="inlineStr">
        <is>
          <t>Taxa de Limpeza - [TXL]</t>
        </is>
      </c>
      <c r="K3" s="67" t="inlineStr"/>
      <c r="L3" s="68" t="b">
        <v>0</v>
      </c>
      <c r="M3" s="20" t="n"/>
      <c r="N3" s="69">
        <f>IF($J3="","",IFERROR(INDEX(B!$F$2:$F$61,MATCH($J3,B!$E$2:$E$61,0))&amp;"",""))</f>
        <v/>
      </c>
      <c r="O3" s="69">
        <f>IF($J3="","",IFERROR(INDEX(B!$G$2:$G$61,MATCH($J3,B!$E$2:$E$61,0))&amp;"",""))</f>
        <v/>
      </c>
      <c r="P3" s="69">
        <f>IF($J3="","",IFERROR(INDEX(B!$H$2:$H$61,MATCH($J3,B!$E$2:$E$61,0))&amp;"",""))</f>
        <v/>
      </c>
      <c r="Q3" s="69">
        <f>IF($J3="","",IFERROR(INDEX(B!$I$2:$I$61,MATCH($J3,B!$E$2:$E$61,0))&amp;"",""))</f>
        <v/>
      </c>
      <c r="R3" s="69">
        <f>IF($J3="","",IFERROR(INDEX(B!$J$2:$J$61,MATCH($J3,B!$E$2:$E$61,0))&amp;"",""))</f>
        <v/>
      </c>
      <c r="S3" s="69">
        <f>IF($J3="","",IFERROR(INDEX(B!$K$2:$K$61,MATCH($J3,B!$E$2:$E$61,0))&amp;"",""))</f>
        <v/>
      </c>
      <c r="T3" s="69">
        <f>IF($J3="","",IFERROR(INDEX(B!$L$2:$L$61,MATCH($J3,B!$E$2:$E$61,0))&amp;"",""))</f>
        <v/>
      </c>
      <c r="U3" s="20" t="n"/>
      <c r="V3" s="70">
        <f>IF($J3="","",IFERROR(INDEX(B!$M$2:$M$61,MATCH($J3,B!$E$2:$E$61,0))&amp;"",""))</f>
        <v/>
      </c>
      <c r="W3" s="71">
        <f>IF(I3="","",IFERROR(MID(I3,FIND("/d/",I3)+3,FIND("/edit",I3)-FIND("/d/",I3)-3),I3))</f>
        <v/>
      </c>
      <c r="X3" s="71">
        <f>IF($J3="","",IFERROR(INDEX(B!$C$2:$C$61,MATCH($J3,B!$E$2:$E$61,0))&amp;"",""))</f>
        <v/>
      </c>
      <c r="Y3" s="20" t="n"/>
      <c r="Z3" s="72">
        <f>IF($J3="",FALSE,ISNUMBER(SEARCH("scout",$K3)))</f>
        <v/>
      </c>
      <c r="AA3" s="72">
        <f>IF($J3="",FALSE,IFERROR(INDEX(B!$N$2:$N$61,MATCH($J3,B!$E$2:$E$61,0))="Sim",FALSE))</f>
        <v/>
      </c>
      <c r="AB3" s="72">
        <f>IF($J3="",FALSE,LEFT($X3,2)="XX")</f>
        <v/>
      </c>
      <c r="AC3" s="72">
        <f>IF($J3="",FALSE,IFERROR(INDEX(B!$P$2:$P$61,MATCH($J3,B!$E$2:$E$61,0))="Sim",FALSE))</f>
        <v/>
      </c>
      <c r="AD3" s="20" t="n"/>
      <c r="AE3" s="52">
        <f>IF(H3="","",HOUR(H3))</f>
        <v/>
      </c>
      <c r="AF3" s="52" t="n"/>
    </row>
    <row r="4" ht="19.5" customHeight="1" s="58">
      <c r="A4" s="62">
        <f>IF(G4="","",IF(G4=G3,"",COUNTIF($G$3:$G$976,G4)))</f>
        <v/>
      </c>
      <c r="B4" s="20" t="n"/>
      <c r="C4" s="63">
        <f>IF(G4="","",DAY(G4))</f>
        <v/>
      </c>
      <c r="D4" s="63">
        <f>IF(G4="","",MONTH(G4))</f>
        <v/>
      </c>
      <c r="E4" s="63">
        <f>IF(G4="","",YEAR(G4))</f>
        <v/>
      </c>
      <c r="F4" s="33">
        <f>IF(G4="","",CHOOSE(MONTH(G4),"Janeiro","Fevereiro","Março","Abril","Maio","Junho","Julho","Agosto","Setembro","Outubro","Novembro","Dezembro"))</f>
        <v/>
      </c>
      <c r="G4" s="64" t="n">
        <v>46054</v>
      </c>
      <c r="H4" s="65" t="n">
        <v>0.01042824074074074</v>
      </c>
      <c r="I4" s="66" t="inlineStr">
        <is>
          <t>https://docs.google.com/spreadsheets/d/1ZiCGoPjLCjuYvujDTXK9Ixbth3tekiLtFBzBrGjPCr4/edit?gid=0#gid=0</t>
        </is>
      </c>
      <c r="J4" s="67" t="inlineStr">
        <is>
          <t>Taxa de Limpeza - [TXL]</t>
        </is>
      </c>
      <c r="K4" s="67" t="inlineStr"/>
      <c r="L4" s="68" t="b">
        <v>0</v>
      </c>
      <c r="M4" s="20" t="n"/>
      <c r="N4" s="69">
        <f>IF($J4="","",IFERROR(INDEX(B!$F$2:$F$61,MATCH($J4,B!$E$2:$E$61,0))&amp;"",""))</f>
        <v/>
      </c>
      <c r="O4" s="69">
        <f>IF($J4="","",IFERROR(INDEX(B!$G$2:$G$61,MATCH($J4,B!$E$2:$E$61,0))&amp;"",""))</f>
        <v/>
      </c>
      <c r="P4" s="69">
        <f>IF($J4="","",IFERROR(INDEX(B!$H$2:$H$61,MATCH($J4,B!$E$2:$E$61,0))&amp;"",""))</f>
        <v/>
      </c>
      <c r="Q4" s="69">
        <f>IF($J4="","",IFERROR(INDEX(B!$I$2:$I$61,MATCH($J4,B!$E$2:$E$61,0))&amp;"",""))</f>
        <v/>
      </c>
      <c r="R4" s="69">
        <f>IF($J4="","",IFERROR(INDEX(B!$J$2:$J$61,MATCH($J4,B!$E$2:$E$61,0))&amp;"",""))</f>
        <v/>
      </c>
      <c r="S4" s="69">
        <f>IF($J4="","",IFERROR(INDEX(B!$K$2:$K$61,MATCH($J4,B!$E$2:$E$61,0))&amp;"",""))</f>
        <v/>
      </c>
      <c r="T4" s="69">
        <f>IF($J4="","",IFERROR(INDEX(B!$L$2:$L$61,MATCH($J4,B!$E$2:$E$61,0))&amp;"",""))</f>
        <v/>
      </c>
      <c r="U4" s="20" t="n"/>
      <c r="V4" s="70">
        <f>IF($J4="","",IFERROR(INDEX(B!$M$2:$M$61,MATCH($J4,B!$E$2:$E$61,0))&amp;"",""))</f>
        <v/>
      </c>
      <c r="W4" s="71">
        <f>IF(I4="","",IFERROR(MID(I4,FIND("/d/",I4)+3,FIND("/edit",I4)-FIND("/d/",I4)-3),I4))</f>
        <v/>
      </c>
      <c r="X4" s="71">
        <f>IF($J4="","",IFERROR(INDEX(B!$C$2:$C$61,MATCH($J4,B!$E$2:$E$61,0))&amp;"",""))</f>
        <v/>
      </c>
      <c r="Y4" s="20" t="n"/>
      <c r="Z4" s="72">
        <f>IF($J4="",FALSE,ISNUMBER(SEARCH("scout",$K4)))</f>
        <v/>
      </c>
      <c r="AA4" s="72">
        <f>IF($J4="",FALSE,IFERROR(INDEX(B!$N$2:$N$61,MATCH($J4,B!$E$2:$E$61,0))="Sim",FALSE))</f>
        <v/>
      </c>
      <c r="AB4" s="72">
        <f>IF($J4="",FALSE,LEFT($X4,2)="XX")</f>
        <v/>
      </c>
      <c r="AC4" s="72">
        <f>IF($J4="",FALSE,IFERROR(INDEX(B!$P$2:$P$61,MATCH($J4,B!$E$2:$E$61,0))="Sim",FALSE))</f>
        <v/>
      </c>
      <c r="AD4" s="20" t="n"/>
      <c r="AE4" s="52">
        <f>IF(H4="","",HOUR(H4))</f>
        <v/>
      </c>
      <c r="AF4" s="52" t="n"/>
    </row>
    <row r="5" ht="19.5" customHeight="1" s="58">
      <c r="A5" s="62">
        <f>IF(G5="","",IF(G5=G4,"",COUNTIF($G$3:$G$976,G5)))</f>
        <v/>
      </c>
      <c r="B5" s="20" t="n"/>
      <c r="C5" s="63">
        <f>IF(G5="","",DAY(G5))</f>
        <v/>
      </c>
      <c r="D5" s="63">
        <f>IF(G5="","",MONTH(G5))</f>
        <v/>
      </c>
      <c r="E5" s="63">
        <f>IF(G5="","",YEAR(G5))</f>
        <v/>
      </c>
      <c r="F5" s="33">
        <f>IF(G5="","",CHOOSE(MONTH(G5),"Janeiro","Fevereiro","Março","Abril","Maio","Junho","Julho","Agosto","Setembro","Outubro","Novembro","Dezembro"))</f>
        <v/>
      </c>
      <c r="G5" s="64" t="n">
        <v>46054</v>
      </c>
      <c r="H5" s="65" t="n">
        <v>0.01289351851851852</v>
      </c>
      <c r="I5" s="66" t="inlineStr">
        <is>
          <t>https://docs.google.com/spreadsheets/d/1ZiCGoPjLCjuYvujDTXK9Ixbth3tekiLtFBzBrGjPCr4/edit?gid=0#gid=0</t>
        </is>
      </c>
      <c r="J5" s="67" t="inlineStr">
        <is>
          <t>Taxa de Cancelamento Cobrada Corretamente - [TXCO]</t>
        </is>
      </c>
      <c r="K5" s="67" t="inlineStr"/>
      <c r="L5" s="68" t="b">
        <v>0</v>
      </c>
      <c r="M5" s="20" t="n"/>
      <c r="N5" s="69">
        <f>IF($J5="","",IFERROR(INDEX(B!$F$2:$F$61,MATCH($J5,B!$E$2:$E$61,0))&amp;"",""))</f>
        <v/>
      </c>
      <c r="O5" s="69">
        <f>IF($J5="","",IFERROR(INDEX(B!$G$2:$G$61,MATCH($J5,B!$E$2:$E$61,0))&amp;"",""))</f>
        <v/>
      </c>
      <c r="P5" s="69">
        <f>IF($J5="","",IFERROR(INDEX(B!$H$2:$H$61,MATCH($J5,B!$E$2:$E$61,0))&amp;"",""))</f>
        <v/>
      </c>
      <c r="Q5" s="69">
        <f>IF($J5="","",IFERROR(INDEX(B!$I$2:$I$61,MATCH($J5,B!$E$2:$E$61,0))&amp;"",""))</f>
        <v/>
      </c>
      <c r="R5" s="69">
        <f>IF($J5="","",IFERROR(INDEX(B!$J$2:$J$61,MATCH($J5,B!$E$2:$E$61,0))&amp;"",""))</f>
        <v/>
      </c>
      <c r="S5" s="69">
        <f>IF($J5="","",IFERROR(INDEX(B!$K$2:$K$61,MATCH($J5,B!$E$2:$E$61,0))&amp;"",""))</f>
        <v/>
      </c>
      <c r="T5" s="69">
        <f>IF($J5="","",IFERROR(INDEX(B!$L$2:$L$61,MATCH($J5,B!$E$2:$E$61,0))&amp;"",""))</f>
        <v/>
      </c>
      <c r="U5" s="20" t="n"/>
      <c r="V5" s="70">
        <f>IF($J5="","",IFERROR(INDEX(B!$M$2:$M$61,MATCH($J5,B!$E$2:$E$61,0))&amp;"",""))</f>
        <v/>
      </c>
      <c r="W5" s="71">
        <f>IF(I5="","",IFERROR(MID(I5,FIND("/d/",I5)+3,FIND("/edit",I5)-FIND("/d/",I5)-3),I5))</f>
        <v/>
      </c>
      <c r="X5" s="71">
        <f>IF($J5="","",IFERROR(INDEX(B!$C$2:$C$61,MATCH($J5,B!$E$2:$E$61,0))&amp;"",""))</f>
        <v/>
      </c>
      <c r="Y5" s="20" t="n"/>
      <c r="Z5" s="72">
        <f>IF($J5="",FALSE,ISNUMBER(SEARCH("scout",$K5)))</f>
        <v/>
      </c>
      <c r="AA5" s="72">
        <f>IF($J5="",FALSE,IFERROR(INDEX(B!$N$2:$N$61,MATCH($J5,B!$E$2:$E$61,0))="Sim",FALSE))</f>
        <v/>
      </c>
      <c r="AB5" s="72">
        <f>IF($J5="",FALSE,LEFT($X5,2)="XX")</f>
        <v/>
      </c>
      <c r="AC5" s="72">
        <f>IF($J5="",FALSE,IFERROR(INDEX(B!$P$2:$P$61,MATCH($J5,B!$E$2:$E$61,0))="Sim",FALSE))</f>
        <v/>
      </c>
      <c r="AD5" s="20" t="n"/>
      <c r="AE5" s="52">
        <f>IF(H5="","",HOUR(H5))</f>
        <v/>
      </c>
      <c r="AF5" s="52" t="n"/>
    </row>
    <row r="6" ht="19.5" customHeight="1" s="58">
      <c r="A6" s="62">
        <f>IF(G6="","",IF(G6=G5,"",COUNTIF($G$3:$G$976,G6)))</f>
        <v/>
      </c>
      <c r="B6" s="20" t="n"/>
      <c r="C6" s="63">
        <f>IF(G6="","",DAY(G6))</f>
        <v/>
      </c>
      <c r="D6" s="63">
        <f>IF(G6="","",MONTH(G6))</f>
        <v/>
      </c>
      <c r="E6" s="63">
        <f>IF(G6="","",YEAR(G6))</f>
        <v/>
      </c>
      <c r="F6" s="33">
        <f>IF(G6="","",CHOOSE(MONTH(G6),"Janeiro","Fevereiro","Março","Abril","Maio","Junho","Julho","Agosto","Setembro","Outubro","Novembro","Dezembro"))</f>
        <v/>
      </c>
      <c r="G6" s="64" t="n">
        <v>46054</v>
      </c>
      <c r="H6" s="65" t="n">
        <v>0.01324074074074074</v>
      </c>
      <c r="I6" s="66" t="inlineStr">
        <is>
          <t>https://docs.google.com/spreadsheets/d/1ZiCGoPjLCjuYvujDTXK9Ixbth3tekiLtFBzBrGjPCr4/edit?gid=0#gid=0</t>
        </is>
      </c>
      <c r="J6" s="67" t="inlineStr">
        <is>
          <t>Taxa de Limpeza, Reembolsado ao cliente - [TXLR]</t>
        </is>
      </c>
      <c r="K6" s="67" t="inlineStr"/>
      <c r="L6" s="68" t="b">
        <v>0</v>
      </c>
      <c r="M6" s="20" t="n"/>
      <c r="N6" s="69">
        <f>IF($J6="","",IFERROR(INDEX(B!$F$2:$F$61,MATCH($J6,B!$E$2:$E$61,0))&amp;"",""))</f>
        <v/>
      </c>
      <c r="O6" s="69">
        <f>IF($J6="","",IFERROR(INDEX(B!$G$2:$G$61,MATCH($J6,B!$E$2:$E$61,0))&amp;"",""))</f>
        <v/>
      </c>
      <c r="P6" s="69">
        <f>IF($J6="","",IFERROR(INDEX(B!$H$2:$H$61,MATCH($J6,B!$E$2:$E$61,0))&amp;"",""))</f>
        <v/>
      </c>
      <c r="Q6" s="69">
        <f>IF($J6="","",IFERROR(INDEX(B!$I$2:$I$61,MATCH($J6,B!$E$2:$E$61,0))&amp;"",""))</f>
        <v/>
      </c>
      <c r="R6" s="69">
        <f>IF($J6="","",IFERROR(INDEX(B!$J$2:$J$61,MATCH($J6,B!$E$2:$E$61,0))&amp;"",""))</f>
        <v/>
      </c>
      <c r="S6" s="69">
        <f>IF($J6="","",IFERROR(INDEX(B!$K$2:$K$61,MATCH($J6,B!$E$2:$E$61,0))&amp;"",""))</f>
        <v/>
      </c>
      <c r="T6" s="69">
        <f>IF($J6="","",IFERROR(INDEX(B!$L$2:$L$61,MATCH($J6,B!$E$2:$E$61,0))&amp;"",""))</f>
        <v/>
      </c>
      <c r="U6" s="20" t="n"/>
      <c r="V6" s="70">
        <f>IF($J6="","",IFERROR(INDEX(B!$M$2:$M$61,MATCH($J6,B!$E$2:$E$61,0))&amp;"",""))</f>
        <v/>
      </c>
      <c r="W6" s="71">
        <f>IF(I6="","",IFERROR(MID(I6,FIND("/d/",I6)+3,FIND("/edit",I6)-FIND("/d/",I6)-3),I6))</f>
        <v/>
      </c>
      <c r="X6" s="71">
        <f>IF($J6="","",IFERROR(INDEX(B!$C$2:$C$61,MATCH($J6,B!$E$2:$E$61,0))&amp;"",""))</f>
        <v/>
      </c>
      <c r="Y6" s="20" t="n"/>
      <c r="Z6" s="72">
        <f>IF($J6="",FALSE,ISNUMBER(SEARCH("scout",$K6)))</f>
        <v/>
      </c>
      <c r="AA6" s="72">
        <f>IF($J6="",FALSE,IFERROR(INDEX(B!$N$2:$N$61,MATCH($J6,B!$E$2:$E$61,0))="Sim",FALSE))</f>
        <v/>
      </c>
      <c r="AB6" s="72">
        <f>IF($J6="",FALSE,LEFT($X6,2)="XX")</f>
        <v/>
      </c>
      <c r="AC6" s="72">
        <f>IF($J6="",FALSE,IFERROR(INDEX(B!$P$2:$P$61,MATCH($J6,B!$E$2:$E$61,0))="Sim",FALSE))</f>
        <v/>
      </c>
      <c r="AD6" s="20" t="n"/>
      <c r="AE6" s="52">
        <f>IF(H6="","",HOUR(H6))</f>
        <v/>
      </c>
      <c r="AF6" s="52" t="n"/>
    </row>
    <row r="7" ht="19.5" customHeight="1" s="58">
      <c r="A7" s="62">
        <f>IF(G7="","",IF(G7=G6,"",COUNTIF($G$3:$G$976,G7)))</f>
        <v/>
      </c>
      <c r="B7" s="20" t="n"/>
      <c r="C7" s="63">
        <f>IF(G7="","",DAY(G7))</f>
        <v/>
      </c>
      <c r="D7" s="63">
        <f>IF(G7="","",MONTH(G7))</f>
        <v/>
      </c>
      <c r="E7" s="63">
        <f>IF(G7="","",YEAR(G7))</f>
        <v/>
      </c>
      <c r="F7" s="33">
        <f>IF(G7="","",CHOOSE(MONTH(G7),"Janeiro","Fevereiro","Março","Abril","Maio","Junho","Julho","Agosto","Setembro","Outubro","Novembro","Dezembro"))</f>
        <v/>
      </c>
      <c r="G7" s="64" t="n">
        <v>46054</v>
      </c>
      <c r="H7" s="65" t="n">
        <v>0.03621527777777778</v>
      </c>
      <c r="I7" s="66" t="inlineStr">
        <is>
          <t>https://docs.google.com/spreadsheets/d/1ZiCGoPjLCjuYvujDTXK9Ixbth3tekiLtFBzBrGjPCr4/edit?gid=0#gid=0</t>
        </is>
      </c>
      <c r="J7" s="67" t="inlineStr">
        <is>
          <t>Não houve Taxa de Cancelamento - [NTX]</t>
        </is>
      </c>
      <c r="K7" s="67" t="inlineStr"/>
      <c r="L7" s="68" t="b">
        <v>0</v>
      </c>
      <c r="M7" s="20" t="n"/>
      <c r="N7" s="69">
        <f>IF($J7="","",IFERROR(INDEX(B!$F$2:$F$61,MATCH($J7,B!$E$2:$E$61,0))&amp;"",""))</f>
        <v/>
      </c>
      <c r="O7" s="69">
        <f>IF($J7="","",IFERROR(INDEX(B!$G$2:$G$61,MATCH($J7,B!$E$2:$E$61,0))&amp;"",""))</f>
        <v/>
      </c>
      <c r="P7" s="69">
        <f>IF($J7="","",IFERROR(INDEX(B!$H$2:$H$61,MATCH($J7,B!$E$2:$E$61,0))&amp;"",""))</f>
        <v/>
      </c>
      <c r="Q7" s="69">
        <f>IF($J7="","",IFERROR(INDEX(B!$I$2:$I$61,MATCH($J7,B!$E$2:$E$61,0))&amp;"",""))</f>
        <v/>
      </c>
      <c r="R7" s="69">
        <f>IF($J7="","",IFERROR(INDEX(B!$J$2:$J$61,MATCH($J7,B!$E$2:$E$61,0))&amp;"",""))</f>
        <v/>
      </c>
      <c r="S7" s="69">
        <f>IF($J7="","",IFERROR(INDEX(B!$K$2:$K$61,MATCH($J7,B!$E$2:$E$61,0))&amp;"",""))</f>
        <v/>
      </c>
      <c r="T7" s="69">
        <f>IF($J7="","",IFERROR(INDEX(B!$L$2:$L$61,MATCH($J7,B!$E$2:$E$61,0))&amp;"",""))</f>
        <v/>
      </c>
      <c r="U7" s="20" t="n"/>
      <c r="V7" s="70">
        <f>IF($J7="","",IFERROR(INDEX(B!$M$2:$M$61,MATCH($J7,B!$E$2:$E$61,0))&amp;"",""))</f>
        <v/>
      </c>
      <c r="W7" s="71">
        <f>IF(I7="","",IFERROR(MID(I7,FIND("/d/",I7)+3,FIND("/edit",I7)-FIND("/d/",I7)-3),I7))</f>
        <v/>
      </c>
      <c r="X7" s="71">
        <f>IF($J7="","",IFERROR(INDEX(B!$C$2:$C$61,MATCH($J7,B!$E$2:$E$61,0))&amp;"",""))</f>
        <v/>
      </c>
      <c r="Y7" s="20" t="n"/>
      <c r="Z7" s="72">
        <f>IF($J7="",FALSE,ISNUMBER(SEARCH("scout",$K7)))</f>
        <v/>
      </c>
      <c r="AA7" s="72">
        <f>IF($J7="",FALSE,IFERROR(INDEX(B!$N$2:$N$61,MATCH($J7,B!$E$2:$E$61,0))="Sim",FALSE))</f>
        <v/>
      </c>
      <c r="AB7" s="72">
        <f>IF($J7="",FALSE,LEFT($X7,2)="XX")</f>
        <v/>
      </c>
      <c r="AC7" s="72">
        <f>IF($J7="",FALSE,IFERROR(INDEX(B!$P$2:$P$61,MATCH($J7,B!$E$2:$E$61,0))="Sim",FALSE))</f>
        <v/>
      </c>
      <c r="AD7" s="20" t="n"/>
      <c r="AE7" s="52">
        <f>IF(H7="","",HOUR(H7))</f>
        <v/>
      </c>
      <c r="AF7" s="52" t="n"/>
    </row>
    <row r="8" ht="19.5" customHeight="1" s="58">
      <c r="A8" s="62">
        <f>IF(G8="","",IF(G8=G7,"",COUNTIF($G$3:$G$976,G8)))</f>
        <v/>
      </c>
      <c r="B8" s="20" t="n"/>
      <c r="C8" s="63">
        <f>IF(G8="","",DAY(G8))</f>
        <v/>
      </c>
      <c r="D8" s="63">
        <f>IF(G8="","",MONTH(G8))</f>
        <v/>
      </c>
      <c r="E8" s="63">
        <f>IF(G8="","",YEAR(G8))</f>
        <v/>
      </c>
      <c r="F8" s="33">
        <f>IF(G8="","",CHOOSE(MONTH(G8),"Janeiro","Fevereiro","Março","Abril","Maio","Junho","Julho","Agosto","Setembro","Outubro","Novembro","Dezembro"))</f>
        <v/>
      </c>
      <c r="G8" s="64" t="n">
        <v>46054</v>
      </c>
      <c r="H8" s="65" t="n">
        <v>0.03923611111111111</v>
      </c>
      <c r="I8" s="66" t="inlineStr">
        <is>
          <t>https://docs.google.com/spreadsheets/d/1ZiCGoPjLCjuYvujDTXK9Ixbth3tekiLtFBzBrGjPCr4/edit?gid=0#gid=0</t>
        </is>
      </c>
      <c r="J8" s="67" t="inlineStr">
        <is>
          <t>Overpaid, Excede o limite Com comprovante - [OPEC]</t>
        </is>
      </c>
      <c r="K8" s="67" t="inlineStr"/>
      <c r="L8" s="68" t="b">
        <v>0</v>
      </c>
      <c r="M8" s="20" t="n"/>
      <c r="N8" s="69">
        <f>IF($J8="","",IFERROR(INDEX(B!$F$2:$F$61,MATCH($J8,B!$E$2:$E$61,0))&amp;"",""))</f>
        <v/>
      </c>
      <c r="O8" s="69">
        <f>IF($J8="","",IFERROR(INDEX(B!$G$2:$G$61,MATCH($J8,B!$E$2:$E$61,0))&amp;"",""))</f>
        <v/>
      </c>
      <c r="P8" s="69">
        <f>IF($J8="","",IFERROR(INDEX(B!$H$2:$H$61,MATCH($J8,B!$E$2:$E$61,0))&amp;"",""))</f>
        <v/>
      </c>
      <c r="Q8" s="69">
        <f>IF($J8="","",IFERROR(INDEX(B!$I$2:$I$61,MATCH($J8,B!$E$2:$E$61,0))&amp;"",""))</f>
        <v/>
      </c>
      <c r="R8" s="69">
        <f>IF($J8="","",IFERROR(INDEX(B!$J$2:$J$61,MATCH($J8,B!$E$2:$E$61,0))&amp;"",""))</f>
        <v/>
      </c>
      <c r="S8" s="69">
        <f>IF($J8="","",IFERROR(INDEX(B!$K$2:$K$61,MATCH($J8,B!$E$2:$E$61,0))&amp;"",""))</f>
        <v/>
      </c>
      <c r="T8" s="69">
        <f>IF($J8="","",IFERROR(INDEX(B!$L$2:$L$61,MATCH($J8,B!$E$2:$E$61,0))&amp;"",""))</f>
        <v/>
      </c>
      <c r="U8" s="20" t="n"/>
      <c r="V8" s="70">
        <f>IF($J8="","",IFERROR(INDEX(B!$M$2:$M$61,MATCH($J8,B!$E$2:$E$61,0))&amp;"",""))</f>
        <v/>
      </c>
      <c r="W8" s="71">
        <f>IF(I8="","",IFERROR(MID(I8,FIND("/d/",I8)+3,FIND("/edit",I8)-FIND("/d/",I8)-3),I8))</f>
        <v/>
      </c>
      <c r="X8" s="71">
        <f>IF($J8="","",IFERROR(INDEX(B!$C$2:$C$61,MATCH($J8,B!$E$2:$E$61,0))&amp;"",""))</f>
        <v/>
      </c>
      <c r="Y8" s="20" t="n"/>
      <c r="Z8" s="72">
        <f>IF($J8="",FALSE,ISNUMBER(SEARCH("scout",$K8)))</f>
        <v/>
      </c>
      <c r="AA8" s="72">
        <f>IF($J8="",FALSE,IFERROR(INDEX(B!$N$2:$N$61,MATCH($J8,B!$E$2:$E$61,0))="Sim",FALSE))</f>
        <v/>
      </c>
      <c r="AB8" s="72">
        <f>IF($J8="",FALSE,LEFT($X8,2)="XX")</f>
        <v/>
      </c>
      <c r="AC8" s="72">
        <f>IF($J8="",FALSE,IFERROR(INDEX(B!$P$2:$P$61,MATCH($J8,B!$E$2:$E$61,0))="Sim",FALSE))</f>
        <v/>
      </c>
      <c r="AD8" s="20" t="n"/>
      <c r="AE8" s="52">
        <f>IF(H8="","",HOUR(H8))</f>
        <v/>
      </c>
      <c r="AF8" s="52" t="n"/>
    </row>
    <row r="9" ht="19.5" customHeight="1" s="58">
      <c r="A9" s="62">
        <f>IF(G9="","",IF(G9=G8,"",COUNTIF($G$3:$G$976,G9)))</f>
        <v/>
      </c>
      <c r="B9" s="20" t="n"/>
      <c r="C9" s="63">
        <f>IF(G9="","",DAY(G9))</f>
        <v/>
      </c>
      <c r="D9" s="63">
        <f>IF(G9="","",MONTH(G9))</f>
        <v/>
      </c>
      <c r="E9" s="63">
        <f>IF(G9="","",YEAR(G9))</f>
        <v/>
      </c>
      <c r="F9" s="33">
        <f>IF(G9="","",CHOOSE(MONTH(G9),"Janeiro","Fevereiro","Março","Abril","Maio","Junho","Julho","Agosto","Setembro","Outubro","Novembro","Dezembro"))</f>
        <v/>
      </c>
      <c r="G9" s="64" t="n">
        <v>46054</v>
      </c>
      <c r="H9" s="65" t="n">
        <v>0.04143518518518519</v>
      </c>
      <c r="I9" s="66" t="inlineStr">
        <is>
          <t>https://docs.google.com/spreadsheets/d/1ZiCGoPjLCjuYvujDTXK9Ixbth3tekiLtFBzBrGjPCr4/edit?gid=0#gid=0</t>
        </is>
      </c>
      <c r="J9" s="67" t="inlineStr">
        <is>
          <t>Transferência de LOB (Geral não especificado) - [TI]</t>
        </is>
      </c>
      <c r="K9" s="67" t="inlineStr"/>
      <c r="L9" s="68" t="b">
        <v>0</v>
      </c>
      <c r="M9" s="20" t="n"/>
      <c r="N9" s="69">
        <f>IF($J9="","",IFERROR(INDEX(B!$F$2:$F$61,MATCH($J9,B!$E$2:$E$61,0))&amp;"",""))</f>
        <v/>
      </c>
      <c r="O9" s="69">
        <f>IF($J9="","",IFERROR(INDEX(B!$G$2:$G$61,MATCH($J9,B!$E$2:$E$61,0))&amp;"",""))</f>
        <v/>
      </c>
      <c r="P9" s="69">
        <f>IF($J9="","",IFERROR(INDEX(B!$H$2:$H$61,MATCH($J9,B!$E$2:$E$61,0))&amp;"",""))</f>
        <v/>
      </c>
      <c r="Q9" s="69">
        <f>IF($J9="","",IFERROR(INDEX(B!$I$2:$I$61,MATCH($J9,B!$E$2:$E$61,0))&amp;"",""))</f>
        <v/>
      </c>
      <c r="R9" s="69">
        <f>IF($J9="","",IFERROR(INDEX(B!$J$2:$J$61,MATCH($J9,B!$E$2:$E$61,0))&amp;"",""))</f>
        <v/>
      </c>
      <c r="S9" s="69">
        <f>IF($J9="","",IFERROR(INDEX(B!$K$2:$K$61,MATCH($J9,B!$E$2:$E$61,0))&amp;"",""))</f>
        <v/>
      </c>
      <c r="T9" s="69">
        <f>IF($J9="","",IFERROR(INDEX(B!$L$2:$L$61,MATCH($J9,B!$E$2:$E$61,0))&amp;"",""))</f>
        <v/>
      </c>
      <c r="U9" s="20" t="n"/>
      <c r="V9" s="70">
        <f>IF($J9="","",IFERROR(INDEX(B!$M$2:$M$61,MATCH($J9,B!$E$2:$E$61,0))&amp;"",""))</f>
        <v/>
      </c>
      <c r="W9" s="71">
        <f>IF(I9="","",IFERROR(MID(I9,FIND("/d/",I9)+3,FIND("/edit",I9)-FIND("/d/",I9)-3),I9))</f>
        <v/>
      </c>
      <c r="X9" s="71">
        <f>IF($J9="","",IFERROR(INDEX(B!$C$2:$C$61,MATCH($J9,B!$E$2:$E$61,0))&amp;"",""))</f>
        <v/>
      </c>
      <c r="Y9" s="20" t="n"/>
      <c r="Z9" s="72">
        <f>IF($J9="",FALSE,ISNUMBER(SEARCH("scout",$K9)))</f>
        <v/>
      </c>
      <c r="AA9" s="72">
        <f>IF($J9="",FALSE,IFERROR(INDEX(B!$N$2:$N$61,MATCH($J9,B!$E$2:$E$61,0))="Sim",FALSE))</f>
        <v/>
      </c>
      <c r="AB9" s="72">
        <f>IF($J9="",FALSE,LEFT($X9,2)="XX")</f>
        <v/>
      </c>
      <c r="AC9" s="72">
        <f>IF($J9="",FALSE,IFERROR(INDEX(B!$P$2:$P$61,MATCH($J9,B!$E$2:$E$61,0))="Sim",FALSE))</f>
        <v/>
      </c>
      <c r="AD9" s="20" t="n"/>
      <c r="AE9" s="52">
        <f>IF(H9="","",HOUR(H9))</f>
        <v/>
      </c>
      <c r="AF9" s="52" t="n"/>
    </row>
    <row r="10" ht="19.5" customHeight="1" s="58">
      <c r="A10" s="62">
        <f>IF(G10="","",IF(G10=G9,"",COUNTIF($G$3:$G$976,G10)))</f>
        <v/>
      </c>
      <c r="B10" s="20" t="n"/>
      <c r="C10" s="63">
        <f>IF(G10="","",DAY(G10))</f>
        <v/>
      </c>
      <c r="D10" s="63">
        <f>IF(G10="","",MONTH(G10))</f>
        <v/>
      </c>
      <c r="E10" s="63">
        <f>IF(G10="","",YEAR(G10))</f>
        <v/>
      </c>
      <c r="F10" s="33">
        <f>IF(G10="","",CHOOSE(MONTH(G10),"Janeiro","Fevereiro","Março","Abril","Maio","Junho","Julho","Agosto","Setembro","Outubro","Novembro","Dezembro"))</f>
        <v/>
      </c>
      <c r="G10" s="64" t="n">
        <v>46054</v>
      </c>
      <c r="H10" s="65" t="n">
        <v>0.05180555555555556</v>
      </c>
      <c r="I10" s="66" t="inlineStr">
        <is>
          <t>https://docs.google.com/spreadsheets/d/1ZiCGoPjLCjuYvujDTXK9Ixbth3tekiLtFBzBrGjPCr4/edit?gid=0#gid=0</t>
        </is>
      </c>
      <c r="J10" s="67" t="inlineStr">
        <is>
          <t>Overpaid, Excede o limite, Sem comprovante - [OPEN]</t>
        </is>
      </c>
      <c r="K10" s="67" t="inlineStr"/>
      <c r="L10" s="68" t="b">
        <v>0</v>
      </c>
      <c r="M10" s="20" t="n"/>
      <c r="N10" s="69">
        <f>IF($J10="","",IFERROR(INDEX(B!$F$2:$F$61,MATCH($J10,B!$E$2:$E$61,0))&amp;"",""))</f>
        <v/>
      </c>
      <c r="O10" s="69">
        <f>IF($J10="","",IFERROR(INDEX(B!$G$2:$G$61,MATCH($J10,B!$E$2:$E$61,0))&amp;"",""))</f>
        <v/>
      </c>
      <c r="P10" s="69">
        <f>IF($J10="","",IFERROR(INDEX(B!$H$2:$H$61,MATCH($J10,B!$E$2:$E$61,0))&amp;"",""))</f>
        <v/>
      </c>
      <c r="Q10" s="69">
        <f>IF($J10="","",IFERROR(INDEX(B!$I$2:$I$61,MATCH($J10,B!$E$2:$E$61,0))&amp;"",""))</f>
        <v/>
      </c>
      <c r="R10" s="69">
        <f>IF($J10="","",IFERROR(INDEX(B!$J$2:$J$61,MATCH($J10,B!$E$2:$E$61,0))&amp;"",""))</f>
        <v/>
      </c>
      <c r="S10" s="69">
        <f>IF($J10="","",IFERROR(INDEX(B!$K$2:$K$61,MATCH($J10,B!$E$2:$E$61,0))&amp;"",""))</f>
        <v/>
      </c>
      <c r="T10" s="69">
        <f>IF($J10="","",IFERROR(INDEX(B!$L$2:$L$61,MATCH($J10,B!$E$2:$E$61,0))&amp;"",""))</f>
        <v/>
      </c>
      <c r="U10" s="20" t="n"/>
      <c r="V10" s="70">
        <f>IF($J10="","",IFERROR(INDEX(B!$M$2:$M$61,MATCH($J10,B!$E$2:$E$61,0))&amp;"",""))</f>
        <v/>
      </c>
      <c r="W10" s="71">
        <f>IF(I10="","",IFERROR(MID(I10,FIND("/d/",I10)+3,FIND("/edit",I10)-FIND("/d/",I10)-3),I10))</f>
        <v/>
      </c>
      <c r="X10" s="71">
        <f>IF($J10="","",IFERROR(INDEX(B!$C$2:$C$61,MATCH($J10,B!$E$2:$E$61,0))&amp;"",""))</f>
        <v/>
      </c>
      <c r="Y10" s="20" t="n"/>
      <c r="Z10" s="72">
        <f>IF($J10="",FALSE,ISNUMBER(SEARCH("scout",$K10)))</f>
        <v/>
      </c>
      <c r="AA10" s="72">
        <f>IF($J10="",FALSE,IFERROR(INDEX(B!$N$2:$N$61,MATCH($J10,B!$E$2:$E$61,0))="Sim",FALSE))</f>
        <v/>
      </c>
      <c r="AB10" s="72">
        <f>IF($J10="",FALSE,LEFT($X10,2)="XX")</f>
        <v/>
      </c>
      <c r="AC10" s="72">
        <f>IF($J10="",FALSE,IFERROR(INDEX(B!$P$2:$P$61,MATCH($J10,B!$E$2:$E$61,0))="Sim",FALSE))</f>
        <v/>
      </c>
      <c r="AD10" s="20" t="n"/>
      <c r="AE10" s="52">
        <f>IF(H10="","",HOUR(H10))</f>
        <v/>
      </c>
      <c r="AF10" s="52" t="n"/>
    </row>
    <row r="11" ht="19.5" customHeight="1" s="58">
      <c r="A11" s="62">
        <f>IF(G11="","",IF(G11=G10,"",COUNTIF($G$3:$G$976,G11)))</f>
        <v/>
      </c>
      <c r="B11" s="20" t="n"/>
      <c r="C11" s="63">
        <f>IF(G11="","",DAY(G11))</f>
        <v/>
      </c>
      <c r="D11" s="63">
        <f>IF(G11="","",MONTH(G11))</f>
        <v/>
      </c>
      <c r="E11" s="63">
        <f>IF(G11="","",YEAR(G11))</f>
        <v/>
      </c>
      <c r="F11" s="33">
        <f>IF(G11="","",CHOOSE(MONTH(G11),"Janeiro","Fevereiro","Março","Abril","Maio","Junho","Julho","Agosto","Setembro","Outubro","Novembro","Dezembro"))</f>
        <v/>
      </c>
      <c r="G11" s="64" t="n">
        <v>46054</v>
      </c>
      <c r="H11" s="65" t="n">
        <v>0.05273148148148148</v>
      </c>
      <c r="I11" s="66" t="inlineStr">
        <is>
          <t>https://docs.google.com/spreadsheets/d/1ZiCGoPjLCjuYvujDTXK9Ixbth3tekiLtFBzBrGjPCr4/edit?gid=0#gid=0</t>
        </is>
      </c>
      <c r="J11" s="67" t="inlineStr">
        <is>
          <t>Transferência de LOB (Driver) - [TIDV]</t>
        </is>
      </c>
      <c r="K11" s="67" t="inlineStr"/>
      <c r="L11" s="68" t="b">
        <v>0</v>
      </c>
      <c r="M11" s="20" t="n"/>
      <c r="N11" s="69">
        <f>IF($J11="","",IFERROR(INDEX(B!$F$2:$F$61,MATCH($J11,B!$E$2:$E$61,0))&amp;"",""))</f>
        <v/>
      </c>
      <c r="O11" s="69">
        <f>IF($J11="","",IFERROR(INDEX(B!$G$2:$G$61,MATCH($J11,B!$E$2:$E$61,0))&amp;"",""))</f>
        <v/>
      </c>
      <c r="P11" s="69">
        <f>IF($J11="","",IFERROR(INDEX(B!$H$2:$H$61,MATCH($J11,B!$E$2:$E$61,0))&amp;"",""))</f>
        <v/>
      </c>
      <c r="Q11" s="69">
        <f>IF($J11="","",IFERROR(INDEX(B!$I$2:$I$61,MATCH($J11,B!$E$2:$E$61,0))&amp;"",""))</f>
        <v/>
      </c>
      <c r="R11" s="69">
        <f>IF($J11="","",IFERROR(INDEX(B!$J$2:$J$61,MATCH($J11,B!$E$2:$E$61,0))&amp;"",""))</f>
        <v/>
      </c>
      <c r="S11" s="69">
        <f>IF($J11="","",IFERROR(INDEX(B!$K$2:$K$61,MATCH($J11,B!$E$2:$E$61,0))&amp;"",""))</f>
        <v/>
      </c>
      <c r="T11" s="69">
        <f>IF($J11="","",IFERROR(INDEX(B!$L$2:$L$61,MATCH($J11,B!$E$2:$E$61,0))&amp;"",""))</f>
        <v/>
      </c>
      <c r="U11" s="20" t="n"/>
      <c r="V11" s="70">
        <f>IF($J11="","",IFERROR(INDEX(B!$M$2:$M$61,MATCH($J11,B!$E$2:$E$61,0))&amp;"",""))</f>
        <v/>
      </c>
      <c r="W11" s="71">
        <f>IF(I11="","",IFERROR(MID(I11,FIND("/d/",I11)+3,FIND("/edit",I11)-FIND("/d/",I11)-3),I11))</f>
        <v/>
      </c>
      <c r="X11" s="71">
        <f>IF($J11="","",IFERROR(INDEX(B!$C$2:$C$61,MATCH($J11,B!$E$2:$E$61,0))&amp;"",""))</f>
        <v/>
      </c>
      <c r="Y11" s="20" t="n"/>
      <c r="Z11" s="72">
        <f>IF($J11="",FALSE,ISNUMBER(SEARCH("scout",$K11)))</f>
        <v/>
      </c>
      <c r="AA11" s="72">
        <f>IF($J11="",FALSE,IFERROR(INDEX(B!$N$2:$N$61,MATCH($J11,B!$E$2:$E$61,0))="Sim",FALSE))</f>
        <v/>
      </c>
      <c r="AB11" s="72">
        <f>IF($J11="",FALSE,LEFT($X11,2)="XX")</f>
        <v/>
      </c>
      <c r="AC11" s="72">
        <f>IF($J11="",FALSE,IFERROR(INDEX(B!$P$2:$P$61,MATCH($J11,B!$E$2:$E$61,0))="Sim",FALSE))</f>
        <v/>
      </c>
      <c r="AD11" s="20" t="n"/>
      <c r="AE11" s="52">
        <f>IF(H11="","",HOUR(H11))</f>
        <v/>
      </c>
      <c r="AF11" s="52" t="n"/>
    </row>
    <row r="12" ht="19.5" customHeight="1" s="58">
      <c r="A12" s="62">
        <f>IF(G12="","",IF(G12=G11,"",COUNTIF($G$3:$G$976,G12)))</f>
        <v/>
      </c>
      <c r="B12" s="20" t="n"/>
      <c r="C12" s="63">
        <f>IF(G12="","",DAY(G12))</f>
        <v/>
      </c>
      <c r="D12" s="63">
        <f>IF(G12="","",MONTH(G12))</f>
        <v/>
      </c>
      <c r="E12" s="63">
        <f>IF(G12="","",YEAR(G12))</f>
        <v/>
      </c>
      <c r="F12" s="33">
        <f>IF(G12="","",CHOOSE(MONTH(G12),"Janeiro","Fevereiro","Março","Abril","Maio","Junho","Julho","Agosto","Setembro","Outubro","Novembro","Dezembro"))</f>
        <v/>
      </c>
      <c r="G12" s="64" t="n">
        <v>46054</v>
      </c>
      <c r="H12" s="65" t="n">
        <v>0.05458333333333333</v>
      </c>
      <c r="I12" s="66" t="inlineStr">
        <is>
          <t>https://docs.google.com/spreadsheets/d/1ZiCGoPjLCjuYvujDTXK9Ixbth3tekiLtFBzBrGjPCr4/edit?gid=0#gid=0</t>
        </is>
      </c>
      <c r="J12" s="67" t="inlineStr">
        <is>
          <t>Pushback - [XX]</t>
        </is>
      </c>
      <c r="K12" s="67" t="inlineStr">
        <is>
          <t>Scout</t>
        </is>
      </c>
      <c r="L12" s="68" t="b">
        <v>0</v>
      </c>
      <c r="M12" s="20" t="n"/>
      <c r="N12" s="69">
        <f>IF($J12="","",IFERROR(INDEX(B!$F$2:$F$61,MATCH($J12,B!$E$2:$E$61,0))&amp;"",""))</f>
        <v/>
      </c>
      <c r="O12" s="69">
        <f>IF($J12="","",IFERROR(INDEX(B!$G$2:$G$61,MATCH($J12,B!$E$2:$E$61,0))&amp;"",""))</f>
        <v/>
      </c>
      <c r="P12" s="69">
        <f>IF($J12="","",IFERROR(INDEX(B!$H$2:$H$61,MATCH($J12,B!$E$2:$E$61,0))&amp;"",""))</f>
        <v/>
      </c>
      <c r="Q12" s="69">
        <f>IF($J12="","",IFERROR(INDEX(B!$I$2:$I$61,MATCH($J12,B!$E$2:$E$61,0))&amp;"",""))</f>
        <v/>
      </c>
      <c r="R12" s="69">
        <f>IF($J12="","",IFERROR(INDEX(B!$J$2:$J$61,MATCH($J12,B!$E$2:$E$61,0))&amp;"",""))</f>
        <v/>
      </c>
      <c r="S12" s="69">
        <f>IF($J12="","",IFERROR(INDEX(B!$K$2:$K$61,MATCH($J12,B!$E$2:$E$61,0))&amp;"",""))</f>
        <v/>
      </c>
      <c r="T12" s="69">
        <f>IF($J12="","",IFERROR(INDEX(B!$L$2:$L$61,MATCH($J12,B!$E$2:$E$61,0))&amp;"",""))</f>
        <v/>
      </c>
      <c r="U12" s="20" t="n"/>
      <c r="V12" s="70">
        <f>IF($J12="","",IFERROR(INDEX(B!$M$2:$M$61,MATCH($J12,B!$E$2:$E$61,0))&amp;"",""))</f>
        <v/>
      </c>
      <c r="W12" s="71">
        <f>IF(I12="","",IFERROR(MID(I12,FIND("/d/",I12)+3,FIND("/edit",I12)-FIND("/d/",I12)-3),I12))</f>
        <v/>
      </c>
      <c r="X12" s="71">
        <f>IF($J12="","",IFERROR(INDEX(B!$C$2:$C$61,MATCH($J12,B!$E$2:$E$61,0))&amp;"",""))</f>
        <v/>
      </c>
      <c r="Y12" s="20" t="n"/>
      <c r="Z12" s="72">
        <f>IF($J12="",FALSE,ISNUMBER(SEARCH("scout",$K12)))</f>
        <v/>
      </c>
      <c r="AA12" s="72">
        <f>IF($J12="",FALSE,IFERROR(INDEX(B!$N$2:$N$61,MATCH($J12,B!$E$2:$E$61,0))="Sim",FALSE))</f>
        <v/>
      </c>
      <c r="AB12" s="72">
        <f>IF($J12="",FALSE,LEFT($X12,2)="XX")</f>
        <v/>
      </c>
      <c r="AC12" s="72">
        <f>IF($J12="",FALSE,IFERROR(INDEX(B!$P$2:$P$61,MATCH($J12,B!$E$2:$E$61,0))="Sim",FALSE))</f>
        <v/>
      </c>
      <c r="AD12" s="20" t="n"/>
      <c r="AE12" s="52">
        <f>IF(H12="","",HOUR(H12))</f>
        <v/>
      </c>
      <c r="AF12" s="52" t="n"/>
    </row>
    <row r="13" ht="19.5" customHeight="1" s="58">
      <c r="A13" s="62">
        <f>IF(G13="","",IF(G13=G12,"",COUNTIF($G$3:$G$976,G13)))</f>
        <v/>
      </c>
      <c r="B13" s="20" t="n"/>
      <c r="C13" s="63">
        <f>IF(G13="","",DAY(G13))</f>
        <v/>
      </c>
      <c r="D13" s="63">
        <f>IF(G13="","",MONTH(G13))</f>
        <v/>
      </c>
      <c r="E13" s="63">
        <f>IF(G13="","",YEAR(G13))</f>
        <v/>
      </c>
      <c r="F13" s="33">
        <f>IF(G13="","",CHOOSE(MONTH(G13),"Janeiro","Fevereiro","Março","Abril","Maio","Junho","Julho","Agosto","Setembro","Outubro","Novembro","Dezembro"))</f>
        <v/>
      </c>
      <c r="G13" s="64" t="n">
        <v>46054</v>
      </c>
      <c r="H13" s="65" t="n">
        <v>0.06048611111111111</v>
      </c>
      <c r="I13" s="66" t="inlineStr">
        <is>
          <t>https://docs.google.com/spreadsheets/d/1ZiCGoPjLCjuYvujDTXK9Ixbth3tekiLtFBzBrGjPCr4/edit?gid=0#gid=0</t>
        </is>
      </c>
      <c r="J13" s="67" t="inlineStr">
        <is>
          <t>Trajeto Ruim - [TR]</t>
        </is>
      </c>
      <c r="K13" s="67" t="inlineStr"/>
      <c r="L13" s="68" t="b">
        <v>0</v>
      </c>
      <c r="M13" s="20" t="n"/>
      <c r="N13" s="69">
        <f>IF($J13="","",IFERROR(INDEX(B!$F$2:$F$61,MATCH($J13,B!$E$2:$E$61,0))&amp;"",""))</f>
        <v/>
      </c>
      <c r="O13" s="69">
        <f>IF($J13="","",IFERROR(INDEX(B!$G$2:$G$61,MATCH($J13,B!$E$2:$E$61,0))&amp;"",""))</f>
        <v/>
      </c>
      <c r="P13" s="69">
        <f>IF($J13="","",IFERROR(INDEX(B!$H$2:$H$61,MATCH($J13,B!$E$2:$E$61,0))&amp;"",""))</f>
        <v/>
      </c>
      <c r="Q13" s="69">
        <f>IF($J13="","",IFERROR(INDEX(B!$I$2:$I$61,MATCH($J13,B!$E$2:$E$61,0))&amp;"",""))</f>
        <v/>
      </c>
      <c r="R13" s="69">
        <f>IF($J13="","",IFERROR(INDEX(B!$J$2:$J$61,MATCH($J13,B!$E$2:$E$61,0))&amp;"",""))</f>
        <v/>
      </c>
      <c r="S13" s="69">
        <f>IF($J13="","",IFERROR(INDEX(B!$K$2:$K$61,MATCH($J13,B!$E$2:$E$61,0))&amp;"",""))</f>
        <v/>
      </c>
      <c r="T13" s="69">
        <f>IF($J13="","",IFERROR(INDEX(B!$L$2:$L$61,MATCH($J13,B!$E$2:$E$61,0))&amp;"",""))</f>
        <v/>
      </c>
      <c r="U13" s="20" t="n"/>
      <c r="V13" s="70">
        <f>IF($J13="","",IFERROR(INDEX(B!$M$2:$M$61,MATCH($J13,B!$E$2:$E$61,0))&amp;"",""))</f>
        <v/>
      </c>
      <c r="W13" s="71">
        <f>IF(I13="","",IFERROR(MID(I13,FIND("/d/",I13)+3,FIND("/edit",I13)-FIND("/d/",I13)-3),I13))</f>
        <v/>
      </c>
      <c r="X13" s="71">
        <f>IF($J13="","",IFERROR(INDEX(B!$C$2:$C$61,MATCH($J13,B!$E$2:$E$61,0))&amp;"",""))</f>
        <v/>
      </c>
      <c r="Y13" s="20" t="n"/>
      <c r="Z13" s="72">
        <f>IF($J13="",FALSE,ISNUMBER(SEARCH("scout",$K13)))</f>
        <v/>
      </c>
      <c r="AA13" s="72">
        <f>IF($J13="",FALSE,IFERROR(INDEX(B!$N$2:$N$61,MATCH($J13,B!$E$2:$E$61,0))="Sim",FALSE))</f>
        <v/>
      </c>
      <c r="AB13" s="72">
        <f>IF($J13="",FALSE,LEFT($X13,2)="XX")</f>
        <v/>
      </c>
      <c r="AC13" s="72">
        <f>IF($J13="",FALSE,IFERROR(INDEX(B!$P$2:$P$61,MATCH($J13,B!$E$2:$E$61,0))="Sim",FALSE))</f>
        <v/>
      </c>
      <c r="AD13" s="20" t="n"/>
      <c r="AE13" s="52">
        <f>IF(H13="","",HOUR(H13))</f>
        <v/>
      </c>
      <c r="AF13" s="52" t="n"/>
    </row>
    <row r="14" ht="19.5" customHeight="1" s="58">
      <c r="A14" s="62">
        <f>IF(G14="","",IF(G14=G13,"",COUNTIF($G$3:$G$976,G14)))</f>
        <v/>
      </c>
      <c r="B14" s="20" t="n"/>
      <c r="C14" s="63">
        <f>IF(G14="","",DAY(G14))</f>
        <v/>
      </c>
      <c r="D14" s="63">
        <f>IF(G14="","",MONTH(G14))</f>
        <v/>
      </c>
      <c r="E14" s="63">
        <f>IF(G14="","",YEAR(G14))</f>
        <v/>
      </c>
      <c r="F14" s="33">
        <f>IF(G14="","",CHOOSE(MONTH(G14),"Janeiro","Fevereiro","Março","Abril","Maio","Junho","Julho","Agosto","Setembro","Outubro","Novembro","Dezembro"))</f>
        <v/>
      </c>
      <c r="G14" s="64" t="n">
        <v>46054</v>
      </c>
      <c r="H14" s="65" t="n">
        <v>0.06082175925925926</v>
      </c>
      <c r="I14" s="66" t="inlineStr">
        <is>
          <t>https://docs.google.com/spreadsheets/d/1ZiCGoPjLCjuYvujDTXK9Ixbth3tekiLtFBzBrGjPCr4/edit?gid=0#gid=0</t>
        </is>
      </c>
      <c r="J14" s="67" t="inlineStr">
        <is>
          <t>Taxa de Limpeza - [TXL]</t>
        </is>
      </c>
      <c r="K14" s="67" t="inlineStr">
        <is>
          <t>Scout</t>
        </is>
      </c>
      <c r="L14" s="68" t="b">
        <v>0</v>
      </c>
      <c r="M14" s="20" t="n"/>
      <c r="N14" s="69">
        <f>IF($J14="","",IFERROR(INDEX(B!$F$2:$F$61,MATCH($J14,B!$E$2:$E$61,0))&amp;"",""))</f>
        <v/>
      </c>
      <c r="O14" s="69">
        <f>IF($J14="","",IFERROR(INDEX(B!$G$2:$G$61,MATCH($J14,B!$E$2:$E$61,0))&amp;"",""))</f>
        <v/>
      </c>
      <c r="P14" s="69">
        <f>IF($J14="","",IFERROR(INDEX(B!$H$2:$H$61,MATCH($J14,B!$E$2:$E$61,0))&amp;"",""))</f>
        <v/>
      </c>
      <c r="Q14" s="69">
        <f>IF($J14="","",IFERROR(INDEX(B!$I$2:$I$61,MATCH($J14,B!$E$2:$E$61,0))&amp;"",""))</f>
        <v/>
      </c>
      <c r="R14" s="69">
        <f>IF($J14="","",IFERROR(INDEX(B!$J$2:$J$61,MATCH($J14,B!$E$2:$E$61,0))&amp;"",""))</f>
        <v/>
      </c>
      <c r="S14" s="69">
        <f>IF($J14="","",IFERROR(INDEX(B!$K$2:$K$61,MATCH($J14,B!$E$2:$E$61,0))&amp;"",""))</f>
        <v/>
      </c>
      <c r="T14" s="69">
        <f>IF($J14="","",IFERROR(INDEX(B!$L$2:$L$61,MATCH($J14,B!$E$2:$E$61,0))&amp;"",""))</f>
        <v/>
      </c>
      <c r="U14" s="20" t="n"/>
      <c r="V14" s="70">
        <f>IF($J14="","",IFERROR(INDEX(B!$M$2:$M$61,MATCH($J14,B!$E$2:$E$61,0))&amp;"",""))</f>
        <v/>
      </c>
      <c r="W14" s="71">
        <f>IF(I14="","",IFERROR(MID(I14,FIND("/d/",I14)+3,FIND("/edit",I14)-FIND("/d/",I14)-3),I14))</f>
        <v/>
      </c>
      <c r="X14" s="71">
        <f>IF($J14="","",IFERROR(INDEX(B!$C$2:$C$61,MATCH($J14,B!$E$2:$E$61,0))&amp;"",""))</f>
        <v/>
      </c>
      <c r="Y14" s="20" t="n"/>
      <c r="Z14" s="72">
        <f>IF($J14="",FALSE,ISNUMBER(SEARCH("scout",$K14)))</f>
        <v/>
      </c>
      <c r="AA14" s="72">
        <f>IF($J14="",FALSE,IFERROR(INDEX(B!$N$2:$N$61,MATCH($J14,B!$E$2:$E$61,0))="Sim",FALSE))</f>
        <v/>
      </c>
      <c r="AB14" s="72">
        <f>IF($J14="",FALSE,LEFT($X14,2)="XX")</f>
        <v/>
      </c>
      <c r="AC14" s="72">
        <f>IF($J14="",FALSE,IFERROR(INDEX(B!$P$2:$P$61,MATCH($J14,B!$E$2:$E$61,0))="Sim",FALSE))</f>
        <v/>
      </c>
      <c r="AD14" s="20" t="n"/>
      <c r="AE14" s="52">
        <f>IF(H14="","",HOUR(H14))</f>
        <v/>
      </c>
      <c r="AF14" s="52" t="n"/>
    </row>
    <row r="15" ht="19.5" customHeight="1" s="58">
      <c r="A15" s="62">
        <f>IF(G15="","",IF(G15=G14,"",COUNTIF($G$3:$G$976,G15)))</f>
        <v/>
      </c>
      <c r="B15" s="20" t="n"/>
      <c r="C15" s="63">
        <f>IF(G15="","",DAY(G15))</f>
        <v/>
      </c>
      <c r="D15" s="63">
        <f>IF(G15="","",MONTH(G15))</f>
        <v/>
      </c>
      <c r="E15" s="63">
        <f>IF(G15="","",YEAR(G15))</f>
        <v/>
      </c>
      <c r="F15" s="33">
        <f>IF(G15="","",CHOOSE(MONTH(G15),"Janeiro","Fevereiro","Março","Abril","Maio","Junho","Julho","Agosto","Setembro","Outubro","Novembro","Dezembro"))</f>
        <v/>
      </c>
      <c r="G15" s="64" t="n">
        <v>46054</v>
      </c>
      <c r="H15" s="65" t="n">
        <v>0.06479166666666666</v>
      </c>
      <c r="I15" s="66" t="inlineStr">
        <is>
          <t>https://docs.google.com/spreadsheets/d/1ZiCGoPjLCjuYvujDTXK9Ixbth3tekiLtFBzBrGjPCr4/edit?gid=0#gid=0</t>
        </is>
      </c>
      <c r="J15" s="67" t="inlineStr">
        <is>
          <t>Pushback - [XX]</t>
        </is>
      </c>
      <c r="K15" s="67" t="inlineStr">
        <is>
          <t>Scout</t>
        </is>
      </c>
      <c r="L15" s="68" t="b">
        <v>0</v>
      </c>
      <c r="M15" s="20" t="n"/>
      <c r="N15" s="69">
        <f>IF($J15="","",IFERROR(INDEX(B!$F$2:$F$61,MATCH($J15,B!$E$2:$E$61,0))&amp;"",""))</f>
        <v/>
      </c>
      <c r="O15" s="69">
        <f>IF($J15="","",IFERROR(INDEX(B!$G$2:$G$61,MATCH($J15,B!$E$2:$E$61,0))&amp;"",""))</f>
        <v/>
      </c>
      <c r="P15" s="69">
        <f>IF($J15="","",IFERROR(INDEX(B!$H$2:$H$61,MATCH($J15,B!$E$2:$E$61,0))&amp;"",""))</f>
        <v/>
      </c>
      <c r="Q15" s="69">
        <f>IF($J15="","",IFERROR(INDEX(B!$I$2:$I$61,MATCH($J15,B!$E$2:$E$61,0))&amp;"",""))</f>
        <v/>
      </c>
      <c r="R15" s="69">
        <f>IF($J15="","",IFERROR(INDEX(B!$J$2:$J$61,MATCH($J15,B!$E$2:$E$61,0))&amp;"",""))</f>
        <v/>
      </c>
      <c r="S15" s="69">
        <f>IF($J15="","",IFERROR(INDEX(B!$K$2:$K$61,MATCH($J15,B!$E$2:$E$61,0))&amp;"",""))</f>
        <v/>
      </c>
      <c r="T15" s="69">
        <f>IF($J15="","",IFERROR(INDEX(B!$L$2:$L$61,MATCH($J15,B!$E$2:$E$61,0))&amp;"",""))</f>
        <v/>
      </c>
      <c r="U15" s="20" t="n"/>
      <c r="V15" s="70">
        <f>IF($J15="","",IFERROR(INDEX(B!$M$2:$M$61,MATCH($J15,B!$E$2:$E$61,0))&amp;"",""))</f>
        <v/>
      </c>
      <c r="W15" s="71">
        <f>IF(I15="","",IFERROR(MID(I15,FIND("/d/",I15)+3,FIND("/edit",I15)-FIND("/d/",I15)-3),I15))</f>
        <v/>
      </c>
      <c r="X15" s="71">
        <f>IF($J15="","",IFERROR(INDEX(B!$C$2:$C$61,MATCH($J15,B!$E$2:$E$61,0))&amp;"",""))</f>
        <v/>
      </c>
      <c r="Y15" s="20" t="n"/>
      <c r="Z15" s="72">
        <f>IF($J15="",FALSE,ISNUMBER(SEARCH("scout",$K15)))</f>
        <v/>
      </c>
      <c r="AA15" s="72">
        <f>IF($J15="",FALSE,IFERROR(INDEX(B!$N$2:$N$61,MATCH($J15,B!$E$2:$E$61,0))="Sim",FALSE))</f>
        <v/>
      </c>
      <c r="AB15" s="72">
        <f>IF($J15="",FALSE,LEFT($X15,2)="XX")</f>
        <v/>
      </c>
      <c r="AC15" s="72">
        <f>IF($J15="",FALSE,IFERROR(INDEX(B!$P$2:$P$61,MATCH($J15,B!$E$2:$E$61,0))="Sim",FALSE))</f>
        <v/>
      </c>
      <c r="AD15" s="20" t="n"/>
      <c r="AE15" s="52">
        <f>IF(H15="","",HOUR(H15))</f>
        <v/>
      </c>
      <c r="AF15" s="52" t="n"/>
    </row>
    <row r="16" ht="19.5" customHeight="1" s="58">
      <c r="A16" s="62">
        <f>IF(G16="","",IF(G16=G15,"",COUNTIF($G$3:$G$976,G16)))</f>
        <v/>
      </c>
      <c r="B16" s="20" t="n"/>
      <c r="C16" s="63">
        <f>IF(G16="","",DAY(G16))</f>
        <v/>
      </c>
      <c r="D16" s="63">
        <f>IF(G16="","",MONTH(G16))</f>
        <v/>
      </c>
      <c r="E16" s="63">
        <f>IF(G16="","",YEAR(G16))</f>
        <v/>
      </c>
      <c r="F16" s="33">
        <f>IF(G16="","",CHOOSE(MONTH(G16),"Janeiro","Fevereiro","Março","Abril","Maio","Junho","Julho","Agosto","Setembro","Outubro","Novembro","Dezembro"))</f>
        <v/>
      </c>
      <c r="G16" s="64" t="n">
        <v>46054</v>
      </c>
      <c r="H16" s="65" t="n">
        <v>0.06824074074074074</v>
      </c>
      <c r="I16" s="66" t="inlineStr">
        <is>
          <t>https://docs.google.com/spreadsheets/d/1ZiCGoPjLCjuYvujDTXK9Ixbth3tekiLtFBzBrGjPCr4/edit?gid=0#gid=0</t>
        </is>
      </c>
      <c r="J16" s="67" t="inlineStr">
        <is>
          <t>Pushback - [XX]</t>
        </is>
      </c>
      <c r="K16" s="67" t="inlineStr"/>
      <c r="L16" s="68" t="b">
        <v>0</v>
      </c>
      <c r="M16" s="20" t="n"/>
      <c r="N16" s="69">
        <f>IF($J16="","",IFERROR(INDEX(B!$F$2:$F$61,MATCH($J16,B!$E$2:$E$61,0))&amp;"",""))</f>
        <v/>
      </c>
      <c r="O16" s="69">
        <f>IF($J16="","",IFERROR(INDEX(B!$G$2:$G$61,MATCH($J16,B!$E$2:$E$61,0))&amp;"",""))</f>
        <v/>
      </c>
      <c r="P16" s="69">
        <f>IF($J16="","",IFERROR(INDEX(B!$H$2:$H$61,MATCH($J16,B!$E$2:$E$61,0))&amp;"",""))</f>
        <v/>
      </c>
      <c r="Q16" s="69">
        <f>IF($J16="","",IFERROR(INDEX(B!$I$2:$I$61,MATCH($J16,B!$E$2:$E$61,0))&amp;"",""))</f>
        <v/>
      </c>
      <c r="R16" s="69">
        <f>IF($J16="","",IFERROR(INDEX(B!$J$2:$J$61,MATCH($J16,B!$E$2:$E$61,0))&amp;"",""))</f>
        <v/>
      </c>
      <c r="S16" s="69">
        <f>IF($J16="","",IFERROR(INDEX(B!$K$2:$K$61,MATCH($J16,B!$E$2:$E$61,0))&amp;"",""))</f>
        <v/>
      </c>
      <c r="T16" s="69">
        <f>IF($J16="","",IFERROR(INDEX(B!$L$2:$L$61,MATCH($J16,B!$E$2:$E$61,0))&amp;"",""))</f>
        <v/>
      </c>
      <c r="U16" s="20" t="n"/>
      <c r="V16" s="70">
        <f>IF($J16="","",IFERROR(INDEX(B!$M$2:$M$61,MATCH($J16,B!$E$2:$E$61,0))&amp;"",""))</f>
        <v/>
      </c>
      <c r="W16" s="71">
        <f>IF(I16="","",IFERROR(MID(I16,FIND("/d/",I16)+3,FIND("/edit",I16)-FIND("/d/",I16)-3),I16))</f>
        <v/>
      </c>
      <c r="X16" s="71">
        <f>IF($J16="","",IFERROR(INDEX(B!$C$2:$C$61,MATCH($J16,B!$E$2:$E$61,0))&amp;"",""))</f>
        <v/>
      </c>
      <c r="Y16" s="20" t="n"/>
      <c r="Z16" s="72">
        <f>IF($J16="",FALSE,ISNUMBER(SEARCH("scout",$K16)))</f>
        <v/>
      </c>
      <c r="AA16" s="72">
        <f>IF($J16="",FALSE,IFERROR(INDEX(B!$N$2:$N$61,MATCH($J16,B!$E$2:$E$61,0))="Sim",FALSE))</f>
        <v/>
      </c>
      <c r="AB16" s="72">
        <f>IF($J16="",FALSE,LEFT($X16,2)="XX")</f>
        <v/>
      </c>
      <c r="AC16" s="72">
        <f>IF($J16="",FALSE,IFERROR(INDEX(B!$P$2:$P$61,MATCH($J16,B!$E$2:$E$61,0))="Sim",FALSE))</f>
        <v/>
      </c>
      <c r="AD16" s="20" t="n"/>
      <c r="AE16" s="52">
        <f>IF(H16="","",HOUR(H16))</f>
        <v/>
      </c>
      <c r="AF16" s="52" t="n"/>
    </row>
    <row r="17" ht="19.5" customHeight="1" s="58">
      <c r="A17" s="62">
        <f>IF(G17="","",IF(G17=G16,"",COUNTIF($G$3:$G$976,G17)))</f>
        <v/>
      </c>
      <c r="B17" s="20" t="n"/>
      <c r="C17" s="63">
        <f>IF(G17="","",DAY(G17))</f>
        <v/>
      </c>
      <c r="D17" s="63">
        <f>IF(G17="","",MONTH(G17))</f>
        <v/>
      </c>
      <c r="E17" s="63">
        <f>IF(G17="","",YEAR(G17))</f>
        <v/>
      </c>
      <c r="F17" s="33">
        <f>IF(G17="","",CHOOSE(MONTH(G17),"Janeiro","Fevereiro","Março","Abril","Maio","Junho","Julho","Agosto","Setembro","Outubro","Novembro","Dezembro"))</f>
        <v/>
      </c>
      <c r="G17" s="64" t="n">
        <v>46054</v>
      </c>
      <c r="H17" s="65" t="n">
        <v>0.07168981481481482</v>
      </c>
      <c r="I17" s="66" t="inlineStr">
        <is>
          <t>https://docs.google.com/spreadsheets/d/1ZiCGoPjLCjuYvujDTXK9Ixbth3tekiLtFBzBrGjPCr4/edit?gid=0#gid=0</t>
        </is>
      </c>
      <c r="J17" s="67" t="inlineStr">
        <is>
          <t>Taxa de Cancelamento - [TXC]</t>
        </is>
      </c>
      <c r="K17" s="67" t="inlineStr">
        <is>
          <t>Scout</t>
        </is>
      </c>
      <c r="L17" s="68" t="b">
        <v>0</v>
      </c>
      <c r="M17" s="20" t="n"/>
      <c r="N17" s="69">
        <f>IF($J17="","",IFERROR(INDEX(B!$F$2:$F$61,MATCH($J17,B!$E$2:$E$61,0))&amp;"",""))</f>
        <v/>
      </c>
      <c r="O17" s="69">
        <f>IF($J17="","",IFERROR(INDEX(B!$G$2:$G$61,MATCH($J17,B!$E$2:$E$61,0))&amp;"",""))</f>
        <v/>
      </c>
      <c r="P17" s="69">
        <f>IF($J17="","",IFERROR(INDEX(B!$H$2:$H$61,MATCH($J17,B!$E$2:$E$61,0))&amp;"",""))</f>
        <v/>
      </c>
      <c r="Q17" s="69">
        <f>IF($J17="","",IFERROR(INDEX(B!$I$2:$I$61,MATCH($J17,B!$E$2:$E$61,0))&amp;"",""))</f>
        <v/>
      </c>
      <c r="R17" s="69">
        <f>IF($J17="","",IFERROR(INDEX(B!$J$2:$J$61,MATCH($J17,B!$E$2:$E$61,0))&amp;"",""))</f>
        <v/>
      </c>
      <c r="S17" s="69">
        <f>IF($J17="","",IFERROR(INDEX(B!$K$2:$K$61,MATCH($J17,B!$E$2:$E$61,0))&amp;"",""))</f>
        <v/>
      </c>
      <c r="T17" s="69">
        <f>IF($J17="","",IFERROR(INDEX(B!$L$2:$L$61,MATCH($J17,B!$E$2:$E$61,0))&amp;"",""))</f>
        <v/>
      </c>
      <c r="U17" s="20" t="n"/>
      <c r="V17" s="70">
        <f>IF($J17="","",IFERROR(INDEX(B!$M$2:$M$61,MATCH($J17,B!$E$2:$E$61,0))&amp;"",""))</f>
        <v/>
      </c>
      <c r="W17" s="71">
        <f>IF(I17="","",IFERROR(MID(I17,FIND("/d/",I17)+3,FIND("/edit",I17)-FIND("/d/",I17)-3),I17))</f>
        <v/>
      </c>
      <c r="X17" s="71">
        <f>IF($J17="","",IFERROR(INDEX(B!$C$2:$C$61,MATCH($J17,B!$E$2:$E$61,0))&amp;"",""))</f>
        <v/>
      </c>
      <c r="Y17" s="20" t="n"/>
      <c r="Z17" s="72">
        <f>IF($J17="",FALSE,ISNUMBER(SEARCH("scout",$K17)))</f>
        <v/>
      </c>
      <c r="AA17" s="72">
        <f>IF($J17="",FALSE,IFERROR(INDEX(B!$N$2:$N$61,MATCH($J17,B!$E$2:$E$61,0))="Sim",FALSE))</f>
        <v/>
      </c>
      <c r="AB17" s="72">
        <f>IF($J17="",FALSE,LEFT($X17,2)="XX")</f>
        <v/>
      </c>
      <c r="AC17" s="72">
        <f>IF($J17="",FALSE,IFERROR(INDEX(B!$P$2:$P$61,MATCH($J17,B!$E$2:$E$61,0))="Sim",FALSE))</f>
        <v/>
      </c>
      <c r="AD17" s="20" t="n"/>
      <c r="AE17" s="52">
        <f>IF(H17="","",HOUR(H17))</f>
        <v/>
      </c>
      <c r="AF17" s="52" t="n"/>
    </row>
    <row r="18" ht="19.5" customHeight="1" s="58">
      <c r="A18" s="62">
        <f>IF(G18="","",IF(G18=G17,"",COUNTIF($G$3:$G$976,G18)))</f>
        <v/>
      </c>
      <c r="B18" s="20" t="n"/>
      <c r="C18" s="63">
        <f>IF(G18="","",DAY(G18))</f>
        <v/>
      </c>
      <c r="D18" s="63">
        <f>IF(G18="","",MONTH(G18))</f>
        <v/>
      </c>
      <c r="E18" s="63">
        <f>IF(G18="","",YEAR(G18))</f>
        <v/>
      </c>
      <c r="F18" s="33">
        <f>IF(G18="","",CHOOSE(MONTH(G18),"Janeiro","Fevereiro","Março","Abril","Maio","Junho","Julho","Agosto","Setembro","Outubro","Novembro","Dezembro"))</f>
        <v/>
      </c>
      <c r="G18" s="64" t="n">
        <v>46054</v>
      </c>
      <c r="H18" s="65" t="n">
        <v>0.07585648148148148</v>
      </c>
      <c r="I18" s="66" t="inlineStr">
        <is>
          <t>https://docs.google.com/spreadsheets/d/1ZiCGoPjLCjuYvujDTXK9Ixbth3tekiLtFBzBrGjPCr4/edit?gid=0#gid=0</t>
        </is>
      </c>
      <c r="J18" s="67" t="inlineStr">
        <is>
          <t>Taxa de Cancelamento - [TXC]</t>
        </is>
      </c>
      <c r="K18" s="67" t="inlineStr"/>
      <c r="L18" s="68" t="b">
        <v>0</v>
      </c>
      <c r="M18" s="20" t="n"/>
      <c r="N18" s="69">
        <f>IF($J18="","",IFERROR(INDEX(B!$F$2:$F$61,MATCH($J18,B!$E$2:$E$61,0))&amp;"",""))</f>
        <v/>
      </c>
      <c r="O18" s="69">
        <f>IF($J18="","",IFERROR(INDEX(B!$G$2:$G$61,MATCH($J18,B!$E$2:$E$61,0))&amp;"",""))</f>
        <v/>
      </c>
      <c r="P18" s="69">
        <f>IF($J18="","",IFERROR(INDEX(B!$H$2:$H$61,MATCH($J18,B!$E$2:$E$61,0))&amp;"",""))</f>
        <v/>
      </c>
      <c r="Q18" s="69">
        <f>IF($J18="","",IFERROR(INDEX(B!$I$2:$I$61,MATCH($J18,B!$E$2:$E$61,0))&amp;"",""))</f>
        <v/>
      </c>
      <c r="R18" s="69">
        <f>IF($J18="","",IFERROR(INDEX(B!$J$2:$J$61,MATCH($J18,B!$E$2:$E$61,0))&amp;"",""))</f>
        <v/>
      </c>
      <c r="S18" s="69">
        <f>IF($J18="","",IFERROR(INDEX(B!$K$2:$K$61,MATCH($J18,B!$E$2:$E$61,0))&amp;"",""))</f>
        <v/>
      </c>
      <c r="T18" s="69">
        <f>IF($J18="","",IFERROR(INDEX(B!$L$2:$L$61,MATCH($J18,B!$E$2:$E$61,0))&amp;"",""))</f>
        <v/>
      </c>
      <c r="U18" s="20" t="n"/>
      <c r="V18" s="70">
        <f>IF($J18="","",IFERROR(INDEX(B!$M$2:$M$61,MATCH($J18,B!$E$2:$E$61,0))&amp;"",""))</f>
        <v/>
      </c>
      <c r="W18" s="71">
        <f>IF(I18="","",IFERROR(MID(I18,FIND("/d/",I18)+3,FIND("/edit",I18)-FIND("/d/",I18)-3),I18))</f>
        <v/>
      </c>
      <c r="X18" s="71">
        <f>IF($J18="","",IFERROR(INDEX(B!$C$2:$C$61,MATCH($J18,B!$E$2:$E$61,0))&amp;"",""))</f>
        <v/>
      </c>
      <c r="Y18" s="20" t="n"/>
      <c r="Z18" s="72">
        <f>IF($J18="",FALSE,ISNUMBER(SEARCH("scout",$K18)))</f>
        <v/>
      </c>
      <c r="AA18" s="72">
        <f>IF($J18="",FALSE,IFERROR(INDEX(B!$N$2:$N$61,MATCH($J18,B!$E$2:$E$61,0))="Sim",FALSE))</f>
        <v/>
      </c>
      <c r="AB18" s="72">
        <f>IF($J18="",FALSE,LEFT($X18,2)="XX")</f>
        <v/>
      </c>
      <c r="AC18" s="72">
        <f>IF($J18="",FALSE,IFERROR(INDEX(B!$P$2:$P$61,MATCH($J18,B!$E$2:$E$61,0))="Sim",FALSE))</f>
        <v/>
      </c>
      <c r="AD18" s="20" t="n"/>
      <c r="AE18" s="52">
        <f>IF(H18="","",HOUR(H18))</f>
        <v/>
      </c>
      <c r="AF18" s="52" t="n"/>
    </row>
    <row r="19" ht="19.5" customHeight="1" s="58">
      <c r="A19" s="62">
        <f>IF(G19="","",IF(G19=G18,"",COUNTIF($G$3:$G$976,G19)))</f>
        <v/>
      </c>
      <c r="B19" s="20" t="n"/>
      <c r="C19" s="63">
        <f>IF(G19="","",DAY(G19))</f>
        <v/>
      </c>
      <c r="D19" s="63">
        <f>IF(G19="","",MONTH(G19))</f>
        <v/>
      </c>
      <c r="E19" s="63">
        <f>IF(G19="","",YEAR(G19))</f>
        <v/>
      </c>
      <c r="F19" s="33">
        <f>IF(G19="","",CHOOSE(MONTH(G19),"Janeiro","Fevereiro","Março","Abril","Maio","Junho","Julho","Agosto","Setembro","Outubro","Novembro","Dezembro"))</f>
        <v/>
      </c>
      <c r="G19" s="64" t="n">
        <v>46054</v>
      </c>
      <c r="H19" s="65" t="n">
        <v>0.07611111111111112</v>
      </c>
      <c r="I19" s="66" t="inlineStr">
        <is>
          <t>https://docs.google.com/spreadsheets/d/1ZiCGoPjLCjuYvujDTXK9Ixbth3tekiLtFBzBrGjPCr4/edit?gid=0#gid=0</t>
        </is>
      </c>
      <c r="J19" s="67" t="inlineStr">
        <is>
          <t>Transferência de LOB (Accounts) - [TIAC]</t>
        </is>
      </c>
      <c r="K19" s="67" t="inlineStr">
        <is>
          <t>Scout</t>
        </is>
      </c>
      <c r="L19" s="68" t="b">
        <v>0</v>
      </c>
      <c r="M19" s="20" t="n"/>
      <c r="N19" s="69">
        <f>IF($J19="","",IFERROR(INDEX(B!$F$2:$F$61,MATCH($J19,B!$E$2:$E$61,0))&amp;"",""))</f>
        <v/>
      </c>
      <c r="O19" s="69">
        <f>IF($J19="","",IFERROR(INDEX(B!$G$2:$G$61,MATCH($J19,B!$E$2:$E$61,0))&amp;"",""))</f>
        <v/>
      </c>
      <c r="P19" s="69">
        <f>IF($J19="","",IFERROR(INDEX(B!$H$2:$H$61,MATCH($J19,B!$E$2:$E$61,0))&amp;"",""))</f>
        <v/>
      </c>
      <c r="Q19" s="69">
        <f>IF($J19="","",IFERROR(INDEX(B!$I$2:$I$61,MATCH($J19,B!$E$2:$E$61,0))&amp;"",""))</f>
        <v/>
      </c>
      <c r="R19" s="69">
        <f>IF($J19="","",IFERROR(INDEX(B!$J$2:$J$61,MATCH($J19,B!$E$2:$E$61,0))&amp;"",""))</f>
        <v/>
      </c>
      <c r="S19" s="69">
        <f>IF($J19="","",IFERROR(INDEX(B!$K$2:$K$61,MATCH($J19,B!$E$2:$E$61,0))&amp;"",""))</f>
        <v/>
      </c>
      <c r="T19" s="69">
        <f>IF($J19="","",IFERROR(INDEX(B!$L$2:$L$61,MATCH($J19,B!$E$2:$E$61,0))&amp;"",""))</f>
        <v/>
      </c>
      <c r="U19" s="20" t="n"/>
      <c r="V19" s="70">
        <f>IF($J19="","",IFERROR(INDEX(B!$M$2:$M$61,MATCH($J19,B!$E$2:$E$61,0))&amp;"",""))</f>
        <v/>
      </c>
      <c r="W19" s="71">
        <f>IF(I19="","",IFERROR(MID(I19,FIND("/d/",I19)+3,FIND("/edit",I19)-FIND("/d/",I19)-3),I19))</f>
        <v/>
      </c>
      <c r="X19" s="71">
        <f>IF($J19="","",IFERROR(INDEX(B!$C$2:$C$61,MATCH($J19,B!$E$2:$E$61,0))&amp;"",""))</f>
        <v/>
      </c>
      <c r="Y19" s="20" t="n"/>
      <c r="Z19" s="72">
        <f>IF($J19="",FALSE,ISNUMBER(SEARCH("scout",$K19)))</f>
        <v/>
      </c>
      <c r="AA19" s="72">
        <f>IF($J19="",FALSE,IFERROR(INDEX(B!$N$2:$N$61,MATCH($J19,B!$E$2:$E$61,0))="Sim",FALSE))</f>
        <v/>
      </c>
      <c r="AB19" s="72">
        <f>IF($J19="",FALSE,LEFT($X19,2)="XX")</f>
        <v/>
      </c>
      <c r="AC19" s="72">
        <f>IF($J19="",FALSE,IFERROR(INDEX(B!$P$2:$P$61,MATCH($J19,B!$E$2:$E$61,0))="Sim",FALSE))</f>
        <v/>
      </c>
      <c r="AD19" s="20" t="n"/>
      <c r="AE19" s="52">
        <f>IF(H19="","",HOUR(H19))</f>
        <v/>
      </c>
      <c r="AF19" s="52" t="n"/>
    </row>
    <row r="20" ht="19.5" customHeight="1" s="58">
      <c r="A20" s="62">
        <f>IF(G20="","",IF(G20=G19,"",COUNTIF($G$3:$G$976,G20)))</f>
        <v/>
      </c>
      <c r="B20" s="20" t="n"/>
      <c r="C20" s="63">
        <f>IF(G20="","",DAY(G20))</f>
        <v/>
      </c>
      <c r="D20" s="63">
        <f>IF(G20="","",MONTH(G20))</f>
        <v/>
      </c>
      <c r="E20" s="63">
        <f>IF(G20="","",YEAR(G20))</f>
        <v/>
      </c>
      <c r="F20" s="33">
        <f>IF(G20="","",CHOOSE(MONTH(G20),"Janeiro","Fevereiro","Março","Abril","Maio","Junho","Julho","Agosto","Setembro","Outubro","Novembro","Dezembro"))</f>
        <v/>
      </c>
      <c r="G20" s="64" t="n">
        <v>46054</v>
      </c>
      <c r="H20" s="65" t="n">
        <v>0.07988425925925927</v>
      </c>
      <c r="I20" s="66" t="inlineStr">
        <is>
          <t>https://docs.google.com/spreadsheets/d/1ZiCGoPjLCjuYvujDTXK9Ixbth3tekiLtFBzBrGjPCr4/edit?gid=0#gid=0</t>
        </is>
      </c>
      <c r="J20" s="67" t="inlineStr">
        <is>
          <t>Transferência de LOB (Lost Items) - [TILI]</t>
        </is>
      </c>
      <c r="K20" s="67" t="inlineStr">
        <is>
          <t>Scout</t>
        </is>
      </c>
      <c r="L20" s="68" t="b">
        <v>0</v>
      </c>
      <c r="M20" s="20" t="n"/>
      <c r="N20" s="69">
        <f>IF($J20="","",IFERROR(INDEX(B!$F$2:$F$61,MATCH($J20,B!$E$2:$E$61,0))&amp;"",""))</f>
        <v/>
      </c>
      <c r="O20" s="69">
        <f>IF($J20="","",IFERROR(INDEX(B!$G$2:$G$61,MATCH($J20,B!$E$2:$E$61,0))&amp;"",""))</f>
        <v/>
      </c>
      <c r="P20" s="69">
        <f>IF($J20="","",IFERROR(INDEX(B!$H$2:$H$61,MATCH($J20,B!$E$2:$E$61,0))&amp;"",""))</f>
        <v/>
      </c>
      <c r="Q20" s="69">
        <f>IF($J20="","",IFERROR(INDEX(B!$I$2:$I$61,MATCH($J20,B!$E$2:$E$61,0))&amp;"",""))</f>
        <v/>
      </c>
      <c r="R20" s="69">
        <f>IF($J20="","",IFERROR(INDEX(B!$J$2:$J$61,MATCH($J20,B!$E$2:$E$61,0))&amp;"",""))</f>
        <v/>
      </c>
      <c r="S20" s="69">
        <f>IF($J20="","",IFERROR(INDEX(B!$K$2:$K$61,MATCH($J20,B!$E$2:$E$61,0))&amp;"",""))</f>
        <v/>
      </c>
      <c r="T20" s="69">
        <f>IF($J20="","",IFERROR(INDEX(B!$L$2:$L$61,MATCH($J20,B!$E$2:$E$61,0))&amp;"",""))</f>
        <v/>
      </c>
      <c r="U20" s="20" t="n"/>
      <c r="V20" s="70">
        <f>IF($J20="","",IFERROR(INDEX(B!$M$2:$M$61,MATCH($J20,B!$E$2:$E$61,0))&amp;"",""))</f>
        <v/>
      </c>
      <c r="W20" s="71">
        <f>IF(I20="","",IFERROR(MID(I20,FIND("/d/",I20)+3,FIND("/edit",I20)-FIND("/d/",I20)-3),I20))</f>
        <v/>
      </c>
      <c r="X20" s="71">
        <f>IF($J20="","",IFERROR(INDEX(B!$C$2:$C$61,MATCH($J20,B!$E$2:$E$61,0))&amp;"",""))</f>
        <v/>
      </c>
      <c r="Y20" s="20" t="n"/>
      <c r="Z20" s="72">
        <f>IF($J20="",FALSE,ISNUMBER(SEARCH("scout",$K20)))</f>
        <v/>
      </c>
      <c r="AA20" s="72">
        <f>IF($J20="",FALSE,IFERROR(INDEX(B!$N$2:$N$61,MATCH($J20,B!$E$2:$E$61,0))="Sim",FALSE))</f>
        <v/>
      </c>
      <c r="AB20" s="72">
        <f>IF($J20="",FALSE,LEFT($X20,2)="XX")</f>
        <v/>
      </c>
      <c r="AC20" s="72">
        <f>IF($J20="",FALSE,IFERROR(INDEX(B!$P$2:$P$61,MATCH($J20,B!$E$2:$E$61,0))="Sim",FALSE))</f>
        <v/>
      </c>
      <c r="AD20" s="20" t="n"/>
      <c r="AE20" s="52">
        <f>IF(H20="","",HOUR(H20))</f>
        <v/>
      </c>
      <c r="AF20" s="52" t="n"/>
    </row>
    <row r="21" ht="19.5" customHeight="1" s="58">
      <c r="A21" s="62">
        <f>IF(G21="","",IF(G21=G20,"",COUNTIF($G$3:$G$976,G21)))</f>
        <v/>
      </c>
      <c r="B21" s="20" t="n"/>
      <c r="C21" s="63">
        <f>IF(G21="","",DAY(G21))</f>
        <v/>
      </c>
      <c r="D21" s="63">
        <f>IF(G21="","",MONTH(G21))</f>
        <v/>
      </c>
      <c r="E21" s="63">
        <f>IF(G21="","",YEAR(G21))</f>
        <v/>
      </c>
      <c r="F21" s="33">
        <f>IF(G21="","",CHOOSE(MONTH(G21),"Janeiro","Fevereiro","Março","Abril","Maio","Junho","Julho","Agosto","Setembro","Outubro","Novembro","Dezembro"))</f>
        <v/>
      </c>
      <c r="G21" s="64" t="n">
        <v>46054</v>
      </c>
      <c r="H21" s="65" t="n">
        <v>0.09138888888888889</v>
      </c>
      <c r="I21" s="66" t="inlineStr">
        <is>
          <t>https://docs.google.com/spreadsheets/d/1ZiCGoPjLCjuYvujDTXK9Ixbth3tekiLtFBzBrGjPCr4/edit?gid=0#gid=0</t>
        </is>
      </c>
      <c r="J21" s="67" t="inlineStr">
        <is>
          <t>Overpaid, Excede o limite Com comprovante - [OPEC]</t>
        </is>
      </c>
      <c r="K21" s="67" t="inlineStr"/>
      <c r="L21" s="68" t="b">
        <v>0</v>
      </c>
      <c r="M21" s="20" t="n"/>
      <c r="N21" s="69">
        <f>IF($J21="","",IFERROR(INDEX(B!$F$2:$F$61,MATCH($J21,B!$E$2:$E$61,0))&amp;"",""))</f>
        <v/>
      </c>
      <c r="O21" s="69">
        <f>IF($J21="","",IFERROR(INDEX(B!$G$2:$G$61,MATCH($J21,B!$E$2:$E$61,0))&amp;"",""))</f>
        <v/>
      </c>
      <c r="P21" s="69">
        <f>IF($J21="","",IFERROR(INDEX(B!$H$2:$H$61,MATCH($J21,B!$E$2:$E$61,0))&amp;"",""))</f>
        <v/>
      </c>
      <c r="Q21" s="69">
        <f>IF($J21="","",IFERROR(INDEX(B!$I$2:$I$61,MATCH($J21,B!$E$2:$E$61,0))&amp;"",""))</f>
        <v/>
      </c>
      <c r="R21" s="69">
        <f>IF($J21="","",IFERROR(INDEX(B!$J$2:$J$61,MATCH($J21,B!$E$2:$E$61,0))&amp;"",""))</f>
        <v/>
      </c>
      <c r="S21" s="69">
        <f>IF($J21="","",IFERROR(INDEX(B!$K$2:$K$61,MATCH($J21,B!$E$2:$E$61,0))&amp;"",""))</f>
        <v/>
      </c>
      <c r="T21" s="69">
        <f>IF($J21="","",IFERROR(INDEX(B!$L$2:$L$61,MATCH($J21,B!$E$2:$E$61,0))&amp;"",""))</f>
        <v/>
      </c>
      <c r="U21" s="20" t="n"/>
      <c r="V21" s="70">
        <f>IF($J21="","",IFERROR(INDEX(B!$M$2:$M$61,MATCH($J21,B!$E$2:$E$61,0))&amp;"",""))</f>
        <v/>
      </c>
      <c r="W21" s="71">
        <f>IF(I21="","",IFERROR(MID(I21,FIND("/d/",I21)+3,FIND("/edit",I21)-FIND("/d/",I21)-3),I21))</f>
        <v/>
      </c>
      <c r="X21" s="71">
        <f>IF($J21="","",IFERROR(INDEX(B!$C$2:$C$61,MATCH($J21,B!$E$2:$E$61,0))&amp;"",""))</f>
        <v/>
      </c>
      <c r="Y21" s="20" t="n"/>
      <c r="Z21" s="72">
        <f>IF($J21="",FALSE,ISNUMBER(SEARCH("scout",$K21)))</f>
        <v/>
      </c>
      <c r="AA21" s="72">
        <f>IF($J21="",FALSE,IFERROR(INDEX(B!$N$2:$N$61,MATCH($J21,B!$E$2:$E$61,0))="Sim",FALSE))</f>
        <v/>
      </c>
      <c r="AB21" s="72">
        <f>IF($J21="",FALSE,LEFT($X21,2)="XX")</f>
        <v/>
      </c>
      <c r="AC21" s="72">
        <f>IF($J21="",FALSE,IFERROR(INDEX(B!$P$2:$P$61,MATCH($J21,B!$E$2:$E$61,0))="Sim",FALSE))</f>
        <v/>
      </c>
      <c r="AD21" s="20" t="n"/>
      <c r="AE21" s="52">
        <f>IF(H21="","",HOUR(H21))</f>
        <v/>
      </c>
      <c r="AF21" s="52" t="n"/>
    </row>
    <row r="22" ht="19.5" customHeight="1" s="58">
      <c r="A22" s="62">
        <f>IF(G22="","",IF(G22=G21,"",COUNTIF($G$3:$G$976,G22)))</f>
        <v/>
      </c>
      <c r="B22" s="20" t="n"/>
      <c r="C22" s="63">
        <f>IF(G22="","",DAY(G22))</f>
        <v/>
      </c>
      <c r="D22" s="63">
        <f>IF(G22="","",MONTH(G22))</f>
        <v/>
      </c>
      <c r="E22" s="63">
        <f>IF(G22="","",YEAR(G22))</f>
        <v/>
      </c>
      <c r="F22" s="33">
        <f>IF(G22="","",CHOOSE(MONTH(G22),"Janeiro","Fevereiro","Março","Abril","Maio","Junho","Julho","Agosto","Setembro","Outubro","Novembro","Dezembro"))</f>
        <v/>
      </c>
      <c r="G22" s="64" t="n">
        <v>46054</v>
      </c>
      <c r="H22" s="65" t="n">
        <v>0.0999074074074074</v>
      </c>
      <c r="I22" s="66" t="inlineStr">
        <is>
          <t>https://docs.google.com/spreadsheets/d/1ZiCGoPjLCjuYvujDTXK9Ixbth3tekiLtFBzBrGjPCr4/edit?gid=0#gid=0</t>
        </is>
      </c>
      <c r="J22" s="67" t="inlineStr">
        <is>
          <t>Transferência de LOB (Geral não especificado) - [TI]</t>
        </is>
      </c>
      <c r="K22" s="67" t="inlineStr"/>
      <c r="L22" s="68" t="b">
        <v>0</v>
      </c>
      <c r="M22" s="20" t="n"/>
      <c r="N22" s="69">
        <f>IF($J22="","",IFERROR(INDEX(B!$F$2:$F$61,MATCH($J22,B!$E$2:$E$61,0))&amp;"",""))</f>
        <v/>
      </c>
      <c r="O22" s="69">
        <f>IF($J22="","",IFERROR(INDEX(B!$G$2:$G$61,MATCH($J22,B!$E$2:$E$61,0))&amp;"",""))</f>
        <v/>
      </c>
      <c r="P22" s="69">
        <f>IF($J22="","",IFERROR(INDEX(B!$H$2:$H$61,MATCH($J22,B!$E$2:$E$61,0))&amp;"",""))</f>
        <v/>
      </c>
      <c r="Q22" s="69">
        <f>IF($J22="","",IFERROR(INDEX(B!$I$2:$I$61,MATCH($J22,B!$E$2:$E$61,0))&amp;"",""))</f>
        <v/>
      </c>
      <c r="R22" s="69">
        <f>IF($J22="","",IFERROR(INDEX(B!$J$2:$J$61,MATCH($J22,B!$E$2:$E$61,0))&amp;"",""))</f>
        <v/>
      </c>
      <c r="S22" s="69">
        <f>IF($J22="","",IFERROR(INDEX(B!$K$2:$K$61,MATCH($J22,B!$E$2:$E$61,0))&amp;"",""))</f>
        <v/>
      </c>
      <c r="T22" s="69">
        <f>IF($J22="","",IFERROR(INDEX(B!$L$2:$L$61,MATCH($J22,B!$E$2:$E$61,0))&amp;"",""))</f>
        <v/>
      </c>
      <c r="U22" s="20" t="n"/>
      <c r="V22" s="70">
        <f>IF($J22="","",IFERROR(INDEX(B!$M$2:$M$61,MATCH($J22,B!$E$2:$E$61,0))&amp;"",""))</f>
        <v/>
      </c>
      <c r="W22" s="71">
        <f>IF(I22="","",IFERROR(MID(I22,FIND("/d/",I22)+3,FIND("/edit",I22)-FIND("/d/",I22)-3),I22))</f>
        <v/>
      </c>
      <c r="X22" s="71">
        <f>IF($J22="","",IFERROR(INDEX(B!$C$2:$C$61,MATCH($J22,B!$E$2:$E$61,0))&amp;"",""))</f>
        <v/>
      </c>
      <c r="Y22" s="20" t="n"/>
      <c r="Z22" s="72">
        <f>IF($J22="",FALSE,ISNUMBER(SEARCH("scout",$K22)))</f>
        <v/>
      </c>
      <c r="AA22" s="72">
        <f>IF($J22="",FALSE,IFERROR(INDEX(B!$N$2:$N$61,MATCH($J22,B!$E$2:$E$61,0))="Sim",FALSE))</f>
        <v/>
      </c>
      <c r="AB22" s="72">
        <f>IF($J22="",FALSE,LEFT($X22,2)="XX")</f>
        <v/>
      </c>
      <c r="AC22" s="72">
        <f>IF($J22="",FALSE,IFERROR(INDEX(B!$P$2:$P$61,MATCH($J22,B!$E$2:$E$61,0))="Sim",FALSE))</f>
        <v/>
      </c>
      <c r="AD22" s="20" t="n"/>
      <c r="AE22" s="52">
        <f>IF(H22="","",HOUR(H22))</f>
        <v/>
      </c>
      <c r="AF22" s="52" t="n"/>
    </row>
    <row r="23" ht="19.5" customHeight="1" s="58">
      <c r="A23" s="62">
        <f>IF(G23="","",IF(G23=G22,"",COUNTIF($G$3:$G$976,G23)))</f>
        <v/>
      </c>
      <c r="B23" s="20" t="n"/>
      <c r="C23" s="63">
        <f>IF(G23="","",DAY(G23))</f>
        <v/>
      </c>
      <c r="D23" s="63">
        <f>IF(G23="","",MONTH(G23))</f>
        <v/>
      </c>
      <c r="E23" s="63">
        <f>IF(G23="","",YEAR(G23))</f>
        <v/>
      </c>
      <c r="F23" s="33">
        <f>IF(G23="","",CHOOSE(MONTH(G23),"Janeiro","Fevereiro","Março","Abril","Maio","Junho","Julho","Agosto","Setembro","Outubro","Novembro","Dezembro"))</f>
        <v/>
      </c>
      <c r="G23" s="64" t="n">
        <v>46054</v>
      </c>
      <c r="H23" s="65" t="n">
        <v>0.1002199074074074</v>
      </c>
      <c r="I23" s="66" t="inlineStr">
        <is>
          <t>https://docs.google.com/spreadsheets/d/1ZiCGoPjLCjuYvujDTXK9Ixbth3tekiLtFBzBrGjPCr4/edit?gid=0#gid=0</t>
        </is>
      </c>
      <c r="J23" s="67" t="inlineStr">
        <is>
          <t>No Need Response (Não precisa de resposta) - [NRN]</t>
        </is>
      </c>
      <c r="K23" s="67" t="inlineStr"/>
      <c r="L23" s="68" t="b">
        <v>0</v>
      </c>
      <c r="M23" s="20" t="n"/>
      <c r="N23" s="69">
        <f>IF($J23="","",IFERROR(INDEX(B!$F$2:$F$61,MATCH($J23,B!$E$2:$E$61,0))&amp;"",""))</f>
        <v/>
      </c>
      <c r="O23" s="69">
        <f>IF($J23="","",IFERROR(INDEX(B!$G$2:$G$61,MATCH($J23,B!$E$2:$E$61,0))&amp;"",""))</f>
        <v/>
      </c>
      <c r="P23" s="69">
        <f>IF($J23="","",IFERROR(INDEX(B!$H$2:$H$61,MATCH($J23,B!$E$2:$E$61,0))&amp;"",""))</f>
        <v/>
      </c>
      <c r="Q23" s="69">
        <f>IF($J23="","",IFERROR(INDEX(B!$I$2:$I$61,MATCH($J23,B!$E$2:$E$61,0))&amp;"",""))</f>
        <v/>
      </c>
      <c r="R23" s="69">
        <f>IF($J23="","",IFERROR(INDEX(B!$J$2:$J$61,MATCH($J23,B!$E$2:$E$61,0))&amp;"",""))</f>
        <v/>
      </c>
      <c r="S23" s="69">
        <f>IF($J23="","",IFERROR(INDEX(B!$K$2:$K$61,MATCH($J23,B!$E$2:$E$61,0))&amp;"",""))</f>
        <v/>
      </c>
      <c r="T23" s="69">
        <f>IF($J23="","",IFERROR(INDEX(B!$L$2:$L$61,MATCH($J23,B!$E$2:$E$61,0))&amp;"",""))</f>
        <v/>
      </c>
      <c r="U23" s="20" t="n"/>
      <c r="V23" s="70">
        <f>IF($J23="","",IFERROR(INDEX(B!$M$2:$M$61,MATCH($J23,B!$E$2:$E$61,0))&amp;"",""))</f>
        <v/>
      </c>
      <c r="W23" s="71">
        <f>IF(I23="","",IFERROR(MID(I23,FIND("/d/",I23)+3,FIND("/edit",I23)-FIND("/d/",I23)-3),I23))</f>
        <v/>
      </c>
      <c r="X23" s="71">
        <f>IF($J23="","",IFERROR(INDEX(B!$C$2:$C$61,MATCH($J23,B!$E$2:$E$61,0))&amp;"",""))</f>
        <v/>
      </c>
      <c r="Y23" s="20" t="n"/>
      <c r="Z23" s="72">
        <f>IF($J23="",FALSE,ISNUMBER(SEARCH("scout",$K23)))</f>
        <v/>
      </c>
      <c r="AA23" s="72">
        <f>IF($J23="",FALSE,IFERROR(INDEX(B!$N$2:$N$61,MATCH($J23,B!$E$2:$E$61,0))="Sim",FALSE))</f>
        <v/>
      </c>
      <c r="AB23" s="72">
        <f>IF($J23="",FALSE,LEFT($X23,2)="XX")</f>
        <v/>
      </c>
      <c r="AC23" s="72">
        <f>IF($J23="",FALSE,IFERROR(INDEX(B!$P$2:$P$61,MATCH($J23,B!$E$2:$E$61,0))="Sim",FALSE))</f>
        <v/>
      </c>
      <c r="AD23" s="20" t="n"/>
      <c r="AE23" s="52">
        <f>IF(H23="","",HOUR(H23))</f>
        <v/>
      </c>
      <c r="AF23" s="52" t="n"/>
    </row>
    <row r="24" ht="19.5" customHeight="1" s="58">
      <c r="A24" s="62">
        <f>IF(G24="","",IF(G24=G23,"",COUNTIF($G$3:$G$976,G24)))</f>
        <v/>
      </c>
      <c r="B24" s="20" t="n"/>
      <c r="C24" s="63">
        <f>IF(G24="","",DAY(G24))</f>
        <v/>
      </c>
      <c r="D24" s="63">
        <f>IF(G24="","",MONTH(G24))</f>
        <v/>
      </c>
      <c r="E24" s="63">
        <f>IF(G24="","",YEAR(G24))</f>
        <v/>
      </c>
      <c r="F24" s="33">
        <f>IF(G24="","",CHOOSE(MONTH(G24),"Janeiro","Fevereiro","Março","Abril","Maio","Junho","Julho","Agosto","Setembro","Outubro","Novembro","Dezembro"))</f>
        <v/>
      </c>
      <c r="G24" s="64" t="n">
        <v>46054</v>
      </c>
      <c r="H24" s="65" t="n">
        <v>0.1015046296296296</v>
      </c>
      <c r="I24" s="66" t="inlineStr">
        <is>
          <t>https://docs.google.com/spreadsheets/d/1ZiCGoPjLCjuYvujDTXK9Ixbth3tekiLtFBzBrGjPCr4/edit?gid=0#gid=0</t>
        </is>
      </c>
      <c r="J24" s="67" t="inlineStr">
        <is>
          <t>Evento Raro - [ER]</t>
        </is>
      </c>
      <c r="K24" s="67" t="inlineStr"/>
      <c r="L24" s="68" t="b">
        <v>0</v>
      </c>
      <c r="M24" s="20" t="n"/>
      <c r="N24" s="69">
        <f>IF($J24="","",IFERROR(INDEX(B!$F$2:$F$61,MATCH($J24,B!$E$2:$E$61,0))&amp;"",""))</f>
        <v/>
      </c>
      <c r="O24" s="69">
        <f>IF($J24="","",IFERROR(INDEX(B!$G$2:$G$61,MATCH($J24,B!$E$2:$E$61,0))&amp;"",""))</f>
        <v/>
      </c>
      <c r="P24" s="69">
        <f>IF($J24="","",IFERROR(INDEX(B!$H$2:$H$61,MATCH($J24,B!$E$2:$E$61,0))&amp;"",""))</f>
        <v/>
      </c>
      <c r="Q24" s="69">
        <f>IF($J24="","",IFERROR(INDEX(B!$I$2:$I$61,MATCH($J24,B!$E$2:$E$61,0))&amp;"",""))</f>
        <v/>
      </c>
      <c r="R24" s="69">
        <f>IF($J24="","",IFERROR(INDEX(B!$J$2:$J$61,MATCH($J24,B!$E$2:$E$61,0))&amp;"",""))</f>
        <v/>
      </c>
      <c r="S24" s="69">
        <f>IF($J24="","",IFERROR(INDEX(B!$K$2:$K$61,MATCH($J24,B!$E$2:$E$61,0))&amp;"",""))</f>
        <v/>
      </c>
      <c r="T24" s="69">
        <f>IF($J24="","",IFERROR(INDEX(B!$L$2:$L$61,MATCH($J24,B!$E$2:$E$61,0))&amp;"",""))</f>
        <v/>
      </c>
      <c r="U24" s="20" t="n"/>
      <c r="V24" s="70">
        <f>IF($J24="","",IFERROR(INDEX(B!$M$2:$M$61,MATCH($J24,B!$E$2:$E$61,0))&amp;"",""))</f>
        <v/>
      </c>
      <c r="W24" s="71">
        <f>IF(I24="","",IFERROR(MID(I24,FIND("/d/",I24)+3,FIND("/edit",I24)-FIND("/d/",I24)-3),I24))</f>
        <v/>
      </c>
      <c r="X24" s="71">
        <f>IF($J24="","",IFERROR(INDEX(B!$C$2:$C$61,MATCH($J24,B!$E$2:$E$61,0))&amp;"",""))</f>
        <v/>
      </c>
      <c r="Y24" s="20" t="n"/>
      <c r="Z24" s="72">
        <f>IF($J24="",FALSE,ISNUMBER(SEARCH("scout",$K24)))</f>
        <v/>
      </c>
      <c r="AA24" s="72">
        <f>IF($J24="",FALSE,IFERROR(INDEX(B!$N$2:$N$61,MATCH($J24,B!$E$2:$E$61,0))="Sim",FALSE))</f>
        <v/>
      </c>
      <c r="AB24" s="72">
        <f>IF($J24="",FALSE,LEFT($X24,2)="XX")</f>
        <v/>
      </c>
      <c r="AC24" s="72">
        <f>IF($J24="",FALSE,IFERROR(INDEX(B!$P$2:$P$61,MATCH($J24,B!$E$2:$E$61,0))="Sim",FALSE))</f>
        <v/>
      </c>
      <c r="AD24" s="20" t="n"/>
      <c r="AE24" s="52">
        <f>IF(H24="","",HOUR(H24))</f>
        <v/>
      </c>
      <c r="AF24" s="52" t="n"/>
    </row>
    <row r="25" ht="19.5" customHeight="1" s="58">
      <c r="A25" s="62">
        <f>IF(G25="","",IF(G25=G24,"",COUNTIF($G$3:$G$976,G25)))</f>
        <v/>
      </c>
      <c r="B25" s="20" t="n"/>
      <c r="C25" s="63">
        <f>IF(G25="","",DAY(G25))</f>
        <v/>
      </c>
      <c r="D25" s="63">
        <f>IF(G25="","",MONTH(G25))</f>
        <v/>
      </c>
      <c r="E25" s="63">
        <f>IF(G25="","",YEAR(G25))</f>
        <v/>
      </c>
      <c r="F25" s="33">
        <f>IF(G25="","",CHOOSE(MONTH(G25),"Janeiro","Fevereiro","Março","Abril","Maio","Junho","Julho","Agosto","Setembro","Outubro","Novembro","Dezembro"))</f>
        <v/>
      </c>
      <c r="G25" s="64" t="n">
        <v>46054</v>
      </c>
      <c r="H25" s="65" t="n">
        <v>0.1046296296296296</v>
      </c>
      <c r="I25" s="66" t="inlineStr">
        <is>
          <t>https://docs.google.com/spreadsheets/d/1ZiCGoPjLCjuYvujDTXK9Ixbth3tekiLtFBzBrGjPCr4/edit?gid=0#gid=0</t>
        </is>
      </c>
      <c r="J25" s="67" t="inlineStr">
        <is>
          <t>Taxa de Limpeza, Sem ajustes - [TXLO]</t>
        </is>
      </c>
      <c r="K25" s="67" t="inlineStr"/>
      <c r="L25" s="68" t="b">
        <v>0</v>
      </c>
      <c r="M25" s="20" t="n"/>
      <c r="N25" s="69">
        <f>IF($J25="","",IFERROR(INDEX(B!$F$2:$F$61,MATCH($J25,B!$E$2:$E$61,0))&amp;"",""))</f>
        <v/>
      </c>
      <c r="O25" s="69">
        <f>IF($J25="","",IFERROR(INDEX(B!$G$2:$G$61,MATCH($J25,B!$E$2:$E$61,0))&amp;"",""))</f>
        <v/>
      </c>
      <c r="P25" s="69">
        <f>IF($J25="","",IFERROR(INDEX(B!$H$2:$H$61,MATCH($J25,B!$E$2:$E$61,0))&amp;"",""))</f>
        <v/>
      </c>
      <c r="Q25" s="69">
        <f>IF($J25="","",IFERROR(INDEX(B!$I$2:$I$61,MATCH($J25,B!$E$2:$E$61,0))&amp;"",""))</f>
        <v/>
      </c>
      <c r="R25" s="69">
        <f>IF($J25="","",IFERROR(INDEX(B!$J$2:$J$61,MATCH($J25,B!$E$2:$E$61,0))&amp;"",""))</f>
        <v/>
      </c>
      <c r="S25" s="69">
        <f>IF($J25="","",IFERROR(INDEX(B!$K$2:$K$61,MATCH($J25,B!$E$2:$E$61,0))&amp;"",""))</f>
        <v/>
      </c>
      <c r="T25" s="69">
        <f>IF($J25="","",IFERROR(INDEX(B!$L$2:$L$61,MATCH($J25,B!$E$2:$E$61,0))&amp;"",""))</f>
        <v/>
      </c>
      <c r="U25" s="20" t="n"/>
      <c r="V25" s="70">
        <f>IF($J25="","",IFERROR(INDEX(B!$M$2:$M$61,MATCH($J25,B!$E$2:$E$61,0))&amp;"",""))</f>
        <v/>
      </c>
      <c r="W25" s="71">
        <f>IF(I25="","",IFERROR(MID(I25,FIND("/d/",I25)+3,FIND("/edit",I25)-FIND("/d/",I25)-3),I25))</f>
        <v/>
      </c>
      <c r="X25" s="71">
        <f>IF($J25="","",IFERROR(INDEX(B!$C$2:$C$61,MATCH($J25,B!$E$2:$E$61,0))&amp;"",""))</f>
        <v/>
      </c>
      <c r="Y25" s="20" t="n"/>
      <c r="Z25" s="72">
        <f>IF($J25="",FALSE,ISNUMBER(SEARCH("scout",$K25)))</f>
        <v/>
      </c>
      <c r="AA25" s="72">
        <f>IF($J25="",FALSE,IFERROR(INDEX(B!$N$2:$N$61,MATCH($J25,B!$E$2:$E$61,0))="Sim",FALSE))</f>
        <v/>
      </c>
      <c r="AB25" s="72">
        <f>IF($J25="",FALSE,LEFT($X25,2)="XX")</f>
        <v/>
      </c>
      <c r="AC25" s="72">
        <f>IF($J25="",FALSE,IFERROR(INDEX(B!$P$2:$P$61,MATCH($J25,B!$E$2:$E$61,0))="Sim",FALSE))</f>
        <v/>
      </c>
      <c r="AD25" s="20" t="n"/>
      <c r="AE25" s="52">
        <f>IF(H25="","",HOUR(H25))</f>
        <v/>
      </c>
      <c r="AF25" s="52" t="n"/>
    </row>
    <row r="26" ht="19.5" customHeight="1" s="58">
      <c r="A26" s="62">
        <f>IF(G26="","",IF(G26=G25,"",COUNTIF($G$3:$G$976,G26)))</f>
        <v/>
      </c>
      <c r="B26" s="20" t="n"/>
      <c r="C26" s="63">
        <f>IF(G26="","",DAY(G26))</f>
        <v/>
      </c>
      <c r="D26" s="63">
        <f>IF(G26="","",MONTH(G26))</f>
        <v/>
      </c>
      <c r="E26" s="63">
        <f>IF(G26="","",YEAR(G26))</f>
        <v/>
      </c>
      <c r="F26" s="33">
        <f>IF(G26="","",CHOOSE(MONTH(G26),"Janeiro","Fevereiro","Março","Abril","Maio","Junho","Julho","Agosto","Setembro","Outubro","Novembro","Dezembro"))</f>
        <v/>
      </c>
      <c r="G26" s="64" t="n">
        <v>46054</v>
      </c>
      <c r="H26" s="65" t="n">
        <v>0.1138194444444444</v>
      </c>
      <c r="I26" s="66" t="inlineStr">
        <is>
          <t>https://docs.google.com/spreadsheets/d/1ZiCGoPjLCjuYvujDTXK9Ixbth3tekiLtFBzBrGjPCr4/edit?gid=0#gid=0</t>
        </is>
      </c>
      <c r="J26" s="67" t="inlineStr">
        <is>
          <t>Viagem Calculada Incorretamente - [VCI]</t>
        </is>
      </c>
      <c r="K26" s="67" t="inlineStr"/>
      <c r="L26" s="68" t="b">
        <v>0</v>
      </c>
      <c r="M26" s="20" t="n"/>
      <c r="N26" s="69">
        <f>IF($J26="","",IFERROR(INDEX(B!$F$2:$F$61,MATCH($J26,B!$E$2:$E$61,0))&amp;"",""))</f>
        <v/>
      </c>
      <c r="O26" s="69">
        <f>IF($J26="","",IFERROR(INDEX(B!$G$2:$G$61,MATCH($J26,B!$E$2:$E$61,0))&amp;"",""))</f>
        <v/>
      </c>
      <c r="P26" s="69">
        <f>IF($J26="","",IFERROR(INDEX(B!$H$2:$H$61,MATCH($J26,B!$E$2:$E$61,0))&amp;"",""))</f>
        <v/>
      </c>
      <c r="Q26" s="69">
        <f>IF($J26="","",IFERROR(INDEX(B!$I$2:$I$61,MATCH($J26,B!$E$2:$E$61,0))&amp;"",""))</f>
        <v/>
      </c>
      <c r="R26" s="69">
        <f>IF($J26="","",IFERROR(INDEX(B!$J$2:$J$61,MATCH($J26,B!$E$2:$E$61,0))&amp;"",""))</f>
        <v/>
      </c>
      <c r="S26" s="69">
        <f>IF($J26="","",IFERROR(INDEX(B!$K$2:$K$61,MATCH($J26,B!$E$2:$E$61,0))&amp;"",""))</f>
        <v/>
      </c>
      <c r="T26" s="69">
        <f>IF($J26="","",IFERROR(INDEX(B!$L$2:$L$61,MATCH($J26,B!$E$2:$E$61,0))&amp;"",""))</f>
        <v/>
      </c>
      <c r="U26" s="20" t="n"/>
      <c r="V26" s="70">
        <f>IF($J26="","",IFERROR(INDEX(B!$M$2:$M$61,MATCH($J26,B!$E$2:$E$61,0))&amp;"",""))</f>
        <v/>
      </c>
      <c r="W26" s="71">
        <f>IF(I26="","",IFERROR(MID(I26,FIND("/d/",I26)+3,FIND("/edit",I26)-FIND("/d/",I26)-3),I26))</f>
        <v/>
      </c>
      <c r="X26" s="71">
        <f>IF($J26="","",IFERROR(INDEX(B!$C$2:$C$61,MATCH($J26,B!$E$2:$E$61,0))&amp;"",""))</f>
        <v/>
      </c>
      <c r="Y26" s="20" t="n"/>
      <c r="Z26" s="72">
        <f>IF($J26="",FALSE,ISNUMBER(SEARCH("scout",$K26)))</f>
        <v/>
      </c>
      <c r="AA26" s="72">
        <f>IF($J26="",FALSE,IFERROR(INDEX(B!$N$2:$N$61,MATCH($J26,B!$E$2:$E$61,0))="Sim",FALSE))</f>
        <v/>
      </c>
      <c r="AB26" s="72">
        <f>IF($J26="",FALSE,LEFT($X26,2)="XX")</f>
        <v/>
      </c>
      <c r="AC26" s="72">
        <f>IF($J26="",FALSE,IFERROR(INDEX(B!$P$2:$P$61,MATCH($J26,B!$E$2:$E$61,0))="Sim",FALSE))</f>
        <v/>
      </c>
      <c r="AD26" s="20" t="n"/>
      <c r="AE26" s="52">
        <f>IF(H26="","",HOUR(H26))</f>
        <v/>
      </c>
      <c r="AF26" s="52" t="n"/>
    </row>
    <row r="27" ht="19.5" customHeight="1" s="58">
      <c r="A27" s="62">
        <f>IF(G27="","",IF(G27=G26,"",COUNTIF($G$3:$G$976,G27)))</f>
        <v/>
      </c>
      <c r="B27" s="20" t="n"/>
      <c r="C27" s="63">
        <f>IF(G27="","",DAY(G27))</f>
        <v/>
      </c>
      <c r="D27" s="63">
        <f>IF(G27="","",MONTH(G27))</f>
        <v/>
      </c>
      <c r="E27" s="63">
        <f>IF(G27="","",YEAR(G27))</f>
        <v/>
      </c>
      <c r="F27" s="33">
        <f>IF(G27="","",CHOOSE(MONTH(G27),"Janeiro","Fevereiro","Março","Abril","Maio","Junho","Julho","Agosto","Setembro","Outubro","Novembro","Dezembro"))</f>
        <v/>
      </c>
      <c r="G27" s="64" t="n">
        <v>46054</v>
      </c>
      <c r="H27" s="65" t="n">
        <v>0.1138541666666667</v>
      </c>
      <c r="I27" s="66" t="inlineStr">
        <is>
          <t>https://docs.google.com/spreadsheets/d/1ZiCGoPjLCjuYvujDTXK9Ixbth3tekiLtFBzBrGjPCr4/edit?gid=0#gid=0</t>
        </is>
      </c>
      <c r="J27" s="67" t="inlineStr">
        <is>
          <t>Overpaid, Não excede o limite, Sem comprovante - [OPNN]</t>
        </is>
      </c>
      <c r="K27" s="67" t="inlineStr"/>
      <c r="L27" s="68" t="b">
        <v>0</v>
      </c>
      <c r="M27" s="20" t="n"/>
      <c r="N27" s="69">
        <f>IF($J27="","",IFERROR(INDEX(B!$F$2:$F$61,MATCH($J27,B!$E$2:$E$61,0))&amp;"",""))</f>
        <v/>
      </c>
      <c r="O27" s="69">
        <f>IF($J27="","",IFERROR(INDEX(B!$G$2:$G$61,MATCH($J27,B!$E$2:$E$61,0))&amp;"",""))</f>
        <v/>
      </c>
      <c r="P27" s="69">
        <f>IF($J27="","",IFERROR(INDEX(B!$H$2:$H$61,MATCH($J27,B!$E$2:$E$61,0))&amp;"",""))</f>
        <v/>
      </c>
      <c r="Q27" s="69">
        <f>IF($J27="","",IFERROR(INDEX(B!$I$2:$I$61,MATCH($J27,B!$E$2:$E$61,0))&amp;"",""))</f>
        <v/>
      </c>
      <c r="R27" s="69">
        <f>IF($J27="","",IFERROR(INDEX(B!$J$2:$J$61,MATCH($J27,B!$E$2:$E$61,0))&amp;"",""))</f>
        <v/>
      </c>
      <c r="S27" s="69">
        <f>IF($J27="","",IFERROR(INDEX(B!$K$2:$K$61,MATCH($J27,B!$E$2:$E$61,0))&amp;"",""))</f>
        <v/>
      </c>
      <c r="T27" s="69">
        <f>IF($J27="","",IFERROR(INDEX(B!$L$2:$L$61,MATCH($J27,B!$E$2:$E$61,0))&amp;"",""))</f>
        <v/>
      </c>
      <c r="U27" s="20" t="n"/>
      <c r="V27" s="70">
        <f>IF($J27="","",IFERROR(INDEX(B!$M$2:$M$61,MATCH($J27,B!$E$2:$E$61,0))&amp;"",""))</f>
        <v/>
      </c>
      <c r="W27" s="71">
        <f>IF(I27="","",IFERROR(MID(I27,FIND("/d/",I27)+3,FIND("/edit",I27)-FIND("/d/",I27)-3),I27))</f>
        <v/>
      </c>
      <c r="X27" s="71">
        <f>IF($J27="","",IFERROR(INDEX(B!$C$2:$C$61,MATCH($J27,B!$E$2:$E$61,0))&amp;"",""))</f>
        <v/>
      </c>
      <c r="Y27" s="20" t="n"/>
      <c r="Z27" s="72">
        <f>IF($J27="",FALSE,ISNUMBER(SEARCH("scout",$K27)))</f>
        <v/>
      </c>
      <c r="AA27" s="72">
        <f>IF($J27="",FALSE,IFERROR(INDEX(B!$N$2:$N$61,MATCH($J27,B!$E$2:$E$61,0))="Sim",FALSE))</f>
        <v/>
      </c>
      <c r="AB27" s="72">
        <f>IF($J27="",FALSE,LEFT($X27,2)="XX")</f>
        <v/>
      </c>
      <c r="AC27" s="72">
        <f>IF($J27="",FALSE,IFERROR(INDEX(B!$P$2:$P$61,MATCH($J27,B!$E$2:$E$61,0))="Sim",FALSE))</f>
        <v/>
      </c>
      <c r="AD27" s="20" t="n"/>
      <c r="AE27" s="52">
        <f>IF(H27="","",HOUR(H27))</f>
        <v/>
      </c>
      <c r="AF27" s="52" t="n"/>
    </row>
    <row r="28" ht="19.5" customHeight="1" s="58">
      <c r="A28" s="62">
        <f>IF(G28="","",IF(G28=G27,"",COUNTIF($G$3:$G$976,G28)))</f>
        <v/>
      </c>
      <c r="B28" s="20" t="n"/>
      <c r="C28" s="63">
        <f>IF(G28="","",DAY(G28))</f>
        <v/>
      </c>
      <c r="D28" s="63">
        <f>IF(G28="","",MONTH(G28))</f>
        <v/>
      </c>
      <c r="E28" s="63">
        <f>IF(G28="","",YEAR(G28))</f>
        <v/>
      </c>
      <c r="F28" s="33">
        <f>IF(G28="","",CHOOSE(MONTH(G28),"Janeiro","Fevereiro","Março","Abril","Maio","Junho","Julho","Agosto","Setembro","Outubro","Novembro","Dezembro"))</f>
        <v/>
      </c>
      <c r="G28" s="64" t="n">
        <v>46054</v>
      </c>
      <c r="H28" s="65" t="n">
        <v>0.1190393518518519</v>
      </c>
      <c r="I28" s="66" t="inlineStr">
        <is>
          <t>https://docs.google.com/spreadsheets/d/1ZiCGoPjLCjuYvujDTXK9Ixbth3tekiLtFBzBrGjPCr4/edit?gid=0#gid=0</t>
        </is>
      </c>
      <c r="J28" s="67" t="inlineStr">
        <is>
          <t>Taxa de Limpeza, Reembolsado ao cliente - [TXLR]</t>
        </is>
      </c>
      <c r="K28" s="67" t="inlineStr">
        <is>
          <t>Scout</t>
        </is>
      </c>
      <c r="L28" s="68" t="b">
        <v>0</v>
      </c>
      <c r="M28" s="20" t="n"/>
      <c r="N28" s="69">
        <f>IF($J28="","",IFERROR(INDEX(B!$F$2:$F$61,MATCH($J28,B!$E$2:$E$61,0))&amp;"",""))</f>
        <v/>
      </c>
      <c r="O28" s="69">
        <f>IF($J28="","",IFERROR(INDEX(B!$G$2:$G$61,MATCH($J28,B!$E$2:$E$61,0))&amp;"",""))</f>
        <v/>
      </c>
      <c r="P28" s="69">
        <f>IF($J28="","",IFERROR(INDEX(B!$H$2:$H$61,MATCH($J28,B!$E$2:$E$61,0))&amp;"",""))</f>
        <v/>
      </c>
      <c r="Q28" s="69">
        <f>IF($J28="","",IFERROR(INDEX(B!$I$2:$I$61,MATCH($J28,B!$E$2:$E$61,0))&amp;"",""))</f>
        <v/>
      </c>
      <c r="R28" s="69">
        <f>IF($J28="","",IFERROR(INDEX(B!$J$2:$J$61,MATCH($J28,B!$E$2:$E$61,0))&amp;"",""))</f>
        <v/>
      </c>
      <c r="S28" s="69">
        <f>IF($J28="","",IFERROR(INDEX(B!$K$2:$K$61,MATCH($J28,B!$E$2:$E$61,0))&amp;"",""))</f>
        <v/>
      </c>
      <c r="T28" s="69">
        <f>IF($J28="","",IFERROR(INDEX(B!$L$2:$L$61,MATCH($J28,B!$E$2:$E$61,0))&amp;"",""))</f>
        <v/>
      </c>
      <c r="U28" s="20" t="n"/>
      <c r="V28" s="70">
        <f>IF($J28="","",IFERROR(INDEX(B!$M$2:$M$61,MATCH($J28,B!$E$2:$E$61,0))&amp;"",""))</f>
        <v/>
      </c>
      <c r="W28" s="71">
        <f>IF(I28="","",IFERROR(MID(I28,FIND("/d/",I28)+3,FIND("/edit",I28)-FIND("/d/",I28)-3),I28))</f>
        <v/>
      </c>
      <c r="X28" s="71">
        <f>IF($J28="","",IFERROR(INDEX(B!$C$2:$C$61,MATCH($J28,B!$E$2:$E$61,0))&amp;"",""))</f>
        <v/>
      </c>
      <c r="Y28" s="20" t="n"/>
      <c r="Z28" s="72">
        <f>IF($J28="",FALSE,ISNUMBER(SEARCH("scout",$K28)))</f>
        <v/>
      </c>
      <c r="AA28" s="72">
        <f>IF($J28="",FALSE,IFERROR(INDEX(B!$N$2:$N$61,MATCH($J28,B!$E$2:$E$61,0))="Sim",FALSE))</f>
        <v/>
      </c>
      <c r="AB28" s="72">
        <f>IF($J28="",FALSE,LEFT($X28,2)="XX")</f>
        <v/>
      </c>
      <c r="AC28" s="72">
        <f>IF($J28="",FALSE,IFERROR(INDEX(B!$P$2:$P$61,MATCH($J28,B!$E$2:$E$61,0))="Sim",FALSE))</f>
        <v/>
      </c>
      <c r="AD28" s="20" t="n"/>
      <c r="AE28" s="52">
        <f>IF(H28="","",HOUR(H28))</f>
        <v/>
      </c>
      <c r="AF28" s="52" t="n"/>
    </row>
    <row r="29" ht="19.5" customHeight="1" s="58">
      <c r="A29" s="62">
        <f>IF(G29="","",IF(G29=G28,"",COUNTIF($G$3:$G$976,G29)))</f>
        <v/>
      </c>
      <c r="B29" s="20" t="n"/>
      <c r="C29" s="63">
        <f>IF(G29="","",DAY(G29))</f>
        <v/>
      </c>
      <c r="D29" s="63">
        <f>IF(G29="","",MONTH(G29))</f>
        <v/>
      </c>
      <c r="E29" s="63">
        <f>IF(G29="","",YEAR(G29))</f>
        <v/>
      </c>
      <c r="F29" s="33">
        <f>IF(G29="","",CHOOSE(MONTH(G29),"Janeiro","Fevereiro","Março","Abril","Maio","Junho","Julho","Agosto","Setembro","Outubro","Novembro","Dezembro"))</f>
        <v/>
      </c>
      <c r="G29" s="64" t="n">
        <v>46054</v>
      </c>
      <c r="H29" s="65" t="n">
        <v>0.1334837962962963</v>
      </c>
      <c r="I29" s="66" t="inlineStr">
        <is>
          <t>https://docs.google.com/spreadsheets/d/1ZiCGoPjLCjuYvujDTXK9Ixbth3tekiLtFBzBrGjPCr4/edit?gid=0#gid=0</t>
        </is>
      </c>
      <c r="J29" s="67" t="inlineStr">
        <is>
          <t>Comprovante de Pagamento - [CP]</t>
        </is>
      </c>
      <c r="K29" s="67" t="inlineStr"/>
      <c r="L29" s="68" t="b">
        <v>0</v>
      </c>
      <c r="M29" s="20" t="n"/>
      <c r="N29" s="69">
        <f>IF($J29="","",IFERROR(INDEX(B!$F$2:$F$61,MATCH($J29,B!$E$2:$E$61,0))&amp;"",""))</f>
        <v/>
      </c>
      <c r="O29" s="69">
        <f>IF($J29="","",IFERROR(INDEX(B!$G$2:$G$61,MATCH($J29,B!$E$2:$E$61,0))&amp;"",""))</f>
        <v/>
      </c>
      <c r="P29" s="69">
        <f>IF($J29="","",IFERROR(INDEX(B!$H$2:$H$61,MATCH($J29,B!$E$2:$E$61,0))&amp;"",""))</f>
        <v/>
      </c>
      <c r="Q29" s="69">
        <f>IF($J29="","",IFERROR(INDEX(B!$I$2:$I$61,MATCH($J29,B!$E$2:$E$61,0))&amp;"",""))</f>
        <v/>
      </c>
      <c r="R29" s="69">
        <f>IF($J29="","",IFERROR(INDEX(B!$J$2:$J$61,MATCH($J29,B!$E$2:$E$61,0))&amp;"",""))</f>
        <v/>
      </c>
      <c r="S29" s="69">
        <f>IF($J29="","",IFERROR(INDEX(B!$K$2:$K$61,MATCH($J29,B!$E$2:$E$61,0))&amp;"",""))</f>
        <v/>
      </c>
      <c r="T29" s="69">
        <f>IF($J29="","",IFERROR(INDEX(B!$L$2:$L$61,MATCH($J29,B!$E$2:$E$61,0))&amp;"",""))</f>
        <v/>
      </c>
      <c r="U29" s="20" t="n"/>
      <c r="V29" s="70">
        <f>IF($J29="","",IFERROR(INDEX(B!$M$2:$M$61,MATCH($J29,B!$E$2:$E$61,0))&amp;"",""))</f>
        <v/>
      </c>
      <c r="W29" s="71">
        <f>IF(I29="","",IFERROR(MID(I29,FIND("/d/",I29)+3,FIND("/edit",I29)-FIND("/d/",I29)-3),I29))</f>
        <v/>
      </c>
      <c r="X29" s="71">
        <f>IF($J29="","",IFERROR(INDEX(B!$C$2:$C$61,MATCH($J29,B!$E$2:$E$61,0))&amp;"",""))</f>
        <v/>
      </c>
      <c r="Y29" s="20" t="n"/>
      <c r="Z29" s="72">
        <f>IF($J29="",FALSE,ISNUMBER(SEARCH("scout",$K29)))</f>
        <v/>
      </c>
      <c r="AA29" s="72">
        <f>IF($J29="",FALSE,IFERROR(INDEX(B!$N$2:$N$61,MATCH($J29,B!$E$2:$E$61,0))="Sim",FALSE))</f>
        <v/>
      </c>
      <c r="AB29" s="72">
        <f>IF($J29="",FALSE,LEFT($X29,2)="XX")</f>
        <v/>
      </c>
      <c r="AC29" s="72">
        <f>IF($J29="",FALSE,IFERROR(INDEX(B!$P$2:$P$61,MATCH($J29,B!$E$2:$E$61,0))="Sim",FALSE))</f>
        <v/>
      </c>
      <c r="AD29" s="20" t="n"/>
      <c r="AE29" s="52">
        <f>IF(H29="","",HOUR(H29))</f>
        <v/>
      </c>
      <c r="AF29" s="52" t="n"/>
    </row>
    <row r="30" ht="19.5" customHeight="1" s="58">
      <c r="A30" s="62">
        <f>IF(G30="","",IF(G30=G29,"",COUNTIF($G$3:$G$976,G30)))</f>
        <v/>
      </c>
      <c r="B30" s="20" t="n"/>
      <c r="C30" s="63">
        <f>IF(G30="","",DAY(G30))</f>
        <v/>
      </c>
      <c r="D30" s="63">
        <f>IF(G30="","",MONTH(G30))</f>
        <v/>
      </c>
      <c r="E30" s="63">
        <f>IF(G30="","",YEAR(G30))</f>
        <v/>
      </c>
      <c r="F30" s="33">
        <f>IF(G30="","",CHOOSE(MONTH(G30),"Janeiro","Fevereiro","Março","Abril","Maio","Junho","Julho","Agosto","Setembro","Outubro","Novembro","Dezembro"))</f>
        <v/>
      </c>
      <c r="G30" s="64" t="n">
        <v>46054</v>
      </c>
      <c r="H30" s="65" t="n">
        <v>0.1348842592592593</v>
      </c>
      <c r="I30" s="66" t="inlineStr">
        <is>
          <t>https://docs.google.com/spreadsheets/d/1ZiCGoPjLCjuYvujDTXK9Ixbth3tekiLtFBzBrGjPCr4/edit?gid=0#gid=0</t>
        </is>
      </c>
      <c r="J30" s="67" t="inlineStr">
        <is>
          <t>Transferência de LOB (Driver) - [TIDV]</t>
        </is>
      </c>
      <c r="K30" s="67" t="inlineStr"/>
      <c r="L30" s="68" t="b">
        <v>0</v>
      </c>
      <c r="M30" s="20" t="n"/>
      <c r="N30" s="69">
        <f>IF($J30="","",IFERROR(INDEX(B!$F$2:$F$61,MATCH($J30,B!$E$2:$E$61,0))&amp;"",""))</f>
        <v/>
      </c>
      <c r="O30" s="69">
        <f>IF($J30="","",IFERROR(INDEX(B!$G$2:$G$61,MATCH($J30,B!$E$2:$E$61,0))&amp;"",""))</f>
        <v/>
      </c>
      <c r="P30" s="69">
        <f>IF($J30="","",IFERROR(INDEX(B!$H$2:$H$61,MATCH($J30,B!$E$2:$E$61,0))&amp;"",""))</f>
        <v/>
      </c>
      <c r="Q30" s="69">
        <f>IF($J30="","",IFERROR(INDEX(B!$I$2:$I$61,MATCH($J30,B!$E$2:$E$61,0))&amp;"",""))</f>
        <v/>
      </c>
      <c r="R30" s="69">
        <f>IF($J30="","",IFERROR(INDEX(B!$J$2:$J$61,MATCH($J30,B!$E$2:$E$61,0))&amp;"",""))</f>
        <v/>
      </c>
      <c r="S30" s="69">
        <f>IF($J30="","",IFERROR(INDEX(B!$K$2:$K$61,MATCH($J30,B!$E$2:$E$61,0))&amp;"",""))</f>
        <v/>
      </c>
      <c r="T30" s="69">
        <f>IF($J30="","",IFERROR(INDEX(B!$L$2:$L$61,MATCH($J30,B!$E$2:$E$61,0))&amp;"",""))</f>
        <v/>
      </c>
      <c r="U30" s="20" t="n"/>
      <c r="V30" s="70">
        <f>IF($J30="","",IFERROR(INDEX(B!$M$2:$M$61,MATCH($J30,B!$E$2:$E$61,0))&amp;"",""))</f>
        <v/>
      </c>
      <c r="W30" s="71">
        <f>IF(I30="","",IFERROR(MID(I30,FIND("/d/",I30)+3,FIND("/edit",I30)-FIND("/d/",I30)-3),I30))</f>
        <v/>
      </c>
      <c r="X30" s="71">
        <f>IF($J30="","",IFERROR(INDEX(B!$C$2:$C$61,MATCH($J30,B!$E$2:$E$61,0))&amp;"",""))</f>
        <v/>
      </c>
      <c r="Y30" s="20" t="n"/>
      <c r="Z30" s="72">
        <f>IF($J30="",FALSE,ISNUMBER(SEARCH("scout",$K30)))</f>
        <v/>
      </c>
      <c r="AA30" s="72">
        <f>IF($J30="",FALSE,IFERROR(INDEX(B!$N$2:$N$61,MATCH($J30,B!$E$2:$E$61,0))="Sim",FALSE))</f>
        <v/>
      </c>
      <c r="AB30" s="72">
        <f>IF($J30="",FALSE,LEFT($X30,2)="XX")</f>
        <v/>
      </c>
      <c r="AC30" s="72">
        <f>IF($J30="",FALSE,IFERROR(INDEX(B!$P$2:$P$61,MATCH($J30,B!$E$2:$E$61,0))="Sim",FALSE))</f>
        <v/>
      </c>
      <c r="AD30" s="20" t="n"/>
      <c r="AE30" s="52">
        <f>IF(H30="","",HOUR(H30))</f>
        <v/>
      </c>
      <c r="AF30" s="52" t="n"/>
    </row>
    <row r="31" ht="19.5" customHeight="1" s="58">
      <c r="A31" s="62">
        <f>IF(G31="","",IF(G31=G30,"",COUNTIF($G$3:$G$976,G31)))</f>
        <v/>
      </c>
      <c r="B31" s="20" t="n"/>
      <c r="C31" s="63">
        <f>IF(G31="","",DAY(G31))</f>
        <v/>
      </c>
      <c r="D31" s="63">
        <f>IF(G31="","",MONTH(G31))</f>
        <v/>
      </c>
      <c r="E31" s="63">
        <f>IF(G31="","",YEAR(G31))</f>
        <v/>
      </c>
      <c r="F31" s="33">
        <f>IF(G31="","",CHOOSE(MONTH(G31),"Janeiro","Fevereiro","Março","Abril","Maio","Junho","Julho","Agosto","Setembro","Outubro","Novembro","Dezembro"))</f>
        <v/>
      </c>
      <c r="G31" s="64" t="n">
        <v>46054</v>
      </c>
      <c r="H31" s="65" t="n">
        <v>0.1391550925925926</v>
      </c>
      <c r="I31" s="66" t="inlineStr">
        <is>
          <t>https://docs.google.com/spreadsheets/d/1ZiCGoPjLCjuYvujDTXK9Ixbth3tekiLtFBzBrGjPCr4/edit?gid=0#gid=0</t>
        </is>
      </c>
      <c r="J31" s="67" t="inlineStr">
        <is>
          <t>Transferência de LOB (Profissionalismo) - [TIPR]</t>
        </is>
      </c>
      <c r="K31" s="67" t="inlineStr">
        <is>
          <t>Scout</t>
        </is>
      </c>
      <c r="L31" s="68" t="b">
        <v>0</v>
      </c>
      <c r="M31" s="20" t="n"/>
      <c r="N31" s="69">
        <f>IF($J31="","",IFERROR(INDEX(B!$F$2:$F$61,MATCH($J31,B!$E$2:$E$61,0))&amp;"",""))</f>
        <v/>
      </c>
      <c r="O31" s="69">
        <f>IF($J31="","",IFERROR(INDEX(B!$G$2:$G$61,MATCH($J31,B!$E$2:$E$61,0))&amp;"",""))</f>
        <v/>
      </c>
      <c r="P31" s="69">
        <f>IF($J31="","",IFERROR(INDEX(B!$H$2:$H$61,MATCH($J31,B!$E$2:$E$61,0))&amp;"",""))</f>
        <v/>
      </c>
      <c r="Q31" s="69">
        <f>IF($J31="","",IFERROR(INDEX(B!$I$2:$I$61,MATCH($J31,B!$E$2:$E$61,0))&amp;"",""))</f>
        <v/>
      </c>
      <c r="R31" s="69">
        <f>IF($J31="","",IFERROR(INDEX(B!$J$2:$J$61,MATCH($J31,B!$E$2:$E$61,0))&amp;"",""))</f>
        <v/>
      </c>
      <c r="S31" s="69">
        <f>IF($J31="","",IFERROR(INDEX(B!$K$2:$K$61,MATCH($J31,B!$E$2:$E$61,0))&amp;"",""))</f>
        <v/>
      </c>
      <c r="T31" s="69">
        <f>IF($J31="","",IFERROR(INDEX(B!$L$2:$L$61,MATCH($J31,B!$E$2:$E$61,0))&amp;"",""))</f>
        <v/>
      </c>
      <c r="U31" s="20" t="n"/>
      <c r="V31" s="70">
        <f>IF($J31="","",IFERROR(INDEX(B!$M$2:$M$61,MATCH($J31,B!$E$2:$E$61,0))&amp;"",""))</f>
        <v/>
      </c>
      <c r="W31" s="71">
        <f>IF(I31="","",IFERROR(MID(I31,FIND("/d/",I31)+3,FIND("/edit",I31)-FIND("/d/",I31)-3),I31))</f>
        <v/>
      </c>
      <c r="X31" s="71">
        <f>IF($J31="","",IFERROR(INDEX(B!$C$2:$C$61,MATCH($J31,B!$E$2:$E$61,0))&amp;"",""))</f>
        <v/>
      </c>
      <c r="Y31" s="20" t="n"/>
      <c r="Z31" s="72">
        <f>IF($J31="",FALSE,ISNUMBER(SEARCH("scout",$K31)))</f>
        <v/>
      </c>
      <c r="AA31" s="72">
        <f>IF($J31="",FALSE,IFERROR(INDEX(B!$N$2:$N$61,MATCH($J31,B!$E$2:$E$61,0))="Sim",FALSE))</f>
        <v/>
      </c>
      <c r="AB31" s="72">
        <f>IF($J31="",FALSE,LEFT($X31,2)="XX")</f>
        <v/>
      </c>
      <c r="AC31" s="72">
        <f>IF($J31="",FALSE,IFERROR(INDEX(B!$P$2:$P$61,MATCH($J31,B!$E$2:$E$61,0))="Sim",FALSE))</f>
        <v/>
      </c>
      <c r="AD31" s="20" t="n"/>
      <c r="AE31" s="52">
        <f>IF(H31="","",HOUR(H31))</f>
        <v/>
      </c>
      <c r="AF31" s="52" t="n"/>
    </row>
    <row r="32" ht="19.5" customHeight="1" s="58">
      <c r="A32" s="62">
        <f>IF(G32="","",IF(G32=G31,"",COUNTIF($G$3:$G$976,G32)))</f>
        <v/>
      </c>
      <c r="B32" s="20" t="n"/>
      <c r="C32" s="63">
        <f>IF(G32="","",DAY(G32))</f>
        <v/>
      </c>
      <c r="D32" s="63">
        <f>IF(G32="","",MONTH(G32))</f>
        <v/>
      </c>
      <c r="E32" s="63">
        <f>IF(G32="","",YEAR(G32))</f>
        <v/>
      </c>
      <c r="F32" s="33">
        <f>IF(G32="","",CHOOSE(MONTH(G32),"Janeiro","Fevereiro","Março","Abril","Maio","Junho","Julho","Agosto","Setembro","Outubro","Novembro","Dezembro"))</f>
        <v/>
      </c>
      <c r="G32" s="64" t="n">
        <v>46054</v>
      </c>
      <c r="H32" s="65" t="n">
        <v>0.1453819444444444</v>
      </c>
      <c r="I32" s="66" t="inlineStr">
        <is>
          <t>https://docs.google.com/spreadsheets/d/1ZiCGoPjLCjuYvujDTXK9Ixbth3tekiLtFBzBrGjPCr4/edit?gid=0#gid=0</t>
        </is>
      </c>
      <c r="J32" s="67" t="inlineStr">
        <is>
          <t>Transferência de LOB (Safety) - [TIST]</t>
        </is>
      </c>
      <c r="K32" s="67" t="inlineStr"/>
      <c r="L32" s="68" t="b">
        <v>0</v>
      </c>
      <c r="M32" s="20" t="n"/>
      <c r="N32" s="69">
        <f>IF($J32="","",IFERROR(INDEX(B!$F$2:$F$61,MATCH($J32,B!$E$2:$E$61,0))&amp;"",""))</f>
        <v/>
      </c>
      <c r="O32" s="69">
        <f>IF($J32="","",IFERROR(INDEX(B!$G$2:$G$61,MATCH($J32,B!$E$2:$E$61,0))&amp;"",""))</f>
        <v/>
      </c>
      <c r="P32" s="69">
        <f>IF($J32="","",IFERROR(INDEX(B!$H$2:$H$61,MATCH($J32,B!$E$2:$E$61,0))&amp;"",""))</f>
        <v/>
      </c>
      <c r="Q32" s="69">
        <f>IF($J32="","",IFERROR(INDEX(B!$I$2:$I$61,MATCH($J32,B!$E$2:$E$61,0))&amp;"",""))</f>
        <v/>
      </c>
      <c r="R32" s="69">
        <f>IF($J32="","",IFERROR(INDEX(B!$J$2:$J$61,MATCH($J32,B!$E$2:$E$61,0))&amp;"",""))</f>
        <v/>
      </c>
      <c r="S32" s="69">
        <f>IF($J32="","",IFERROR(INDEX(B!$K$2:$K$61,MATCH($J32,B!$E$2:$E$61,0))&amp;"",""))</f>
        <v/>
      </c>
      <c r="T32" s="69">
        <f>IF($J32="","",IFERROR(INDEX(B!$L$2:$L$61,MATCH($J32,B!$E$2:$E$61,0))&amp;"",""))</f>
        <v/>
      </c>
      <c r="U32" s="20" t="n"/>
      <c r="V32" s="70">
        <f>IF($J32="","",IFERROR(INDEX(B!$M$2:$M$61,MATCH($J32,B!$E$2:$E$61,0))&amp;"",""))</f>
        <v/>
      </c>
      <c r="W32" s="71">
        <f>IF(I32="","",IFERROR(MID(I32,FIND("/d/",I32)+3,FIND("/edit",I32)-FIND("/d/",I32)-3),I32))</f>
        <v/>
      </c>
      <c r="X32" s="71">
        <f>IF($J32="","",IFERROR(INDEX(B!$C$2:$C$61,MATCH($J32,B!$E$2:$E$61,0))&amp;"",""))</f>
        <v/>
      </c>
      <c r="Y32" s="20" t="n"/>
      <c r="Z32" s="72">
        <f>IF($J32="",FALSE,ISNUMBER(SEARCH("scout",$K32)))</f>
        <v/>
      </c>
      <c r="AA32" s="72">
        <f>IF($J32="",FALSE,IFERROR(INDEX(B!$N$2:$N$61,MATCH($J32,B!$E$2:$E$61,0))="Sim",FALSE))</f>
        <v/>
      </c>
      <c r="AB32" s="72">
        <f>IF($J32="",FALSE,LEFT($X32,2)="XX")</f>
        <v/>
      </c>
      <c r="AC32" s="72">
        <f>IF($J32="",FALSE,IFERROR(INDEX(B!$P$2:$P$61,MATCH($J32,B!$E$2:$E$61,0))="Sim",FALSE))</f>
        <v/>
      </c>
      <c r="AD32" s="20" t="n"/>
      <c r="AE32" s="52">
        <f>IF(H32="","",HOUR(H32))</f>
        <v/>
      </c>
      <c r="AF32" s="52" t="n"/>
    </row>
    <row r="33" ht="19.5" customHeight="1" s="58">
      <c r="A33" s="62">
        <f>IF(G33="","",IF(G33=G32,"",COUNTIF($G$3:$G$976,G33)))</f>
        <v/>
      </c>
      <c r="B33" s="20" t="n"/>
      <c r="C33" s="63">
        <f>IF(G33="","",DAY(G33))</f>
        <v/>
      </c>
      <c r="D33" s="63">
        <f>IF(G33="","",MONTH(G33))</f>
        <v/>
      </c>
      <c r="E33" s="63">
        <f>IF(G33="","",YEAR(G33))</f>
        <v/>
      </c>
      <c r="F33" s="33">
        <f>IF(G33="","",CHOOSE(MONTH(G33),"Janeiro","Fevereiro","Março","Abril","Maio","Junho","Julho","Agosto","Setembro","Outubro","Novembro","Dezembro"))</f>
        <v/>
      </c>
      <c r="G33" s="64" t="n">
        <v>46054</v>
      </c>
      <c r="H33" s="65" t="n">
        <v>0.1472685185185185</v>
      </c>
      <c r="I33" s="66" t="inlineStr">
        <is>
          <t>https://docs.google.com/spreadsheets/d/1ZiCGoPjLCjuYvujDTXK9Ixbth3tekiLtFBzBrGjPCr4/edit?gid=0#gid=0</t>
        </is>
      </c>
      <c r="J33" s="67" t="inlineStr">
        <is>
          <t>Overpaid, Excede o limite, Sem comprovante - [OPEN]</t>
        </is>
      </c>
      <c r="K33" s="67" t="inlineStr">
        <is>
          <t>Scout</t>
        </is>
      </c>
      <c r="L33" s="68" t="b">
        <v>0</v>
      </c>
      <c r="M33" s="20" t="n"/>
      <c r="N33" s="69">
        <f>IF($J33="","",IFERROR(INDEX(B!$F$2:$F$61,MATCH($J33,B!$E$2:$E$61,0))&amp;"",""))</f>
        <v/>
      </c>
      <c r="O33" s="69">
        <f>IF($J33="","",IFERROR(INDEX(B!$G$2:$G$61,MATCH($J33,B!$E$2:$E$61,0))&amp;"",""))</f>
        <v/>
      </c>
      <c r="P33" s="69">
        <f>IF($J33="","",IFERROR(INDEX(B!$H$2:$H$61,MATCH($J33,B!$E$2:$E$61,0))&amp;"",""))</f>
        <v/>
      </c>
      <c r="Q33" s="69">
        <f>IF($J33="","",IFERROR(INDEX(B!$I$2:$I$61,MATCH($J33,B!$E$2:$E$61,0))&amp;"",""))</f>
        <v/>
      </c>
      <c r="R33" s="69">
        <f>IF($J33="","",IFERROR(INDEX(B!$J$2:$J$61,MATCH($J33,B!$E$2:$E$61,0))&amp;"",""))</f>
        <v/>
      </c>
      <c r="S33" s="69">
        <f>IF($J33="","",IFERROR(INDEX(B!$K$2:$K$61,MATCH($J33,B!$E$2:$E$61,0))&amp;"",""))</f>
        <v/>
      </c>
      <c r="T33" s="69">
        <f>IF($J33="","",IFERROR(INDEX(B!$L$2:$L$61,MATCH($J33,B!$E$2:$E$61,0))&amp;"",""))</f>
        <v/>
      </c>
      <c r="U33" s="20" t="n"/>
      <c r="V33" s="70">
        <f>IF($J33="","",IFERROR(INDEX(B!$M$2:$M$61,MATCH($J33,B!$E$2:$E$61,0))&amp;"",""))</f>
        <v/>
      </c>
      <c r="W33" s="71">
        <f>IF(I33="","",IFERROR(MID(I33,FIND("/d/",I33)+3,FIND("/edit",I33)-FIND("/d/",I33)-3),I33))</f>
        <v/>
      </c>
      <c r="X33" s="71">
        <f>IF($J33="","",IFERROR(INDEX(B!$C$2:$C$61,MATCH($J33,B!$E$2:$E$61,0))&amp;"",""))</f>
        <v/>
      </c>
      <c r="Y33" s="20" t="n"/>
      <c r="Z33" s="72">
        <f>IF($J33="",FALSE,ISNUMBER(SEARCH("scout",$K33)))</f>
        <v/>
      </c>
      <c r="AA33" s="72">
        <f>IF($J33="",FALSE,IFERROR(INDEX(B!$N$2:$N$61,MATCH($J33,B!$E$2:$E$61,0))="Sim",FALSE))</f>
        <v/>
      </c>
      <c r="AB33" s="72">
        <f>IF($J33="",FALSE,LEFT($X33,2)="XX")</f>
        <v/>
      </c>
      <c r="AC33" s="72">
        <f>IF($J33="",FALSE,IFERROR(INDEX(B!$P$2:$P$61,MATCH($J33,B!$E$2:$E$61,0))="Sim",FALSE))</f>
        <v/>
      </c>
      <c r="AD33" s="20" t="n"/>
      <c r="AE33" s="52">
        <f>IF(H33="","",HOUR(H33))</f>
        <v/>
      </c>
      <c r="AF33" s="52" t="n"/>
    </row>
    <row r="34" ht="19.5" customHeight="1" s="58">
      <c r="A34" s="62">
        <f>IF(G34="","",IF(G34=G33,"",COUNTIF($G$3:$G$976,G34)))</f>
        <v/>
      </c>
      <c r="B34" s="20" t="n"/>
      <c r="C34" s="63">
        <f>IF(G34="","",DAY(G34))</f>
        <v/>
      </c>
      <c r="D34" s="63">
        <f>IF(G34="","",MONTH(G34))</f>
        <v/>
      </c>
      <c r="E34" s="63">
        <f>IF(G34="","",YEAR(G34))</f>
        <v/>
      </c>
      <c r="F34" s="33">
        <f>IF(G34="","",CHOOSE(MONTH(G34),"Janeiro","Fevereiro","Março","Abril","Maio","Junho","Julho","Agosto","Setembro","Outubro","Novembro","Dezembro"))</f>
        <v/>
      </c>
      <c r="G34" s="64" t="n">
        <v>46054</v>
      </c>
      <c r="H34" s="65" t="n">
        <v>0.1519212962962963</v>
      </c>
      <c r="I34" s="66" t="inlineStr">
        <is>
          <t>https://docs.google.com/spreadsheets/d/1ZiCGoPjLCjuYvujDTXK9Ixbth3tekiLtFBzBrGjPCr4/edit?gid=0#gid=0</t>
        </is>
      </c>
      <c r="J34" s="67" t="inlineStr">
        <is>
          <t>Comprovante de Pagamento - [CP]</t>
        </is>
      </c>
      <c r="K34" s="67" t="inlineStr">
        <is>
          <t>Scout</t>
        </is>
      </c>
      <c r="L34" s="68" t="b">
        <v>0</v>
      </c>
      <c r="M34" s="20" t="n"/>
      <c r="N34" s="69">
        <f>IF($J34="","",IFERROR(INDEX(B!$F$2:$F$61,MATCH($J34,B!$E$2:$E$61,0))&amp;"",""))</f>
        <v/>
      </c>
      <c r="O34" s="69">
        <f>IF($J34="","",IFERROR(INDEX(B!$G$2:$G$61,MATCH($J34,B!$E$2:$E$61,0))&amp;"",""))</f>
        <v/>
      </c>
      <c r="P34" s="69">
        <f>IF($J34="","",IFERROR(INDEX(B!$H$2:$H$61,MATCH($J34,B!$E$2:$E$61,0))&amp;"",""))</f>
        <v/>
      </c>
      <c r="Q34" s="69">
        <f>IF($J34="","",IFERROR(INDEX(B!$I$2:$I$61,MATCH($J34,B!$E$2:$E$61,0))&amp;"",""))</f>
        <v/>
      </c>
      <c r="R34" s="69">
        <f>IF($J34="","",IFERROR(INDEX(B!$J$2:$J$61,MATCH($J34,B!$E$2:$E$61,0))&amp;"",""))</f>
        <v/>
      </c>
      <c r="S34" s="69">
        <f>IF($J34="","",IFERROR(INDEX(B!$K$2:$K$61,MATCH($J34,B!$E$2:$E$61,0))&amp;"",""))</f>
        <v/>
      </c>
      <c r="T34" s="69">
        <f>IF($J34="","",IFERROR(INDEX(B!$L$2:$L$61,MATCH($J34,B!$E$2:$E$61,0))&amp;"",""))</f>
        <v/>
      </c>
      <c r="U34" s="20" t="n"/>
      <c r="V34" s="70">
        <f>IF($J34="","",IFERROR(INDEX(B!$M$2:$M$61,MATCH($J34,B!$E$2:$E$61,0))&amp;"",""))</f>
        <v/>
      </c>
      <c r="W34" s="71">
        <f>IF(I34="","",IFERROR(MID(I34,FIND("/d/",I34)+3,FIND("/edit",I34)-FIND("/d/",I34)-3),I34))</f>
        <v/>
      </c>
      <c r="X34" s="71">
        <f>IF($J34="","",IFERROR(INDEX(B!$C$2:$C$61,MATCH($J34,B!$E$2:$E$61,0))&amp;"",""))</f>
        <v/>
      </c>
      <c r="Y34" s="20" t="n"/>
      <c r="Z34" s="72">
        <f>IF($J34="",FALSE,ISNUMBER(SEARCH("scout",$K34)))</f>
        <v/>
      </c>
      <c r="AA34" s="72">
        <f>IF($J34="",FALSE,IFERROR(INDEX(B!$N$2:$N$61,MATCH($J34,B!$E$2:$E$61,0))="Sim",FALSE))</f>
        <v/>
      </c>
      <c r="AB34" s="72">
        <f>IF($J34="",FALSE,LEFT($X34,2)="XX")</f>
        <v/>
      </c>
      <c r="AC34" s="72">
        <f>IF($J34="",FALSE,IFERROR(INDEX(B!$P$2:$P$61,MATCH($J34,B!$E$2:$E$61,0))="Sim",FALSE))</f>
        <v/>
      </c>
      <c r="AD34" s="20" t="n"/>
      <c r="AE34" s="52">
        <f>IF(H34="","",HOUR(H34))</f>
        <v/>
      </c>
      <c r="AF34" s="52" t="n"/>
    </row>
    <row r="35" ht="19.5" customHeight="1" s="58">
      <c r="A35" s="62">
        <f>IF(G35="","",IF(G35=G34,"",COUNTIF($G$3:$G$976,G35)))</f>
        <v/>
      </c>
      <c r="B35" s="20" t="n"/>
      <c r="C35" s="63">
        <f>IF(G35="","",DAY(G35))</f>
        <v/>
      </c>
      <c r="D35" s="63">
        <f>IF(G35="","",MONTH(G35))</f>
        <v/>
      </c>
      <c r="E35" s="63">
        <f>IF(G35="","",YEAR(G35))</f>
        <v/>
      </c>
      <c r="F35" s="33">
        <f>IF(G35="","",CHOOSE(MONTH(G35),"Janeiro","Fevereiro","Março","Abril","Maio","Junho","Julho","Agosto","Setembro","Outubro","Novembro","Dezembro"))</f>
        <v/>
      </c>
      <c r="G35" s="64" t="n">
        <v>46054</v>
      </c>
      <c r="H35" s="65" t="n">
        <v>0.1567361111111111</v>
      </c>
      <c r="I35" s="66" t="inlineStr">
        <is>
          <t>https://docs.google.com/spreadsheets/d/1ZiCGoPjLCjuYvujDTXK9Ixbth3tekiLtFBzBrGjPCr4/edit?gid=0#gid=0</t>
        </is>
      </c>
      <c r="J35" s="67" t="inlineStr">
        <is>
          <t>Pushback (Agradecimento) - [XXA]</t>
        </is>
      </c>
      <c r="K35" s="67" t="inlineStr"/>
      <c r="L35" s="68" t="b">
        <v>0</v>
      </c>
      <c r="M35" s="20" t="n"/>
      <c r="N35" s="69">
        <f>IF($J35="","",IFERROR(INDEX(B!$F$2:$F$61,MATCH($J35,B!$E$2:$E$61,0))&amp;"",""))</f>
        <v/>
      </c>
      <c r="O35" s="69">
        <f>IF($J35="","",IFERROR(INDEX(B!$G$2:$G$61,MATCH($J35,B!$E$2:$E$61,0))&amp;"",""))</f>
        <v/>
      </c>
      <c r="P35" s="69">
        <f>IF($J35="","",IFERROR(INDEX(B!$H$2:$H$61,MATCH($J35,B!$E$2:$E$61,0))&amp;"",""))</f>
        <v/>
      </c>
      <c r="Q35" s="69">
        <f>IF($J35="","",IFERROR(INDEX(B!$I$2:$I$61,MATCH($J35,B!$E$2:$E$61,0))&amp;"",""))</f>
        <v/>
      </c>
      <c r="R35" s="69">
        <f>IF($J35="","",IFERROR(INDEX(B!$J$2:$J$61,MATCH($J35,B!$E$2:$E$61,0))&amp;"",""))</f>
        <v/>
      </c>
      <c r="S35" s="69">
        <f>IF($J35="","",IFERROR(INDEX(B!$K$2:$K$61,MATCH($J35,B!$E$2:$E$61,0))&amp;"",""))</f>
        <v/>
      </c>
      <c r="T35" s="69">
        <f>IF($J35="","",IFERROR(INDEX(B!$L$2:$L$61,MATCH($J35,B!$E$2:$E$61,0))&amp;"",""))</f>
        <v/>
      </c>
      <c r="U35" s="20" t="n"/>
      <c r="V35" s="70">
        <f>IF($J35="","",IFERROR(INDEX(B!$M$2:$M$61,MATCH($J35,B!$E$2:$E$61,0))&amp;"",""))</f>
        <v/>
      </c>
      <c r="W35" s="71">
        <f>IF(I35="","",IFERROR(MID(I35,FIND("/d/",I35)+3,FIND("/edit",I35)-FIND("/d/",I35)-3),I35))</f>
        <v/>
      </c>
      <c r="X35" s="71">
        <f>IF($J35="","",IFERROR(INDEX(B!$C$2:$C$61,MATCH($J35,B!$E$2:$E$61,0))&amp;"",""))</f>
        <v/>
      </c>
      <c r="Y35" s="20" t="n"/>
      <c r="Z35" s="72">
        <f>IF($J35="",FALSE,ISNUMBER(SEARCH("scout",$K35)))</f>
        <v/>
      </c>
      <c r="AA35" s="72">
        <f>IF($J35="",FALSE,IFERROR(INDEX(B!$N$2:$N$61,MATCH($J35,B!$E$2:$E$61,0))="Sim",FALSE))</f>
        <v/>
      </c>
      <c r="AB35" s="72">
        <f>IF($J35="",FALSE,LEFT($X35,2)="XX")</f>
        <v/>
      </c>
      <c r="AC35" s="72">
        <f>IF($J35="",FALSE,IFERROR(INDEX(B!$P$2:$P$61,MATCH($J35,B!$E$2:$E$61,0))="Sim",FALSE))</f>
        <v/>
      </c>
      <c r="AD35" s="20" t="n"/>
      <c r="AE35" s="52">
        <f>IF(H35="","",HOUR(H35))</f>
        <v/>
      </c>
      <c r="AF35" s="52" t="n"/>
    </row>
    <row r="36" ht="19.5" customHeight="1" s="58">
      <c r="A36" s="62">
        <f>IF(G36="","",IF(G36=G35,"",COUNTIF($G$3:$G$976,G36)))</f>
        <v/>
      </c>
      <c r="B36" s="20" t="n"/>
      <c r="C36" s="63">
        <f>IF(G36="","",DAY(G36))</f>
        <v/>
      </c>
      <c r="D36" s="63">
        <f>IF(G36="","",MONTH(G36))</f>
        <v/>
      </c>
      <c r="E36" s="63">
        <f>IF(G36="","",YEAR(G36))</f>
        <v/>
      </c>
      <c r="F36" s="33">
        <f>IF(G36="","",CHOOSE(MONTH(G36),"Janeiro","Fevereiro","Março","Abril","Maio","Junho","Julho","Agosto","Setembro","Outubro","Novembro","Dezembro"))</f>
        <v/>
      </c>
      <c r="G36" s="64" t="n">
        <v>46054</v>
      </c>
      <c r="H36" s="65" t="n">
        <v>0.1568981481481481</v>
      </c>
      <c r="I36" s="66" t="inlineStr">
        <is>
          <t>https://docs.google.com/spreadsheets/d/1ZiCGoPjLCjuYvujDTXK9Ixbth3tekiLtFBzBrGjPCr4/edit?gid=0#gid=0</t>
        </is>
      </c>
      <c r="J36" s="67" t="inlineStr">
        <is>
          <t>Mais informações Gerais - [AA]</t>
        </is>
      </c>
      <c r="K36" s="67" t="inlineStr">
        <is>
          <t>Scout</t>
        </is>
      </c>
      <c r="L36" s="68" t="b">
        <v>0</v>
      </c>
      <c r="M36" s="20" t="n"/>
      <c r="N36" s="69">
        <f>IF($J36="","",IFERROR(INDEX(B!$F$2:$F$61,MATCH($J36,B!$E$2:$E$61,0))&amp;"",""))</f>
        <v/>
      </c>
      <c r="O36" s="69">
        <f>IF($J36="","",IFERROR(INDEX(B!$G$2:$G$61,MATCH($J36,B!$E$2:$E$61,0))&amp;"",""))</f>
        <v/>
      </c>
      <c r="P36" s="69">
        <f>IF($J36="","",IFERROR(INDEX(B!$H$2:$H$61,MATCH($J36,B!$E$2:$E$61,0))&amp;"",""))</f>
        <v/>
      </c>
      <c r="Q36" s="69">
        <f>IF($J36="","",IFERROR(INDEX(B!$I$2:$I$61,MATCH($J36,B!$E$2:$E$61,0))&amp;"",""))</f>
        <v/>
      </c>
      <c r="R36" s="69">
        <f>IF($J36="","",IFERROR(INDEX(B!$J$2:$J$61,MATCH($J36,B!$E$2:$E$61,0))&amp;"",""))</f>
        <v/>
      </c>
      <c r="S36" s="69">
        <f>IF($J36="","",IFERROR(INDEX(B!$K$2:$K$61,MATCH($J36,B!$E$2:$E$61,0))&amp;"",""))</f>
        <v/>
      </c>
      <c r="T36" s="69">
        <f>IF($J36="","",IFERROR(INDEX(B!$L$2:$L$61,MATCH($J36,B!$E$2:$E$61,0))&amp;"",""))</f>
        <v/>
      </c>
      <c r="U36" s="20" t="n"/>
      <c r="V36" s="70">
        <f>IF($J36="","",IFERROR(INDEX(B!$M$2:$M$61,MATCH($J36,B!$E$2:$E$61,0))&amp;"",""))</f>
        <v/>
      </c>
      <c r="W36" s="71">
        <f>IF(I36="","",IFERROR(MID(I36,FIND("/d/",I36)+3,FIND("/edit",I36)-FIND("/d/",I36)-3),I36))</f>
        <v/>
      </c>
      <c r="X36" s="71">
        <f>IF($J36="","",IFERROR(INDEX(B!$C$2:$C$61,MATCH($J36,B!$E$2:$E$61,0))&amp;"",""))</f>
        <v/>
      </c>
      <c r="Y36" s="20" t="n"/>
      <c r="Z36" s="72">
        <f>IF($J36="",FALSE,ISNUMBER(SEARCH("scout",$K36)))</f>
        <v/>
      </c>
      <c r="AA36" s="72">
        <f>IF($J36="",FALSE,IFERROR(INDEX(B!$N$2:$N$61,MATCH($J36,B!$E$2:$E$61,0))="Sim",FALSE))</f>
        <v/>
      </c>
      <c r="AB36" s="72">
        <f>IF($J36="",FALSE,LEFT($X36,2)="XX")</f>
        <v/>
      </c>
      <c r="AC36" s="72">
        <f>IF($J36="",FALSE,IFERROR(INDEX(B!$P$2:$P$61,MATCH($J36,B!$E$2:$E$61,0))="Sim",FALSE))</f>
        <v/>
      </c>
      <c r="AD36" s="20" t="n"/>
      <c r="AE36" s="52">
        <f>IF(H36="","",HOUR(H36))</f>
        <v/>
      </c>
      <c r="AF36" s="52" t="n"/>
    </row>
    <row r="37" ht="19.5" customHeight="1" s="58">
      <c r="A37" s="62">
        <f>IF(G37="","",IF(G37=G36,"",COUNTIF($G$3:$G$976,G37)))</f>
        <v/>
      </c>
      <c r="B37" s="20" t="n"/>
      <c r="C37" s="63">
        <f>IF(G37="","",DAY(G37))</f>
        <v/>
      </c>
      <c r="D37" s="63">
        <f>IF(G37="","",MONTH(G37))</f>
        <v/>
      </c>
      <c r="E37" s="63">
        <f>IF(G37="","",YEAR(G37))</f>
        <v/>
      </c>
      <c r="F37" s="33">
        <f>IF(G37="","",CHOOSE(MONTH(G37),"Janeiro","Fevereiro","Março","Abril","Maio","Junho","Julho","Agosto","Setembro","Outubro","Novembro","Dezembro"))</f>
        <v/>
      </c>
      <c r="G37" s="64" t="n">
        <v>46054</v>
      </c>
      <c r="H37" s="65" t="n">
        <v>0.1667361111111111</v>
      </c>
      <c r="I37" s="66" t="inlineStr">
        <is>
          <t>https://docs.google.com/spreadsheets/d/1ZiCGoPjLCjuYvujDTXK9Ixbth3tekiLtFBzBrGjPCr4/edit?gid=0#gid=0</t>
        </is>
      </c>
      <c r="J37" s="67" t="inlineStr">
        <is>
          <t>Transferência de LOB (Lost Items) - [TILI]</t>
        </is>
      </c>
      <c r="K37" s="67" t="inlineStr"/>
      <c r="L37" s="68" t="b">
        <v>0</v>
      </c>
      <c r="M37" s="20" t="n"/>
      <c r="N37" s="69">
        <f>IF($J37="","",IFERROR(INDEX(B!$F$2:$F$61,MATCH($J37,B!$E$2:$E$61,0))&amp;"",""))</f>
        <v/>
      </c>
      <c r="O37" s="69">
        <f>IF($J37="","",IFERROR(INDEX(B!$G$2:$G$61,MATCH($J37,B!$E$2:$E$61,0))&amp;"",""))</f>
        <v/>
      </c>
      <c r="P37" s="69">
        <f>IF($J37="","",IFERROR(INDEX(B!$H$2:$H$61,MATCH($J37,B!$E$2:$E$61,0))&amp;"",""))</f>
        <v/>
      </c>
      <c r="Q37" s="69">
        <f>IF($J37="","",IFERROR(INDEX(B!$I$2:$I$61,MATCH($J37,B!$E$2:$E$61,0))&amp;"",""))</f>
        <v/>
      </c>
      <c r="R37" s="69">
        <f>IF($J37="","",IFERROR(INDEX(B!$J$2:$J$61,MATCH($J37,B!$E$2:$E$61,0))&amp;"",""))</f>
        <v/>
      </c>
      <c r="S37" s="69">
        <f>IF($J37="","",IFERROR(INDEX(B!$K$2:$K$61,MATCH($J37,B!$E$2:$E$61,0))&amp;"",""))</f>
        <v/>
      </c>
      <c r="T37" s="69">
        <f>IF($J37="","",IFERROR(INDEX(B!$L$2:$L$61,MATCH($J37,B!$E$2:$E$61,0))&amp;"",""))</f>
        <v/>
      </c>
      <c r="U37" s="20" t="n"/>
      <c r="V37" s="70">
        <f>IF($J37="","",IFERROR(INDEX(B!$M$2:$M$61,MATCH($J37,B!$E$2:$E$61,0))&amp;"",""))</f>
        <v/>
      </c>
      <c r="W37" s="71">
        <f>IF(I37="","",IFERROR(MID(I37,FIND("/d/",I37)+3,FIND("/edit",I37)-FIND("/d/",I37)-3),I37))</f>
        <v/>
      </c>
      <c r="X37" s="71">
        <f>IF($J37="","",IFERROR(INDEX(B!$C$2:$C$61,MATCH($J37,B!$E$2:$E$61,0))&amp;"",""))</f>
        <v/>
      </c>
      <c r="Y37" s="20" t="n"/>
      <c r="Z37" s="72">
        <f>IF($J37="",FALSE,ISNUMBER(SEARCH("scout",$K37)))</f>
        <v/>
      </c>
      <c r="AA37" s="72">
        <f>IF($J37="",FALSE,IFERROR(INDEX(B!$N$2:$N$61,MATCH($J37,B!$E$2:$E$61,0))="Sim",FALSE))</f>
        <v/>
      </c>
      <c r="AB37" s="72">
        <f>IF($J37="",FALSE,LEFT($X37,2)="XX")</f>
        <v/>
      </c>
      <c r="AC37" s="72">
        <f>IF($J37="",FALSE,IFERROR(INDEX(B!$P$2:$P$61,MATCH($J37,B!$E$2:$E$61,0))="Sim",FALSE))</f>
        <v/>
      </c>
      <c r="AD37" s="20" t="n"/>
      <c r="AE37" s="52">
        <f>IF(H37="","",HOUR(H37))</f>
        <v/>
      </c>
      <c r="AF37" s="52" t="n"/>
    </row>
    <row r="38" ht="19.5" customHeight="1" s="58">
      <c r="A38" s="62">
        <f>IF(G38="","",IF(G38=G37,"",COUNTIF($G$3:$G$976,G38)))</f>
        <v/>
      </c>
      <c r="B38" s="20" t="n"/>
      <c r="C38" s="63">
        <f>IF(G38="","",DAY(G38))</f>
        <v/>
      </c>
      <c r="D38" s="63">
        <f>IF(G38="","",MONTH(G38))</f>
        <v/>
      </c>
      <c r="E38" s="63">
        <f>IF(G38="","",YEAR(G38))</f>
        <v/>
      </c>
      <c r="F38" s="33">
        <f>IF(G38="","",CHOOSE(MONTH(G38),"Janeiro","Fevereiro","Março","Abril","Maio","Junho","Julho","Agosto","Setembro","Outubro","Novembro","Dezembro"))</f>
        <v/>
      </c>
      <c r="G38" s="64" t="n">
        <v>46054</v>
      </c>
      <c r="H38" s="65" t="n">
        <v>0.1676851851851852</v>
      </c>
      <c r="I38" s="66" t="inlineStr">
        <is>
          <t>https://docs.google.com/spreadsheets/d/1ZiCGoPjLCjuYvujDTXK9Ixbth3tekiLtFBzBrGjPCr4/edit?gid=0#gid=0</t>
        </is>
      </c>
      <c r="J38" s="67" t="inlineStr">
        <is>
          <t>Erro de Gps (Problema Técnico) - [GPS]</t>
        </is>
      </c>
      <c r="K38" s="67" t="inlineStr"/>
      <c r="L38" s="68" t="b">
        <v>0</v>
      </c>
      <c r="M38" s="20" t="n"/>
      <c r="N38" s="69">
        <f>IF($J38="","",IFERROR(INDEX(B!$F$2:$F$61,MATCH($J38,B!$E$2:$E$61,0))&amp;"",""))</f>
        <v/>
      </c>
      <c r="O38" s="69">
        <f>IF($J38="","",IFERROR(INDEX(B!$G$2:$G$61,MATCH($J38,B!$E$2:$E$61,0))&amp;"",""))</f>
        <v/>
      </c>
      <c r="P38" s="69">
        <f>IF($J38="","",IFERROR(INDEX(B!$H$2:$H$61,MATCH($J38,B!$E$2:$E$61,0))&amp;"",""))</f>
        <v/>
      </c>
      <c r="Q38" s="69">
        <f>IF($J38="","",IFERROR(INDEX(B!$I$2:$I$61,MATCH($J38,B!$E$2:$E$61,0))&amp;"",""))</f>
        <v/>
      </c>
      <c r="R38" s="69">
        <f>IF($J38="","",IFERROR(INDEX(B!$J$2:$J$61,MATCH($J38,B!$E$2:$E$61,0))&amp;"",""))</f>
        <v/>
      </c>
      <c r="S38" s="69">
        <f>IF($J38="","",IFERROR(INDEX(B!$K$2:$K$61,MATCH($J38,B!$E$2:$E$61,0))&amp;"",""))</f>
        <v/>
      </c>
      <c r="T38" s="69">
        <f>IF($J38="","",IFERROR(INDEX(B!$L$2:$L$61,MATCH($J38,B!$E$2:$E$61,0))&amp;"",""))</f>
        <v/>
      </c>
      <c r="U38" s="20" t="n"/>
      <c r="V38" s="70">
        <f>IF($J38="","",IFERROR(INDEX(B!$M$2:$M$61,MATCH($J38,B!$E$2:$E$61,0))&amp;"",""))</f>
        <v/>
      </c>
      <c r="W38" s="71">
        <f>IF(I38="","",IFERROR(MID(I38,FIND("/d/",I38)+3,FIND("/edit",I38)-FIND("/d/",I38)-3),I38))</f>
        <v/>
      </c>
      <c r="X38" s="71">
        <f>IF($J38="","",IFERROR(INDEX(B!$C$2:$C$61,MATCH($J38,B!$E$2:$E$61,0))&amp;"",""))</f>
        <v/>
      </c>
      <c r="Y38" s="20" t="n"/>
      <c r="Z38" s="72">
        <f>IF($J38="",FALSE,ISNUMBER(SEARCH("scout",$K38)))</f>
        <v/>
      </c>
      <c r="AA38" s="72">
        <f>IF($J38="",FALSE,IFERROR(INDEX(B!$N$2:$N$61,MATCH($J38,B!$E$2:$E$61,0))="Sim",FALSE))</f>
        <v/>
      </c>
      <c r="AB38" s="72">
        <f>IF($J38="",FALSE,LEFT($X38,2)="XX")</f>
        <v/>
      </c>
      <c r="AC38" s="72">
        <f>IF($J38="",FALSE,IFERROR(INDEX(B!$P$2:$P$61,MATCH($J38,B!$E$2:$E$61,0))="Sim",FALSE))</f>
        <v/>
      </c>
      <c r="AD38" s="20" t="n"/>
      <c r="AE38" s="52">
        <f>IF(H38="","",HOUR(H38))</f>
        <v/>
      </c>
      <c r="AF38" s="52" t="n"/>
    </row>
    <row r="39" ht="19.5" customHeight="1" s="58">
      <c r="A39" s="62">
        <f>IF(G39="","",IF(G39=G38,"",COUNTIF($G$3:$G$976,G39)))</f>
        <v/>
      </c>
      <c r="B39" s="20" t="n"/>
      <c r="C39" s="63">
        <f>IF(G39="","",DAY(G39))</f>
        <v/>
      </c>
      <c r="D39" s="63">
        <f>IF(G39="","",MONTH(G39))</f>
        <v/>
      </c>
      <c r="E39" s="63">
        <f>IF(G39="","",YEAR(G39))</f>
        <v/>
      </c>
      <c r="F39" s="33">
        <f>IF(G39="","",CHOOSE(MONTH(G39),"Janeiro","Fevereiro","Março","Abril","Maio","Junho","Julho","Agosto","Setembro","Outubro","Novembro","Dezembro"))</f>
        <v/>
      </c>
      <c r="G39" s="64" t="n">
        <v>46054</v>
      </c>
      <c r="H39" s="65" t="n">
        <v>0.1790625</v>
      </c>
      <c r="I39" s="66" t="inlineStr">
        <is>
          <t>https://docs.google.com/spreadsheets/d/1ZiCGoPjLCjuYvujDTXK9Ixbth3tekiLtFBzBrGjPCr4/edit?gid=0#gid=0</t>
        </is>
      </c>
      <c r="J39" s="67" t="inlineStr">
        <is>
          <t>Mais informações Gerais - [AA]</t>
        </is>
      </c>
      <c r="K39" s="67" t="inlineStr"/>
      <c r="L39" s="68" t="b">
        <v>0</v>
      </c>
      <c r="M39" s="20" t="n"/>
      <c r="N39" s="69">
        <f>IF($J39="","",IFERROR(INDEX(B!$F$2:$F$61,MATCH($J39,B!$E$2:$E$61,0))&amp;"",""))</f>
        <v/>
      </c>
      <c r="O39" s="69">
        <f>IF($J39="","",IFERROR(INDEX(B!$G$2:$G$61,MATCH($J39,B!$E$2:$E$61,0))&amp;"",""))</f>
        <v/>
      </c>
      <c r="P39" s="69">
        <f>IF($J39="","",IFERROR(INDEX(B!$H$2:$H$61,MATCH($J39,B!$E$2:$E$61,0))&amp;"",""))</f>
        <v/>
      </c>
      <c r="Q39" s="69">
        <f>IF($J39="","",IFERROR(INDEX(B!$I$2:$I$61,MATCH($J39,B!$E$2:$E$61,0))&amp;"",""))</f>
        <v/>
      </c>
      <c r="R39" s="69">
        <f>IF($J39="","",IFERROR(INDEX(B!$J$2:$J$61,MATCH($J39,B!$E$2:$E$61,0))&amp;"",""))</f>
        <v/>
      </c>
      <c r="S39" s="69">
        <f>IF($J39="","",IFERROR(INDEX(B!$K$2:$K$61,MATCH($J39,B!$E$2:$E$61,0))&amp;"",""))</f>
        <v/>
      </c>
      <c r="T39" s="69">
        <f>IF($J39="","",IFERROR(INDEX(B!$L$2:$L$61,MATCH($J39,B!$E$2:$E$61,0))&amp;"",""))</f>
        <v/>
      </c>
      <c r="U39" s="20" t="n"/>
      <c r="V39" s="70">
        <f>IF($J39="","",IFERROR(INDEX(B!$M$2:$M$61,MATCH($J39,B!$E$2:$E$61,0))&amp;"",""))</f>
        <v/>
      </c>
      <c r="W39" s="71">
        <f>IF(I39="","",IFERROR(MID(I39,FIND("/d/",I39)+3,FIND("/edit",I39)-FIND("/d/",I39)-3),I39))</f>
        <v/>
      </c>
      <c r="X39" s="71">
        <f>IF($J39="","",IFERROR(INDEX(B!$C$2:$C$61,MATCH($J39,B!$E$2:$E$61,0))&amp;"",""))</f>
        <v/>
      </c>
      <c r="Y39" s="20" t="n"/>
      <c r="Z39" s="72">
        <f>IF($J39="",FALSE,ISNUMBER(SEARCH("scout",$K39)))</f>
        <v/>
      </c>
      <c r="AA39" s="72">
        <f>IF($J39="",FALSE,IFERROR(INDEX(B!$N$2:$N$61,MATCH($J39,B!$E$2:$E$61,0))="Sim",FALSE))</f>
        <v/>
      </c>
      <c r="AB39" s="72">
        <f>IF($J39="",FALSE,LEFT($X39,2)="XX")</f>
        <v/>
      </c>
      <c r="AC39" s="72">
        <f>IF($J39="",FALSE,IFERROR(INDEX(B!$P$2:$P$61,MATCH($J39,B!$E$2:$E$61,0))="Sim",FALSE))</f>
        <v/>
      </c>
      <c r="AD39" s="20" t="n"/>
      <c r="AE39" s="52">
        <f>IF(H39="","",HOUR(H39))</f>
        <v/>
      </c>
      <c r="AF39" s="52" t="n"/>
    </row>
    <row r="40" ht="19.5" customHeight="1" s="58">
      <c r="A40" s="62">
        <f>IF(G40="","",IF(G40=G39,"",COUNTIF($G$3:$G$976,G40)))</f>
        <v/>
      </c>
      <c r="B40" s="20" t="n"/>
      <c r="C40" s="63">
        <f>IF(G40="","",DAY(G40))</f>
        <v/>
      </c>
      <c r="D40" s="63">
        <f>IF(G40="","",MONTH(G40))</f>
        <v/>
      </c>
      <c r="E40" s="63">
        <f>IF(G40="","",YEAR(G40))</f>
        <v/>
      </c>
      <c r="F40" s="33">
        <f>IF(G40="","",CHOOSE(MONTH(G40),"Janeiro","Fevereiro","Março","Abril","Maio","Junho","Julho","Agosto","Setembro","Outubro","Novembro","Dezembro"))</f>
        <v/>
      </c>
      <c r="G40" s="64" t="n">
        <v>46054</v>
      </c>
      <c r="H40" s="65" t="n">
        <v>0.1858101851851852</v>
      </c>
      <c r="I40" s="66" t="inlineStr">
        <is>
          <t>https://docs.google.com/spreadsheets/d/1ZiCGoPjLCjuYvujDTXK9Ixbth3tekiLtFBzBrGjPCr4/edit?gid=0#gid=0</t>
        </is>
      </c>
      <c r="J40" s="67" t="inlineStr">
        <is>
          <t>Comprovante de Pagamento - [CP]</t>
        </is>
      </c>
      <c r="K40" s="67" t="inlineStr"/>
      <c r="L40" s="68" t="b">
        <v>0</v>
      </c>
      <c r="M40" s="20" t="n"/>
      <c r="N40" s="69">
        <f>IF($J40="","",IFERROR(INDEX(B!$F$2:$F$61,MATCH($J40,B!$E$2:$E$61,0))&amp;"",""))</f>
        <v/>
      </c>
      <c r="O40" s="69">
        <f>IF($J40="","",IFERROR(INDEX(B!$G$2:$G$61,MATCH($J40,B!$E$2:$E$61,0))&amp;"",""))</f>
        <v/>
      </c>
      <c r="P40" s="69">
        <f>IF($J40="","",IFERROR(INDEX(B!$H$2:$H$61,MATCH($J40,B!$E$2:$E$61,0))&amp;"",""))</f>
        <v/>
      </c>
      <c r="Q40" s="69">
        <f>IF($J40="","",IFERROR(INDEX(B!$I$2:$I$61,MATCH($J40,B!$E$2:$E$61,0))&amp;"",""))</f>
        <v/>
      </c>
      <c r="R40" s="69">
        <f>IF($J40="","",IFERROR(INDEX(B!$J$2:$J$61,MATCH($J40,B!$E$2:$E$61,0))&amp;"",""))</f>
        <v/>
      </c>
      <c r="S40" s="69">
        <f>IF($J40="","",IFERROR(INDEX(B!$K$2:$K$61,MATCH($J40,B!$E$2:$E$61,0))&amp;"",""))</f>
        <v/>
      </c>
      <c r="T40" s="69">
        <f>IF($J40="","",IFERROR(INDEX(B!$L$2:$L$61,MATCH($J40,B!$E$2:$E$61,0))&amp;"",""))</f>
        <v/>
      </c>
      <c r="U40" s="20" t="n"/>
      <c r="V40" s="70">
        <f>IF($J40="","",IFERROR(INDEX(B!$M$2:$M$61,MATCH($J40,B!$E$2:$E$61,0))&amp;"",""))</f>
        <v/>
      </c>
      <c r="W40" s="71">
        <f>IF(I40="","",IFERROR(MID(I40,FIND("/d/",I40)+3,FIND("/edit",I40)-FIND("/d/",I40)-3),I40))</f>
        <v/>
      </c>
      <c r="X40" s="71">
        <f>IF($J40="","",IFERROR(INDEX(B!$C$2:$C$61,MATCH($J40,B!$E$2:$E$61,0))&amp;"",""))</f>
        <v/>
      </c>
      <c r="Y40" s="20" t="n"/>
      <c r="Z40" s="72">
        <f>IF($J40="",FALSE,ISNUMBER(SEARCH("scout",$K40)))</f>
        <v/>
      </c>
      <c r="AA40" s="72">
        <f>IF($J40="",FALSE,IFERROR(INDEX(B!$N$2:$N$61,MATCH($J40,B!$E$2:$E$61,0))="Sim",FALSE))</f>
        <v/>
      </c>
      <c r="AB40" s="72">
        <f>IF($J40="",FALSE,LEFT($X40,2)="XX")</f>
        <v/>
      </c>
      <c r="AC40" s="72">
        <f>IF($J40="",FALSE,IFERROR(INDEX(B!$P$2:$P$61,MATCH($J40,B!$E$2:$E$61,0))="Sim",FALSE))</f>
        <v/>
      </c>
      <c r="AD40" s="20" t="n"/>
      <c r="AE40" s="52">
        <f>IF(H40="","",HOUR(H40))</f>
        <v/>
      </c>
      <c r="AF40" s="52" t="n"/>
    </row>
    <row r="41" ht="19.5" customHeight="1" s="58">
      <c r="A41" s="62">
        <f>IF(G41="","",IF(G41=G40,"",COUNTIF($G$3:$G$976,G41)))</f>
        <v/>
      </c>
      <c r="B41" s="20" t="n"/>
      <c r="C41" s="63">
        <f>IF(G41="","",DAY(G41))</f>
        <v/>
      </c>
      <c r="D41" s="63">
        <f>IF(G41="","",MONTH(G41))</f>
        <v/>
      </c>
      <c r="E41" s="63">
        <f>IF(G41="","",YEAR(G41))</f>
        <v/>
      </c>
      <c r="F41" s="33">
        <f>IF(G41="","",CHOOSE(MONTH(G41),"Janeiro","Fevereiro","Março","Abril","Maio","Junho","Julho","Agosto","Setembro","Outubro","Novembro","Dezembro"))</f>
        <v/>
      </c>
      <c r="G41" s="64" t="n">
        <v>46054</v>
      </c>
      <c r="H41" s="65" t="n">
        <v>0.1860648148148148</v>
      </c>
      <c r="I41" s="66" t="inlineStr">
        <is>
          <t>https://docs.google.com/spreadsheets/d/1ZiCGoPjLCjuYvujDTXK9Ixbth3tekiLtFBzBrGjPCr4/edit?gid=0#gid=0</t>
        </is>
      </c>
      <c r="J41" s="67" t="inlineStr">
        <is>
          <t>Transferência de LOB (Profissionalismo) - [TIPR]</t>
        </is>
      </c>
      <c r="K41" s="67" t="inlineStr"/>
      <c r="L41" s="68" t="b">
        <v>0</v>
      </c>
      <c r="M41" s="20" t="n"/>
      <c r="N41" s="69">
        <f>IF($J41="","",IFERROR(INDEX(B!$F$2:$F$61,MATCH($J41,B!$E$2:$E$61,0))&amp;"",""))</f>
        <v/>
      </c>
      <c r="O41" s="69">
        <f>IF($J41="","",IFERROR(INDEX(B!$G$2:$G$61,MATCH($J41,B!$E$2:$E$61,0))&amp;"",""))</f>
        <v/>
      </c>
      <c r="P41" s="69">
        <f>IF($J41="","",IFERROR(INDEX(B!$H$2:$H$61,MATCH($J41,B!$E$2:$E$61,0))&amp;"",""))</f>
        <v/>
      </c>
      <c r="Q41" s="69">
        <f>IF($J41="","",IFERROR(INDEX(B!$I$2:$I$61,MATCH($J41,B!$E$2:$E$61,0))&amp;"",""))</f>
        <v/>
      </c>
      <c r="R41" s="69">
        <f>IF($J41="","",IFERROR(INDEX(B!$J$2:$J$61,MATCH($J41,B!$E$2:$E$61,0))&amp;"",""))</f>
        <v/>
      </c>
      <c r="S41" s="69">
        <f>IF($J41="","",IFERROR(INDEX(B!$K$2:$K$61,MATCH($J41,B!$E$2:$E$61,0))&amp;"",""))</f>
        <v/>
      </c>
      <c r="T41" s="69">
        <f>IF($J41="","",IFERROR(INDEX(B!$L$2:$L$61,MATCH($J41,B!$E$2:$E$61,0))&amp;"",""))</f>
        <v/>
      </c>
      <c r="U41" s="20" t="n"/>
      <c r="V41" s="70">
        <f>IF($J41="","",IFERROR(INDEX(B!$M$2:$M$61,MATCH($J41,B!$E$2:$E$61,0))&amp;"",""))</f>
        <v/>
      </c>
      <c r="W41" s="71">
        <f>IF(I41="","",IFERROR(MID(I41,FIND("/d/",I41)+3,FIND("/edit",I41)-FIND("/d/",I41)-3),I41))</f>
        <v/>
      </c>
      <c r="X41" s="71">
        <f>IF($J41="","",IFERROR(INDEX(B!$C$2:$C$61,MATCH($J41,B!$E$2:$E$61,0))&amp;"",""))</f>
        <v/>
      </c>
      <c r="Y41" s="20" t="n"/>
      <c r="Z41" s="72">
        <f>IF($J41="",FALSE,ISNUMBER(SEARCH("scout",$K41)))</f>
        <v/>
      </c>
      <c r="AA41" s="72">
        <f>IF($J41="",FALSE,IFERROR(INDEX(B!$N$2:$N$61,MATCH($J41,B!$E$2:$E$61,0))="Sim",FALSE))</f>
        <v/>
      </c>
      <c r="AB41" s="72">
        <f>IF($J41="",FALSE,LEFT($X41,2)="XX")</f>
        <v/>
      </c>
      <c r="AC41" s="72">
        <f>IF($J41="",FALSE,IFERROR(INDEX(B!$P$2:$P$61,MATCH($J41,B!$E$2:$E$61,0))="Sim",FALSE))</f>
        <v/>
      </c>
      <c r="AD41" s="20" t="n"/>
      <c r="AE41" s="52">
        <f>IF(H41="","",HOUR(H41))</f>
        <v/>
      </c>
      <c r="AF41" s="52" t="n"/>
    </row>
    <row r="42" ht="19.5" customHeight="1" s="58">
      <c r="A42" s="62">
        <f>IF(G42="","",IF(G42=G41,"",COUNTIF($G$3:$G$976,G42)))</f>
        <v/>
      </c>
      <c r="B42" s="20" t="n"/>
      <c r="C42" s="63">
        <f>IF(G42="","",DAY(G42))</f>
        <v/>
      </c>
      <c r="D42" s="63">
        <f>IF(G42="","",MONTH(G42))</f>
        <v/>
      </c>
      <c r="E42" s="63">
        <f>IF(G42="","",YEAR(G42))</f>
        <v/>
      </c>
      <c r="F42" s="33">
        <f>IF(G42="","",CHOOSE(MONTH(G42),"Janeiro","Fevereiro","Março","Abril","Maio","Junho","Julho","Agosto","Setembro","Outubro","Novembro","Dezembro"))</f>
        <v/>
      </c>
      <c r="G42" s="64" t="n">
        <v>46054</v>
      </c>
      <c r="H42" s="65" t="n">
        <v>0.1895717592592593</v>
      </c>
      <c r="I42" s="66" t="inlineStr">
        <is>
          <t>https://docs.google.com/spreadsheets/d/1ZiCGoPjLCjuYvujDTXK9Ixbth3tekiLtFBzBrGjPCr4/edit?gid=0#gid=0</t>
        </is>
      </c>
      <c r="J42" s="67" t="inlineStr">
        <is>
          <t>Taxa de Limpeza, Reembolsado ao cliente - [TXLR]</t>
        </is>
      </c>
      <c r="K42" s="67" t="inlineStr"/>
      <c r="L42" s="68" t="b">
        <v>0</v>
      </c>
      <c r="M42" s="20" t="n"/>
      <c r="N42" s="69">
        <f>IF($J42="","",IFERROR(INDEX(B!$F$2:$F$61,MATCH($J42,B!$E$2:$E$61,0))&amp;"",""))</f>
        <v/>
      </c>
      <c r="O42" s="69">
        <f>IF($J42="","",IFERROR(INDEX(B!$G$2:$G$61,MATCH($J42,B!$E$2:$E$61,0))&amp;"",""))</f>
        <v/>
      </c>
      <c r="P42" s="69">
        <f>IF($J42="","",IFERROR(INDEX(B!$H$2:$H$61,MATCH($J42,B!$E$2:$E$61,0))&amp;"",""))</f>
        <v/>
      </c>
      <c r="Q42" s="69">
        <f>IF($J42="","",IFERROR(INDEX(B!$I$2:$I$61,MATCH($J42,B!$E$2:$E$61,0))&amp;"",""))</f>
        <v/>
      </c>
      <c r="R42" s="69">
        <f>IF($J42="","",IFERROR(INDEX(B!$J$2:$J$61,MATCH($J42,B!$E$2:$E$61,0))&amp;"",""))</f>
        <v/>
      </c>
      <c r="S42" s="69">
        <f>IF($J42="","",IFERROR(INDEX(B!$K$2:$K$61,MATCH($J42,B!$E$2:$E$61,0))&amp;"",""))</f>
        <v/>
      </c>
      <c r="T42" s="69">
        <f>IF($J42="","",IFERROR(INDEX(B!$L$2:$L$61,MATCH($J42,B!$E$2:$E$61,0))&amp;"",""))</f>
        <v/>
      </c>
      <c r="U42" s="20" t="n"/>
      <c r="V42" s="70">
        <f>IF($J42="","",IFERROR(INDEX(B!$M$2:$M$61,MATCH($J42,B!$E$2:$E$61,0))&amp;"",""))</f>
        <v/>
      </c>
      <c r="W42" s="71">
        <f>IF(I42="","",IFERROR(MID(I42,FIND("/d/",I42)+3,FIND("/edit",I42)-FIND("/d/",I42)-3),I42))</f>
        <v/>
      </c>
      <c r="X42" s="71">
        <f>IF($J42="","",IFERROR(INDEX(B!$C$2:$C$61,MATCH($J42,B!$E$2:$E$61,0))&amp;"",""))</f>
        <v/>
      </c>
      <c r="Y42" s="20" t="n"/>
      <c r="Z42" s="72">
        <f>IF($J42="",FALSE,ISNUMBER(SEARCH("scout",$K42)))</f>
        <v/>
      </c>
      <c r="AA42" s="72">
        <f>IF($J42="",FALSE,IFERROR(INDEX(B!$N$2:$N$61,MATCH($J42,B!$E$2:$E$61,0))="Sim",FALSE))</f>
        <v/>
      </c>
      <c r="AB42" s="72">
        <f>IF($J42="",FALSE,LEFT($X42,2)="XX")</f>
        <v/>
      </c>
      <c r="AC42" s="72">
        <f>IF($J42="",FALSE,IFERROR(INDEX(B!$P$2:$P$61,MATCH($J42,B!$E$2:$E$61,0))="Sim",FALSE))</f>
        <v/>
      </c>
      <c r="AD42" s="20" t="n"/>
      <c r="AE42" s="52">
        <f>IF(H42="","",HOUR(H42))</f>
        <v/>
      </c>
      <c r="AF42" s="52" t="n"/>
    </row>
    <row r="43" ht="19.5" customHeight="1" s="58">
      <c r="A43" s="62">
        <f>IF(G43="","",IF(G43=G42,"",COUNTIF($G$3:$G$976,G43)))</f>
        <v/>
      </c>
      <c r="B43" s="20" t="n"/>
      <c r="C43" s="63">
        <f>IF(G43="","",DAY(G43))</f>
        <v/>
      </c>
      <c r="D43" s="63">
        <f>IF(G43="","",MONTH(G43))</f>
        <v/>
      </c>
      <c r="E43" s="63">
        <f>IF(G43="","",YEAR(G43))</f>
        <v/>
      </c>
      <c r="F43" s="33">
        <f>IF(G43="","",CHOOSE(MONTH(G43),"Janeiro","Fevereiro","Março","Abril","Maio","Junho","Julho","Agosto","Setembro","Outubro","Novembro","Dezembro"))</f>
        <v/>
      </c>
      <c r="G43" s="64" t="n">
        <v>46054</v>
      </c>
      <c r="H43" s="65" t="n">
        <v>0.1910763888888889</v>
      </c>
      <c r="I43" s="66" t="inlineStr">
        <is>
          <t>https://docs.google.com/spreadsheets/d/1ZiCGoPjLCjuYvujDTXK9Ixbth3tekiLtFBzBrGjPCr4/edit?gid=0#gid=0</t>
        </is>
      </c>
      <c r="J43" s="67" t="inlineStr">
        <is>
          <t>Overpaid, Não excede o limite, Sem comprovante - [OPNN]</t>
        </is>
      </c>
      <c r="K43" s="67" t="inlineStr"/>
      <c r="L43" s="68" t="b">
        <v>0</v>
      </c>
      <c r="M43" s="20" t="n"/>
      <c r="N43" s="69">
        <f>IF($J43="","",IFERROR(INDEX(B!$F$2:$F$61,MATCH($J43,B!$E$2:$E$61,0))&amp;"",""))</f>
        <v/>
      </c>
      <c r="O43" s="69">
        <f>IF($J43="","",IFERROR(INDEX(B!$G$2:$G$61,MATCH($J43,B!$E$2:$E$61,0))&amp;"",""))</f>
        <v/>
      </c>
      <c r="P43" s="69">
        <f>IF($J43="","",IFERROR(INDEX(B!$H$2:$H$61,MATCH($J43,B!$E$2:$E$61,0))&amp;"",""))</f>
        <v/>
      </c>
      <c r="Q43" s="69">
        <f>IF($J43="","",IFERROR(INDEX(B!$I$2:$I$61,MATCH($J43,B!$E$2:$E$61,0))&amp;"",""))</f>
        <v/>
      </c>
      <c r="R43" s="69">
        <f>IF($J43="","",IFERROR(INDEX(B!$J$2:$J$61,MATCH($J43,B!$E$2:$E$61,0))&amp;"",""))</f>
        <v/>
      </c>
      <c r="S43" s="69">
        <f>IF($J43="","",IFERROR(INDEX(B!$K$2:$K$61,MATCH($J43,B!$E$2:$E$61,0))&amp;"",""))</f>
        <v/>
      </c>
      <c r="T43" s="69">
        <f>IF($J43="","",IFERROR(INDEX(B!$L$2:$L$61,MATCH($J43,B!$E$2:$E$61,0))&amp;"",""))</f>
        <v/>
      </c>
      <c r="U43" s="20" t="n"/>
      <c r="V43" s="70">
        <f>IF($J43="","",IFERROR(INDEX(B!$M$2:$M$61,MATCH($J43,B!$E$2:$E$61,0))&amp;"",""))</f>
        <v/>
      </c>
      <c r="W43" s="71">
        <f>IF(I43="","",IFERROR(MID(I43,FIND("/d/",I43)+3,FIND("/edit",I43)-FIND("/d/",I43)-3),I43))</f>
        <v/>
      </c>
      <c r="X43" s="71">
        <f>IF($J43="","",IFERROR(INDEX(B!$C$2:$C$61,MATCH($J43,B!$E$2:$E$61,0))&amp;"",""))</f>
        <v/>
      </c>
      <c r="Y43" s="20" t="n"/>
      <c r="Z43" s="72">
        <f>IF($J43="",FALSE,ISNUMBER(SEARCH("scout",$K43)))</f>
        <v/>
      </c>
      <c r="AA43" s="72">
        <f>IF($J43="",FALSE,IFERROR(INDEX(B!$N$2:$N$61,MATCH($J43,B!$E$2:$E$61,0))="Sim",FALSE))</f>
        <v/>
      </c>
      <c r="AB43" s="72">
        <f>IF($J43="",FALSE,LEFT($X43,2)="XX")</f>
        <v/>
      </c>
      <c r="AC43" s="72">
        <f>IF($J43="",FALSE,IFERROR(INDEX(B!$P$2:$P$61,MATCH($J43,B!$E$2:$E$61,0))="Sim",FALSE))</f>
        <v/>
      </c>
      <c r="AD43" s="20" t="n"/>
      <c r="AE43" s="52">
        <f>IF(H43="","",HOUR(H43))</f>
        <v/>
      </c>
      <c r="AF43" s="52" t="n"/>
    </row>
    <row r="44" ht="19.5" customHeight="1" s="58">
      <c r="A44" s="62">
        <f>IF(G44="","",IF(G44=G43,"",COUNTIF($G$3:$G$976,G44)))</f>
        <v/>
      </c>
      <c r="B44" s="20" t="n"/>
      <c r="C44" s="63">
        <f>IF(G44="","",DAY(G44))</f>
        <v/>
      </c>
      <c r="D44" s="63">
        <f>IF(G44="","",MONTH(G44))</f>
        <v/>
      </c>
      <c r="E44" s="63">
        <f>IF(G44="","",YEAR(G44))</f>
        <v/>
      </c>
      <c r="F44" s="33">
        <f>IF(G44="","",CHOOSE(MONTH(G44),"Janeiro","Fevereiro","Março","Abril","Maio","Junho","Julho","Agosto","Setembro","Outubro","Novembro","Dezembro"))</f>
        <v/>
      </c>
      <c r="G44" s="64" t="n">
        <v>46054</v>
      </c>
      <c r="H44" s="65" t="n">
        <v>0.1911805555555555</v>
      </c>
      <c r="I44" s="66" t="inlineStr">
        <is>
          <t>https://docs.google.com/spreadsheets/d/1ZiCGoPjLCjuYvujDTXK9Ixbth3tekiLtFBzBrGjPCr4/edit?gid=0#gid=0</t>
        </is>
      </c>
      <c r="J44" s="67" t="inlineStr">
        <is>
          <t>Taxa de Limpeza, Reembolsado ao cliente - [TXLR]</t>
        </is>
      </c>
      <c r="K44" s="67" t="inlineStr"/>
      <c r="L44" s="68" t="b">
        <v>0</v>
      </c>
      <c r="M44" s="20" t="n"/>
      <c r="N44" s="69">
        <f>IF($J44="","",IFERROR(INDEX(B!$F$2:$F$61,MATCH($J44,B!$E$2:$E$61,0))&amp;"",""))</f>
        <v/>
      </c>
      <c r="O44" s="69">
        <f>IF($J44="","",IFERROR(INDEX(B!$G$2:$G$61,MATCH($J44,B!$E$2:$E$61,0))&amp;"",""))</f>
        <v/>
      </c>
      <c r="P44" s="69">
        <f>IF($J44="","",IFERROR(INDEX(B!$H$2:$H$61,MATCH($J44,B!$E$2:$E$61,0))&amp;"",""))</f>
        <v/>
      </c>
      <c r="Q44" s="69">
        <f>IF($J44="","",IFERROR(INDEX(B!$I$2:$I$61,MATCH($J44,B!$E$2:$E$61,0))&amp;"",""))</f>
        <v/>
      </c>
      <c r="R44" s="69">
        <f>IF($J44="","",IFERROR(INDEX(B!$J$2:$J$61,MATCH($J44,B!$E$2:$E$61,0))&amp;"",""))</f>
        <v/>
      </c>
      <c r="S44" s="69">
        <f>IF($J44="","",IFERROR(INDEX(B!$K$2:$K$61,MATCH($J44,B!$E$2:$E$61,0))&amp;"",""))</f>
        <v/>
      </c>
      <c r="T44" s="69">
        <f>IF($J44="","",IFERROR(INDEX(B!$L$2:$L$61,MATCH($J44,B!$E$2:$E$61,0))&amp;"",""))</f>
        <v/>
      </c>
      <c r="U44" s="20" t="n"/>
      <c r="V44" s="70">
        <f>IF($J44="","",IFERROR(INDEX(B!$M$2:$M$61,MATCH($J44,B!$E$2:$E$61,0))&amp;"",""))</f>
        <v/>
      </c>
      <c r="W44" s="71">
        <f>IF(I44="","",IFERROR(MID(I44,FIND("/d/",I44)+3,FIND("/edit",I44)-FIND("/d/",I44)-3),I44))</f>
        <v/>
      </c>
      <c r="X44" s="71">
        <f>IF($J44="","",IFERROR(INDEX(B!$C$2:$C$61,MATCH($J44,B!$E$2:$E$61,0))&amp;"",""))</f>
        <v/>
      </c>
      <c r="Y44" s="20" t="n"/>
      <c r="Z44" s="72">
        <f>IF($J44="",FALSE,ISNUMBER(SEARCH("scout",$K44)))</f>
        <v/>
      </c>
      <c r="AA44" s="72">
        <f>IF($J44="",FALSE,IFERROR(INDEX(B!$N$2:$N$61,MATCH($J44,B!$E$2:$E$61,0))="Sim",FALSE))</f>
        <v/>
      </c>
      <c r="AB44" s="72">
        <f>IF($J44="",FALSE,LEFT($X44,2)="XX")</f>
        <v/>
      </c>
      <c r="AC44" s="72">
        <f>IF($J44="",FALSE,IFERROR(INDEX(B!$P$2:$P$61,MATCH($J44,B!$E$2:$E$61,0))="Sim",FALSE))</f>
        <v/>
      </c>
      <c r="AD44" s="20" t="n"/>
      <c r="AE44" s="52">
        <f>IF(H44="","",HOUR(H44))</f>
        <v/>
      </c>
      <c r="AF44" s="52" t="n"/>
    </row>
    <row r="45" ht="19.5" customHeight="1" s="58">
      <c r="A45" s="62">
        <f>IF(G45="","",IF(G45=G44,"",COUNTIF($G$3:$G$976,G45)))</f>
        <v/>
      </c>
      <c r="B45" s="20" t="n"/>
      <c r="C45" s="63">
        <f>IF(G45="","",DAY(G45))</f>
        <v/>
      </c>
      <c r="D45" s="63">
        <f>IF(G45="","",MONTH(G45))</f>
        <v/>
      </c>
      <c r="E45" s="63">
        <f>IF(G45="","",YEAR(G45))</f>
        <v/>
      </c>
      <c r="F45" s="33">
        <f>IF(G45="","",CHOOSE(MONTH(G45),"Janeiro","Fevereiro","Março","Abril","Maio","Junho","Julho","Agosto","Setembro","Outubro","Novembro","Dezembro"))</f>
        <v/>
      </c>
      <c r="G45" s="64" t="n">
        <v>46054</v>
      </c>
      <c r="H45" s="65" t="n">
        <v>0.1970601851851852</v>
      </c>
      <c r="I45" s="66" t="inlineStr">
        <is>
          <t>https://docs.google.com/spreadsheets/d/1ZiCGoPjLCjuYvujDTXK9Ixbth3tekiLtFBzBrGjPCr4/edit?gid=0#gid=0</t>
        </is>
      </c>
      <c r="J45" s="67" t="inlineStr">
        <is>
          <t>Transferência de LOB (Lost Items) - [TILI]</t>
        </is>
      </c>
      <c r="K45" s="67" t="inlineStr"/>
      <c r="L45" s="68" t="b">
        <v>0</v>
      </c>
      <c r="M45" s="20" t="n"/>
      <c r="N45" s="69">
        <f>IF($J45="","",IFERROR(INDEX(B!$F$2:$F$61,MATCH($J45,B!$E$2:$E$61,0))&amp;"",""))</f>
        <v/>
      </c>
      <c r="O45" s="69">
        <f>IF($J45="","",IFERROR(INDEX(B!$G$2:$G$61,MATCH($J45,B!$E$2:$E$61,0))&amp;"",""))</f>
        <v/>
      </c>
      <c r="P45" s="69">
        <f>IF($J45="","",IFERROR(INDEX(B!$H$2:$H$61,MATCH($J45,B!$E$2:$E$61,0))&amp;"",""))</f>
        <v/>
      </c>
      <c r="Q45" s="69">
        <f>IF($J45="","",IFERROR(INDEX(B!$I$2:$I$61,MATCH($J45,B!$E$2:$E$61,0))&amp;"",""))</f>
        <v/>
      </c>
      <c r="R45" s="69">
        <f>IF($J45="","",IFERROR(INDEX(B!$J$2:$J$61,MATCH($J45,B!$E$2:$E$61,0))&amp;"",""))</f>
        <v/>
      </c>
      <c r="S45" s="69">
        <f>IF($J45="","",IFERROR(INDEX(B!$K$2:$K$61,MATCH($J45,B!$E$2:$E$61,0))&amp;"",""))</f>
        <v/>
      </c>
      <c r="T45" s="69">
        <f>IF($J45="","",IFERROR(INDEX(B!$L$2:$L$61,MATCH($J45,B!$E$2:$E$61,0))&amp;"",""))</f>
        <v/>
      </c>
      <c r="U45" s="20" t="n"/>
      <c r="V45" s="70">
        <f>IF($J45="","",IFERROR(INDEX(B!$M$2:$M$61,MATCH($J45,B!$E$2:$E$61,0))&amp;"",""))</f>
        <v/>
      </c>
      <c r="W45" s="71">
        <f>IF(I45="","",IFERROR(MID(I45,FIND("/d/",I45)+3,FIND("/edit",I45)-FIND("/d/",I45)-3),I45))</f>
        <v/>
      </c>
      <c r="X45" s="71">
        <f>IF($J45="","",IFERROR(INDEX(B!$C$2:$C$61,MATCH($J45,B!$E$2:$E$61,0))&amp;"",""))</f>
        <v/>
      </c>
      <c r="Y45" s="20" t="n"/>
      <c r="Z45" s="72">
        <f>IF($J45="",FALSE,ISNUMBER(SEARCH("scout",$K45)))</f>
        <v/>
      </c>
      <c r="AA45" s="72">
        <f>IF($J45="",FALSE,IFERROR(INDEX(B!$N$2:$N$61,MATCH($J45,B!$E$2:$E$61,0))="Sim",FALSE))</f>
        <v/>
      </c>
      <c r="AB45" s="72">
        <f>IF($J45="",FALSE,LEFT($X45,2)="XX")</f>
        <v/>
      </c>
      <c r="AC45" s="72">
        <f>IF($J45="",FALSE,IFERROR(INDEX(B!$P$2:$P$61,MATCH($J45,B!$E$2:$E$61,0))="Sim",FALSE))</f>
        <v/>
      </c>
      <c r="AD45" s="20" t="n"/>
      <c r="AE45" s="52">
        <f>IF(H45="","",HOUR(H45))</f>
        <v/>
      </c>
      <c r="AF45" s="52" t="n"/>
    </row>
    <row r="46" ht="19.5" customHeight="1" s="58">
      <c r="A46" s="62">
        <f>IF(G46="","",IF(G46=G45,"",COUNTIF($G$3:$G$976,G46)))</f>
        <v/>
      </c>
      <c r="B46" s="20" t="n"/>
      <c r="C46" s="63">
        <f>IF(G46="","",DAY(G46))</f>
        <v/>
      </c>
      <c r="D46" s="63">
        <f>IF(G46="","",MONTH(G46))</f>
        <v/>
      </c>
      <c r="E46" s="63">
        <f>IF(G46="","",YEAR(G46))</f>
        <v/>
      </c>
      <c r="F46" s="33">
        <f>IF(G46="","",CHOOSE(MONTH(G46),"Janeiro","Fevereiro","Março","Abril","Maio","Junho","Julho","Agosto","Setembro","Outubro","Novembro","Dezembro"))</f>
        <v/>
      </c>
      <c r="G46" s="64" t="n">
        <v>46054</v>
      </c>
      <c r="H46" s="65" t="n">
        <v>0.1978703703703704</v>
      </c>
      <c r="I46" s="66" t="inlineStr">
        <is>
          <t>https://docs.google.com/spreadsheets/d/1ZiCGoPjLCjuYvujDTXK9Ixbth3tekiLtFBzBrGjPCr4/edit?gid=0#gid=0</t>
        </is>
      </c>
      <c r="J46" s="67" t="inlineStr">
        <is>
          <t>Mais informações (Quanto Pagou?) - [AAV]</t>
        </is>
      </c>
      <c r="K46" s="67" t="inlineStr">
        <is>
          <t>Scout</t>
        </is>
      </c>
      <c r="L46" s="68" t="b">
        <v>0</v>
      </c>
      <c r="M46" s="20" t="n"/>
      <c r="N46" s="69">
        <f>IF($J46="","",IFERROR(INDEX(B!$F$2:$F$61,MATCH($J46,B!$E$2:$E$61,0))&amp;"",""))</f>
        <v/>
      </c>
      <c r="O46" s="69">
        <f>IF($J46="","",IFERROR(INDEX(B!$G$2:$G$61,MATCH($J46,B!$E$2:$E$61,0))&amp;"",""))</f>
        <v/>
      </c>
      <c r="P46" s="69">
        <f>IF($J46="","",IFERROR(INDEX(B!$H$2:$H$61,MATCH($J46,B!$E$2:$E$61,0))&amp;"",""))</f>
        <v/>
      </c>
      <c r="Q46" s="69">
        <f>IF($J46="","",IFERROR(INDEX(B!$I$2:$I$61,MATCH($J46,B!$E$2:$E$61,0))&amp;"",""))</f>
        <v/>
      </c>
      <c r="R46" s="69">
        <f>IF($J46="","",IFERROR(INDEX(B!$J$2:$J$61,MATCH($J46,B!$E$2:$E$61,0))&amp;"",""))</f>
        <v/>
      </c>
      <c r="S46" s="69">
        <f>IF($J46="","",IFERROR(INDEX(B!$K$2:$K$61,MATCH($J46,B!$E$2:$E$61,0))&amp;"",""))</f>
        <v/>
      </c>
      <c r="T46" s="69">
        <f>IF($J46="","",IFERROR(INDEX(B!$L$2:$L$61,MATCH($J46,B!$E$2:$E$61,0))&amp;"",""))</f>
        <v/>
      </c>
      <c r="U46" s="20" t="n"/>
      <c r="V46" s="70">
        <f>IF($J46="","",IFERROR(INDEX(B!$M$2:$M$61,MATCH($J46,B!$E$2:$E$61,0))&amp;"",""))</f>
        <v/>
      </c>
      <c r="W46" s="71">
        <f>IF(I46="","",IFERROR(MID(I46,FIND("/d/",I46)+3,FIND("/edit",I46)-FIND("/d/",I46)-3),I46))</f>
        <v/>
      </c>
      <c r="X46" s="71">
        <f>IF($J46="","",IFERROR(INDEX(B!$C$2:$C$61,MATCH($J46,B!$E$2:$E$61,0))&amp;"",""))</f>
        <v/>
      </c>
      <c r="Y46" s="20" t="n"/>
      <c r="Z46" s="72">
        <f>IF($J46="",FALSE,ISNUMBER(SEARCH("scout",$K46)))</f>
        <v/>
      </c>
      <c r="AA46" s="72">
        <f>IF($J46="",FALSE,IFERROR(INDEX(B!$N$2:$N$61,MATCH($J46,B!$E$2:$E$61,0))="Sim",FALSE))</f>
        <v/>
      </c>
      <c r="AB46" s="72">
        <f>IF($J46="",FALSE,LEFT($X46,2)="XX")</f>
        <v/>
      </c>
      <c r="AC46" s="72">
        <f>IF($J46="",FALSE,IFERROR(INDEX(B!$P$2:$P$61,MATCH($J46,B!$E$2:$E$61,0))="Sim",FALSE))</f>
        <v/>
      </c>
      <c r="AD46" s="20" t="n"/>
      <c r="AE46" s="52">
        <f>IF(H46="","",HOUR(H46))</f>
        <v/>
      </c>
      <c r="AF46" s="52" t="n"/>
    </row>
    <row r="47" ht="19.5" customHeight="1" s="58">
      <c r="A47" s="62">
        <f>IF(G47="","",IF(G47=G46,"",COUNTIF($G$3:$G$976,G47)))</f>
        <v/>
      </c>
      <c r="B47" s="20" t="n"/>
      <c r="C47" s="63">
        <f>IF(G47="","",DAY(G47))</f>
        <v/>
      </c>
      <c r="D47" s="63">
        <f>IF(G47="","",MONTH(G47))</f>
        <v/>
      </c>
      <c r="E47" s="63">
        <f>IF(G47="","",YEAR(G47))</f>
        <v/>
      </c>
      <c r="F47" s="33">
        <f>IF(G47="","",CHOOSE(MONTH(G47),"Janeiro","Fevereiro","Março","Abril","Maio","Junho","Julho","Agosto","Setembro","Outubro","Novembro","Dezembro"))</f>
        <v/>
      </c>
      <c r="G47" s="64" t="n">
        <v>46054</v>
      </c>
      <c r="H47" s="65" t="n">
        <v>0.2029166666666667</v>
      </c>
      <c r="I47" s="66" t="inlineStr">
        <is>
          <t>https://docs.google.com/spreadsheets/d/1ZiCGoPjLCjuYvujDTXK9Ixbth3tekiLtFBzBrGjPCr4/edit?gid=0#gid=0</t>
        </is>
      </c>
      <c r="J47" s="67" t="inlineStr">
        <is>
          <t>No Need Response (Não precisa de resposta) - [NRN]</t>
        </is>
      </c>
      <c r="K47" s="67" t="inlineStr"/>
      <c r="L47" s="68" t="b">
        <v>0</v>
      </c>
      <c r="M47" s="20" t="n"/>
      <c r="N47" s="69">
        <f>IF($J47="","",IFERROR(INDEX(B!$F$2:$F$61,MATCH($J47,B!$E$2:$E$61,0))&amp;"",""))</f>
        <v/>
      </c>
      <c r="O47" s="69">
        <f>IF($J47="","",IFERROR(INDEX(B!$G$2:$G$61,MATCH($J47,B!$E$2:$E$61,0))&amp;"",""))</f>
        <v/>
      </c>
      <c r="P47" s="69">
        <f>IF($J47="","",IFERROR(INDEX(B!$H$2:$H$61,MATCH($J47,B!$E$2:$E$61,0))&amp;"",""))</f>
        <v/>
      </c>
      <c r="Q47" s="69">
        <f>IF($J47="","",IFERROR(INDEX(B!$I$2:$I$61,MATCH($J47,B!$E$2:$E$61,0))&amp;"",""))</f>
        <v/>
      </c>
      <c r="R47" s="69">
        <f>IF($J47="","",IFERROR(INDEX(B!$J$2:$J$61,MATCH($J47,B!$E$2:$E$61,0))&amp;"",""))</f>
        <v/>
      </c>
      <c r="S47" s="69">
        <f>IF($J47="","",IFERROR(INDEX(B!$K$2:$K$61,MATCH($J47,B!$E$2:$E$61,0))&amp;"",""))</f>
        <v/>
      </c>
      <c r="T47" s="69">
        <f>IF($J47="","",IFERROR(INDEX(B!$L$2:$L$61,MATCH($J47,B!$E$2:$E$61,0))&amp;"",""))</f>
        <v/>
      </c>
      <c r="U47" s="20" t="n"/>
      <c r="V47" s="70">
        <f>IF($J47="","",IFERROR(INDEX(B!$M$2:$M$61,MATCH($J47,B!$E$2:$E$61,0))&amp;"",""))</f>
        <v/>
      </c>
      <c r="W47" s="71">
        <f>IF(I47="","",IFERROR(MID(I47,FIND("/d/",I47)+3,FIND("/edit",I47)-FIND("/d/",I47)-3),I47))</f>
        <v/>
      </c>
      <c r="X47" s="71">
        <f>IF($J47="","",IFERROR(INDEX(B!$C$2:$C$61,MATCH($J47,B!$E$2:$E$61,0))&amp;"",""))</f>
        <v/>
      </c>
      <c r="Y47" s="20" t="n"/>
      <c r="Z47" s="72">
        <f>IF($J47="",FALSE,ISNUMBER(SEARCH("scout",$K47)))</f>
        <v/>
      </c>
      <c r="AA47" s="72">
        <f>IF($J47="",FALSE,IFERROR(INDEX(B!$N$2:$N$61,MATCH($J47,B!$E$2:$E$61,0))="Sim",FALSE))</f>
        <v/>
      </c>
      <c r="AB47" s="72">
        <f>IF($J47="",FALSE,LEFT($X47,2)="XX")</f>
        <v/>
      </c>
      <c r="AC47" s="72">
        <f>IF($J47="",FALSE,IFERROR(INDEX(B!$P$2:$P$61,MATCH($J47,B!$E$2:$E$61,0))="Sim",FALSE))</f>
        <v/>
      </c>
      <c r="AD47" s="20" t="n"/>
      <c r="AE47" s="52">
        <f>IF(H47="","",HOUR(H47))</f>
        <v/>
      </c>
      <c r="AF47" s="52" t="n"/>
    </row>
    <row r="48" ht="19.5" customHeight="1" s="58">
      <c r="A48" s="62">
        <f>IF(G48="","",IF(G48=G47,"",COUNTIF($G$3:$G$976,G48)))</f>
        <v/>
      </c>
      <c r="B48" s="20" t="n"/>
      <c r="C48" s="63">
        <f>IF(G48="","",DAY(G48))</f>
        <v/>
      </c>
      <c r="D48" s="63">
        <f>IF(G48="","",MONTH(G48))</f>
        <v/>
      </c>
      <c r="E48" s="63">
        <f>IF(G48="","",YEAR(G48))</f>
        <v/>
      </c>
      <c r="F48" s="33">
        <f>IF(G48="","",CHOOSE(MONTH(G48),"Janeiro","Fevereiro","Março","Abril","Maio","Junho","Julho","Agosto","Setembro","Outubro","Novembro","Dezembro"))</f>
        <v/>
      </c>
      <c r="G48" s="64" t="n">
        <v>46054</v>
      </c>
      <c r="H48" s="65" t="n">
        <v>0.203900462962963</v>
      </c>
      <c r="I48" s="66" t="inlineStr">
        <is>
          <t>https://docs.google.com/spreadsheets/d/1ZiCGoPjLCjuYvujDTXK9Ixbth3tekiLtFBzBrGjPCr4/edit?gid=0#gid=0</t>
        </is>
      </c>
      <c r="J48" s="67" t="inlineStr">
        <is>
          <t>Comprovante de Pagamento - [CP]</t>
        </is>
      </c>
      <c r="K48" s="67" t="inlineStr"/>
      <c r="L48" s="68" t="b">
        <v>0</v>
      </c>
      <c r="M48" s="20" t="n"/>
      <c r="N48" s="69">
        <f>IF($J48="","",IFERROR(INDEX(B!$F$2:$F$61,MATCH($J48,B!$E$2:$E$61,0))&amp;"",""))</f>
        <v/>
      </c>
      <c r="O48" s="69">
        <f>IF($J48="","",IFERROR(INDEX(B!$G$2:$G$61,MATCH($J48,B!$E$2:$E$61,0))&amp;"",""))</f>
        <v/>
      </c>
      <c r="P48" s="69">
        <f>IF($J48="","",IFERROR(INDEX(B!$H$2:$H$61,MATCH($J48,B!$E$2:$E$61,0))&amp;"",""))</f>
        <v/>
      </c>
      <c r="Q48" s="69">
        <f>IF($J48="","",IFERROR(INDEX(B!$I$2:$I$61,MATCH($J48,B!$E$2:$E$61,0))&amp;"",""))</f>
        <v/>
      </c>
      <c r="R48" s="69">
        <f>IF($J48="","",IFERROR(INDEX(B!$J$2:$J$61,MATCH($J48,B!$E$2:$E$61,0))&amp;"",""))</f>
        <v/>
      </c>
      <c r="S48" s="69">
        <f>IF($J48="","",IFERROR(INDEX(B!$K$2:$K$61,MATCH($J48,B!$E$2:$E$61,0))&amp;"",""))</f>
        <v/>
      </c>
      <c r="T48" s="69">
        <f>IF($J48="","",IFERROR(INDEX(B!$L$2:$L$61,MATCH($J48,B!$E$2:$E$61,0))&amp;"",""))</f>
        <v/>
      </c>
      <c r="U48" s="20" t="n"/>
      <c r="V48" s="70">
        <f>IF($J48="","",IFERROR(INDEX(B!$M$2:$M$61,MATCH($J48,B!$E$2:$E$61,0))&amp;"",""))</f>
        <v/>
      </c>
      <c r="W48" s="71">
        <f>IF(I48="","",IFERROR(MID(I48,FIND("/d/",I48)+3,FIND("/edit",I48)-FIND("/d/",I48)-3),I48))</f>
        <v/>
      </c>
      <c r="X48" s="71">
        <f>IF($J48="","",IFERROR(INDEX(B!$C$2:$C$61,MATCH($J48,B!$E$2:$E$61,0))&amp;"",""))</f>
        <v/>
      </c>
      <c r="Y48" s="20" t="n"/>
      <c r="Z48" s="72">
        <f>IF($J48="",FALSE,ISNUMBER(SEARCH("scout",$K48)))</f>
        <v/>
      </c>
      <c r="AA48" s="72">
        <f>IF($J48="",FALSE,IFERROR(INDEX(B!$N$2:$N$61,MATCH($J48,B!$E$2:$E$61,0))="Sim",FALSE))</f>
        <v/>
      </c>
      <c r="AB48" s="72">
        <f>IF($J48="",FALSE,LEFT($X48,2)="XX")</f>
        <v/>
      </c>
      <c r="AC48" s="72">
        <f>IF($J48="",FALSE,IFERROR(INDEX(B!$P$2:$P$61,MATCH($J48,B!$E$2:$E$61,0))="Sim",FALSE))</f>
        <v/>
      </c>
      <c r="AD48" s="20" t="n"/>
      <c r="AE48" s="52">
        <f>IF(H48="","",HOUR(H48))</f>
        <v/>
      </c>
      <c r="AF48" s="52" t="n"/>
    </row>
    <row r="49" ht="19.5" customHeight="1" s="58">
      <c r="A49" s="62">
        <f>IF(G49="","",IF(G49=G48,"",COUNTIF($G$3:$G$976,G49)))</f>
        <v/>
      </c>
      <c r="B49" s="20" t="n"/>
      <c r="C49" s="63">
        <f>IF(G49="","",DAY(G49))</f>
        <v/>
      </c>
      <c r="D49" s="63">
        <f>IF(G49="","",MONTH(G49))</f>
        <v/>
      </c>
      <c r="E49" s="63">
        <f>IF(G49="","",YEAR(G49))</f>
        <v/>
      </c>
      <c r="F49" s="33">
        <f>IF(G49="","",CHOOSE(MONTH(G49),"Janeiro","Fevereiro","Março","Abril","Maio","Junho","Julho","Agosto","Setembro","Outubro","Novembro","Dezembro"))</f>
        <v/>
      </c>
      <c r="G49" s="64" t="n">
        <v>46054</v>
      </c>
      <c r="H49" s="65" t="n">
        <v>0.2081944444444444</v>
      </c>
      <c r="I49" s="66" t="inlineStr">
        <is>
          <t>https://docs.google.com/spreadsheets/d/1ZiCGoPjLCjuYvujDTXK9Ixbth3tekiLtFBzBrGjPCr4/edit?gid=0#gid=0</t>
        </is>
      </c>
      <c r="J49" s="67" t="inlineStr">
        <is>
          <t>Overpaid, Excede o limite, Sem comprovante - [OPEN]</t>
        </is>
      </c>
      <c r="K49" s="67" t="inlineStr">
        <is>
          <t>Scout</t>
        </is>
      </c>
      <c r="L49" s="68" t="b">
        <v>1</v>
      </c>
      <c r="M49" s="20" t="n"/>
      <c r="N49" s="69">
        <f>IF($J49="","",IFERROR(INDEX(B!$F$2:$F$61,MATCH($J49,B!$E$2:$E$61,0))&amp;"",""))</f>
        <v/>
      </c>
      <c r="O49" s="69">
        <f>IF($J49="","",IFERROR(INDEX(B!$G$2:$G$61,MATCH($J49,B!$E$2:$E$61,0))&amp;"",""))</f>
        <v/>
      </c>
      <c r="P49" s="69">
        <f>IF($J49="","",IFERROR(INDEX(B!$H$2:$H$61,MATCH($J49,B!$E$2:$E$61,0))&amp;"",""))</f>
        <v/>
      </c>
      <c r="Q49" s="69">
        <f>IF($J49="","",IFERROR(INDEX(B!$I$2:$I$61,MATCH($J49,B!$E$2:$E$61,0))&amp;"",""))</f>
        <v/>
      </c>
      <c r="R49" s="69">
        <f>IF($J49="","",IFERROR(INDEX(B!$J$2:$J$61,MATCH($J49,B!$E$2:$E$61,0))&amp;"",""))</f>
        <v/>
      </c>
      <c r="S49" s="69">
        <f>IF($J49="","",IFERROR(INDEX(B!$K$2:$K$61,MATCH($J49,B!$E$2:$E$61,0))&amp;"",""))</f>
        <v/>
      </c>
      <c r="T49" s="69">
        <f>IF($J49="","",IFERROR(INDEX(B!$L$2:$L$61,MATCH($J49,B!$E$2:$E$61,0))&amp;"",""))</f>
        <v/>
      </c>
      <c r="U49" s="20" t="n"/>
      <c r="V49" s="70">
        <f>IF($J49="","",IFERROR(INDEX(B!$M$2:$M$61,MATCH($J49,B!$E$2:$E$61,0))&amp;"",""))</f>
        <v/>
      </c>
      <c r="W49" s="71">
        <f>IF(I49="","",IFERROR(MID(I49,FIND("/d/",I49)+3,FIND("/edit",I49)-FIND("/d/",I49)-3),I49))</f>
        <v/>
      </c>
      <c r="X49" s="71">
        <f>IF($J49="","",IFERROR(INDEX(B!$C$2:$C$61,MATCH($J49,B!$E$2:$E$61,0))&amp;"",""))</f>
        <v/>
      </c>
      <c r="Y49" s="20" t="n"/>
      <c r="Z49" s="72">
        <f>IF($J49="",FALSE,ISNUMBER(SEARCH("scout",$K49)))</f>
        <v/>
      </c>
      <c r="AA49" s="72">
        <f>IF($J49="",FALSE,IFERROR(INDEX(B!$N$2:$N$61,MATCH($J49,B!$E$2:$E$61,0))="Sim",FALSE))</f>
        <v/>
      </c>
      <c r="AB49" s="72">
        <f>IF($J49="",FALSE,LEFT($X49,2)="XX")</f>
        <v/>
      </c>
      <c r="AC49" s="72">
        <f>IF($J49="",FALSE,IFERROR(INDEX(B!$P$2:$P$61,MATCH($J49,B!$E$2:$E$61,0))="Sim",FALSE))</f>
        <v/>
      </c>
      <c r="AD49" s="20" t="n"/>
      <c r="AE49" s="52">
        <f>IF(H49="","",HOUR(H49))</f>
        <v/>
      </c>
      <c r="AF49" s="52" t="n"/>
    </row>
    <row r="50" ht="19.5" customHeight="1" s="58">
      <c r="A50" s="62">
        <f>IF(G50="","",IF(G50=G49,"",COUNTIF($G$3:$G$976,G50)))</f>
        <v/>
      </c>
      <c r="B50" s="20" t="n"/>
      <c r="C50" s="63">
        <f>IF(G50="","",DAY(G50))</f>
        <v/>
      </c>
      <c r="D50" s="63">
        <f>IF(G50="","",MONTH(G50))</f>
        <v/>
      </c>
      <c r="E50" s="63">
        <f>IF(G50="","",YEAR(G50))</f>
        <v/>
      </c>
      <c r="F50" s="33">
        <f>IF(G50="","",CHOOSE(MONTH(G50),"Janeiro","Fevereiro","Março","Abril","Maio","Junho","Julho","Agosto","Setembro","Outubro","Novembro","Dezembro"))</f>
        <v/>
      </c>
      <c r="G50" s="64" t="n">
        <v>46054</v>
      </c>
      <c r="H50" s="65" t="n">
        <v>0.2153240740740741</v>
      </c>
      <c r="I50" s="66" t="inlineStr">
        <is>
          <t>https://docs.google.com/spreadsheets/d/1ZiCGoPjLCjuYvujDTXK9Ixbth3tekiLtFBzBrGjPCr4/edit?gid=0#gid=0</t>
        </is>
      </c>
      <c r="J50" s="67" t="inlineStr">
        <is>
          <t>Overpaid, Excede o limite, Sem comprovante - [OPEN]</t>
        </is>
      </c>
      <c r="K50" s="67" t="inlineStr"/>
      <c r="L50" s="68" t="b">
        <v>0</v>
      </c>
      <c r="M50" s="20" t="n"/>
      <c r="N50" s="69">
        <f>IF($J50="","",IFERROR(INDEX(B!$F$2:$F$61,MATCH($J50,B!$E$2:$E$61,0))&amp;"",""))</f>
        <v/>
      </c>
      <c r="O50" s="69">
        <f>IF($J50="","",IFERROR(INDEX(B!$G$2:$G$61,MATCH($J50,B!$E$2:$E$61,0))&amp;"",""))</f>
        <v/>
      </c>
      <c r="P50" s="69">
        <f>IF($J50="","",IFERROR(INDEX(B!$H$2:$H$61,MATCH($J50,B!$E$2:$E$61,0))&amp;"",""))</f>
        <v/>
      </c>
      <c r="Q50" s="69">
        <f>IF($J50="","",IFERROR(INDEX(B!$I$2:$I$61,MATCH($J50,B!$E$2:$E$61,0))&amp;"",""))</f>
        <v/>
      </c>
      <c r="R50" s="69">
        <f>IF($J50="","",IFERROR(INDEX(B!$J$2:$J$61,MATCH($J50,B!$E$2:$E$61,0))&amp;"",""))</f>
        <v/>
      </c>
      <c r="S50" s="69">
        <f>IF($J50="","",IFERROR(INDEX(B!$K$2:$K$61,MATCH($J50,B!$E$2:$E$61,0))&amp;"",""))</f>
        <v/>
      </c>
      <c r="T50" s="69">
        <f>IF($J50="","",IFERROR(INDEX(B!$L$2:$L$61,MATCH($J50,B!$E$2:$E$61,0))&amp;"",""))</f>
        <v/>
      </c>
      <c r="U50" s="20" t="n"/>
      <c r="V50" s="70">
        <f>IF($J50="","",IFERROR(INDEX(B!$M$2:$M$61,MATCH($J50,B!$E$2:$E$61,0))&amp;"",""))</f>
        <v/>
      </c>
      <c r="W50" s="71">
        <f>IF(I50="","",IFERROR(MID(I50,FIND("/d/",I50)+3,FIND("/edit",I50)-FIND("/d/",I50)-3),I50))</f>
        <v/>
      </c>
      <c r="X50" s="71">
        <f>IF($J50="","",IFERROR(INDEX(B!$C$2:$C$61,MATCH($J50,B!$E$2:$E$61,0))&amp;"",""))</f>
        <v/>
      </c>
      <c r="Y50" s="20" t="n"/>
      <c r="Z50" s="72">
        <f>IF($J50="",FALSE,ISNUMBER(SEARCH("scout",$K50)))</f>
        <v/>
      </c>
      <c r="AA50" s="72">
        <f>IF($J50="",FALSE,IFERROR(INDEX(B!$N$2:$N$61,MATCH($J50,B!$E$2:$E$61,0))="Sim",FALSE))</f>
        <v/>
      </c>
      <c r="AB50" s="72">
        <f>IF($J50="",FALSE,LEFT($X50,2)="XX")</f>
        <v/>
      </c>
      <c r="AC50" s="72">
        <f>IF($J50="",FALSE,IFERROR(INDEX(B!$P$2:$P$61,MATCH($J50,B!$E$2:$E$61,0))="Sim",FALSE))</f>
        <v/>
      </c>
      <c r="AD50" s="20" t="n"/>
      <c r="AE50" s="52">
        <f>IF(H50="","",HOUR(H50))</f>
        <v/>
      </c>
      <c r="AF50" s="52" t="n"/>
    </row>
    <row r="51" ht="19.5" customHeight="1" s="58">
      <c r="A51" s="62">
        <f>IF(G51="","",IF(G51=G50,"",COUNTIF($G$3:$G$976,G51)))</f>
        <v/>
      </c>
      <c r="B51" s="20" t="n"/>
      <c r="C51" s="63">
        <f>IF(G51="","",DAY(G51))</f>
        <v/>
      </c>
      <c r="D51" s="63">
        <f>IF(G51="","",MONTH(G51))</f>
        <v/>
      </c>
      <c r="E51" s="63">
        <f>IF(G51="","",YEAR(G51))</f>
        <v/>
      </c>
      <c r="F51" s="33">
        <f>IF(G51="","",CHOOSE(MONTH(G51),"Janeiro","Fevereiro","Março","Abril","Maio","Junho","Julho","Agosto","Setembro","Outubro","Novembro","Dezembro"))</f>
        <v/>
      </c>
      <c r="G51" s="64" t="n">
        <v>46054</v>
      </c>
      <c r="H51" s="65" t="n">
        <v>0.2172685185185185</v>
      </c>
      <c r="I51" s="66" t="inlineStr">
        <is>
          <t>https://docs.google.com/spreadsheets/d/1ZiCGoPjLCjuYvujDTXK9Ixbth3tekiLtFBzBrGjPCr4/edit?gid=0#gid=0</t>
        </is>
      </c>
      <c r="J51" s="67" t="inlineStr">
        <is>
          <t>Trajeto Ruim - [TR]</t>
        </is>
      </c>
      <c r="K51" s="67" t="inlineStr"/>
      <c r="L51" s="68" t="b">
        <v>0</v>
      </c>
      <c r="M51" s="20" t="n"/>
      <c r="N51" s="69">
        <f>IF($J51="","",IFERROR(INDEX(B!$F$2:$F$61,MATCH($J51,B!$E$2:$E$61,0))&amp;"",""))</f>
        <v/>
      </c>
      <c r="O51" s="69">
        <f>IF($J51="","",IFERROR(INDEX(B!$G$2:$G$61,MATCH($J51,B!$E$2:$E$61,0))&amp;"",""))</f>
        <v/>
      </c>
      <c r="P51" s="69">
        <f>IF($J51="","",IFERROR(INDEX(B!$H$2:$H$61,MATCH($J51,B!$E$2:$E$61,0))&amp;"",""))</f>
        <v/>
      </c>
      <c r="Q51" s="69">
        <f>IF($J51="","",IFERROR(INDEX(B!$I$2:$I$61,MATCH($J51,B!$E$2:$E$61,0))&amp;"",""))</f>
        <v/>
      </c>
      <c r="R51" s="69">
        <f>IF($J51="","",IFERROR(INDEX(B!$J$2:$J$61,MATCH($J51,B!$E$2:$E$61,0))&amp;"",""))</f>
        <v/>
      </c>
      <c r="S51" s="69">
        <f>IF($J51="","",IFERROR(INDEX(B!$K$2:$K$61,MATCH($J51,B!$E$2:$E$61,0))&amp;"",""))</f>
        <v/>
      </c>
      <c r="T51" s="69">
        <f>IF($J51="","",IFERROR(INDEX(B!$L$2:$L$61,MATCH($J51,B!$E$2:$E$61,0))&amp;"",""))</f>
        <v/>
      </c>
      <c r="U51" s="20" t="n"/>
      <c r="V51" s="70">
        <f>IF($J51="","",IFERROR(INDEX(B!$M$2:$M$61,MATCH($J51,B!$E$2:$E$61,0))&amp;"",""))</f>
        <v/>
      </c>
      <c r="W51" s="71">
        <f>IF(I51="","",IFERROR(MID(I51,FIND("/d/",I51)+3,FIND("/edit",I51)-FIND("/d/",I51)-3),I51))</f>
        <v/>
      </c>
      <c r="X51" s="71">
        <f>IF($J51="","",IFERROR(INDEX(B!$C$2:$C$61,MATCH($J51,B!$E$2:$E$61,0))&amp;"",""))</f>
        <v/>
      </c>
      <c r="Y51" s="20" t="n"/>
      <c r="Z51" s="72">
        <f>IF($J51="",FALSE,ISNUMBER(SEARCH("scout",$K51)))</f>
        <v/>
      </c>
      <c r="AA51" s="72">
        <f>IF($J51="",FALSE,IFERROR(INDEX(B!$N$2:$N$61,MATCH($J51,B!$E$2:$E$61,0))="Sim",FALSE))</f>
        <v/>
      </c>
      <c r="AB51" s="72">
        <f>IF($J51="",FALSE,LEFT($X51,2)="XX")</f>
        <v/>
      </c>
      <c r="AC51" s="72">
        <f>IF($J51="",FALSE,IFERROR(INDEX(B!$P$2:$P$61,MATCH($J51,B!$E$2:$E$61,0))="Sim",FALSE))</f>
        <v/>
      </c>
      <c r="AD51" s="20" t="n"/>
      <c r="AE51" s="52">
        <f>IF(H51="","",HOUR(H51))</f>
        <v/>
      </c>
      <c r="AF51" s="52" t="n"/>
    </row>
    <row r="52" ht="19.5" customHeight="1" s="58">
      <c r="A52" s="62">
        <f>IF(G52="","",IF(G52=G51,"",COUNTIF($G$3:$G$976,G52)))</f>
        <v/>
      </c>
      <c r="B52" s="20" t="n"/>
      <c r="C52" s="63">
        <f>IF(G52="","",DAY(G52))</f>
        <v/>
      </c>
      <c r="D52" s="63">
        <f>IF(G52="","",MONTH(G52))</f>
        <v/>
      </c>
      <c r="E52" s="63">
        <f>IF(G52="","",YEAR(G52))</f>
        <v/>
      </c>
      <c r="F52" s="33">
        <f>IF(G52="","",CHOOSE(MONTH(G52),"Janeiro","Fevereiro","Março","Abril","Maio","Junho","Julho","Agosto","Setembro","Outubro","Novembro","Dezembro"))</f>
        <v/>
      </c>
      <c r="G52" s="64" t="n">
        <v>46054</v>
      </c>
      <c r="H52" s="65" t="n">
        <v>0.2194212962962963</v>
      </c>
      <c r="I52" s="66" t="inlineStr">
        <is>
          <t>https://docs.google.com/spreadsheets/d/1ZiCGoPjLCjuYvujDTXK9Ixbth3tekiLtFBzBrGjPCr4/edit?gid=0#gid=0</t>
        </is>
      </c>
      <c r="J52" s="67" t="inlineStr">
        <is>
          <t>No Need Response (Não precisa de resposta) - [NRN]</t>
        </is>
      </c>
      <c r="K52" s="67" t="inlineStr"/>
      <c r="L52" s="68" t="b">
        <v>0</v>
      </c>
      <c r="M52" s="20" t="n"/>
      <c r="N52" s="69">
        <f>IF($J52="","",IFERROR(INDEX(B!$F$2:$F$61,MATCH($J52,B!$E$2:$E$61,0))&amp;"",""))</f>
        <v/>
      </c>
      <c r="O52" s="69">
        <f>IF($J52="","",IFERROR(INDEX(B!$G$2:$G$61,MATCH($J52,B!$E$2:$E$61,0))&amp;"",""))</f>
        <v/>
      </c>
      <c r="P52" s="69">
        <f>IF($J52="","",IFERROR(INDEX(B!$H$2:$H$61,MATCH($J52,B!$E$2:$E$61,0))&amp;"",""))</f>
        <v/>
      </c>
      <c r="Q52" s="69">
        <f>IF($J52="","",IFERROR(INDEX(B!$I$2:$I$61,MATCH($J52,B!$E$2:$E$61,0))&amp;"",""))</f>
        <v/>
      </c>
      <c r="R52" s="69">
        <f>IF($J52="","",IFERROR(INDEX(B!$J$2:$J$61,MATCH($J52,B!$E$2:$E$61,0))&amp;"",""))</f>
        <v/>
      </c>
      <c r="S52" s="69">
        <f>IF($J52="","",IFERROR(INDEX(B!$K$2:$K$61,MATCH($J52,B!$E$2:$E$61,0))&amp;"",""))</f>
        <v/>
      </c>
      <c r="T52" s="69">
        <f>IF($J52="","",IFERROR(INDEX(B!$L$2:$L$61,MATCH($J52,B!$E$2:$E$61,0))&amp;"",""))</f>
        <v/>
      </c>
      <c r="U52" s="20" t="n"/>
      <c r="V52" s="70">
        <f>IF($J52="","",IFERROR(INDEX(B!$M$2:$M$61,MATCH($J52,B!$E$2:$E$61,0))&amp;"",""))</f>
        <v/>
      </c>
      <c r="W52" s="71">
        <f>IF(I52="","",IFERROR(MID(I52,FIND("/d/",I52)+3,FIND("/edit",I52)-FIND("/d/",I52)-3),I52))</f>
        <v/>
      </c>
      <c r="X52" s="71">
        <f>IF($J52="","",IFERROR(INDEX(B!$C$2:$C$61,MATCH($J52,B!$E$2:$E$61,0))&amp;"",""))</f>
        <v/>
      </c>
      <c r="Y52" s="20" t="n"/>
      <c r="Z52" s="72">
        <f>IF($J52="",FALSE,ISNUMBER(SEARCH("scout",$K52)))</f>
        <v/>
      </c>
      <c r="AA52" s="72">
        <f>IF($J52="",FALSE,IFERROR(INDEX(B!$N$2:$N$61,MATCH($J52,B!$E$2:$E$61,0))="Sim",FALSE))</f>
        <v/>
      </c>
      <c r="AB52" s="72">
        <f>IF($J52="",FALSE,LEFT($X52,2)="XX")</f>
        <v/>
      </c>
      <c r="AC52" s="72">
        <f>IF($J52="",FALSE,IFERROR(INDEX(B!$P$2:$P$61,MATCH($J52,B!$E$2:$E$61,0))="Sim",FALSE))</f>
        <v/>
      </c>
      <c r="AD52" s="20" t="n"/>
      <c r="AE52" s="52">
        <f>IF(H52="","",HOUR(H52))</f>
        <v/>
      </c>
      <c r="AF52" s="52" t="n"/>
    </row>
    <row r="53" ht="19.5" customHeight="1" s="58">
      <c r="A53" s="62">
        <f>IF(G53="","",IF(G53=G52,"",COUNTIF($G$3:$G$976,G53)))</f>
        <v/>
      </c>
      <c r="B53" s="20" t="n"/>
      <c r="C53" s="63">
        <f>IF(G53="","",DAY(G53))</f>
        <v/>
      </c>
      <c r="D53" s="63">
        <f>IF(G53="","",MONTH(G53))</f>
        <v/>
      </c>
      <c r="E53" s="63">
        <f>IF(G53="","",YEAR(G53))</f>
        <v/>
      </c>
      <c r="F53" s="33">
        <f>IF(G53="","",CHOOSE(MONTH(G53),"Janeiro","Fevereiro","Março","Abril","Maio","Junho","Julho","Agosto","Setembro","Outubro","Novembro","Dezembro"))</f>
        <v/>
      </c>
      <c r="G53" s="64" t="n">
        <v>46054</v>
      </c>
      <c r="H53" s="65" t="n">
        <v>0.2252662037037037</v>
      </c>
      <c r="I53" s="66" t="inlineStr">
        <is>
          <t>https://docs.google.com/spreadsheets/d/1ZiCGoPjLCjuYvujDTXK9Ixbth3tekiLtFBzBrGjPCr4/edit?gid=0#gid=0</t>
        </is>
      </c>
      <c r="J53" s="67" t="inlineStr">
        <is>
          <t>Taxa de Cancelamento Cobrada Corretamente - [TXCO]</t>
        </is>
      </c>
      <c r="K53" s="67" t="inlineStr"/>
      <c r="L53" s="68" t="b">
        <v>1</v>
      </c>
      <c r="M53" s="20" t="n"/>
      <c r="N53" s="69">
        <f>IF($J53="","",IFERROR(INDEX(B!$F$2:$F$61,MATCH($J53,B!$E$2:$E$61,0))&amp;"",""))</f>
        <v/>
      </c>
      <c r="O53" s="69">
        <f>IF($J53="","",IFERROR(INDEX(B!$G$2:$G$61,MATCH($J53,B!$E$2:$E$61,0))&amp;"",""))</f>
        <v/>
      </c>
      <c r="P53" s="69">
        <f>IF($J53="","",IFERROR(INDEX(B!$H$2:$H$61,MATCH($J53,B!$E$2:$E$61,0))&amp;"",""))</f>
        <v/>
      </c>
      <c r="Q53" s="69">
        <f>IF($J53="","",IFERROR(INDEX(B!$I$2:$I$61,MATCH($J53,B!$E$2:$E$61,0))&amp;"",""))</f>
        <v/>
      </c>
      <c r="R53" s="69">
        <f>IF($J53="","",IFERROR(INDEX(B!$J$2:$J$61,MATCH($J53,B!$E$2:$E$61,0))&amp;"",""))</f>
        <v/>
      </c>
      <c r="S53" s="69">
        <f>IF($J53="","",IFERROR(INDEX(B!$K$2:$K$61,MATCH($J53,B!$E$2:$E$61,0))&amp;"",""))</f>
        <v/>
      </c>
      <c r="T53" s="69">
        <f>IF($J53="","",IFERROR(INDEX(B!$L$2:$L$61,MATCH($J53,B!$E$2:$E$61,0))&amp;"",""))</f>
        <v/>
      </c>
      <c r="U53" s="20" t="n"/>
      <c r="V53" s="70">
        <f>IF($J53="","",IFERROR(INDEX(B!$M$2:$M$61,MATCH($J53,B!$E$2:$E$61,0))&amp;"",""))</f>
        <v/>
      </c>
      <c r="W53" s="71">
        <f>IF(I53="","",IFERROR(MID(I53,FIND("/d/",I53)+3,FIND("/edit",I53)-FIND("/d/",I53)-3),I53))</f>
        <v/>
      </c>
      <c r="X53" s="71">
        <f>IF($J53="","",IFERROR(INDEX(B!$C$2:$C$61,MATCH($J53,B!$E$2:$E$61,0))&amp;"",""))</f>
        <v/>
      </c>
      <c r="Y53" s="20" t="n"/>
      <c r="Z53" s="72">
        <f>IF($J53="",FALSE,ISNUMBER(SEARCH("scout",$K53)))</f>
        <v/>
      </c>
      <c r="AA53" s="72">
        <f>IF($J53="",FALSE,IFERROR(INDEX(B!$N$2:$N$61,MATCH($J53,B!$E$2:$E$61,0))="Sim",FALSE))</f>
        <v/>
      </c>
      <c r="AB53" s="72">
        <f>IF($J53="",FALSE,LEFT($X53,2)="XX")</f>
        <v/>
      </c>
      <c r="AC53" s="72">
        <f>IF($J53="",FALSE,IFERROR(INDEX(B!$P$2:$P$61,MATCH($J53,B!$E$2:$E$61,0))="Sim",FALSE))</f>
        <v/>
      </c>
      <c r="AD53" s="20" t="n"/>
      <c r="AE53" s="52">
        <f>IF(H53="","",HOUR(H53))</f>
        <v/>
      </c>
      <c r="AF53" s="52" t="n"/>
    </row>
    <row r="54" ht="19.5" customHeight="1" s="58">
      <c r="A54" s="62">
        <f>IF(G54="","",IF(G54=G53,"",COUNTIF($G$3:$G$976,G54)))</f>
        <v/>
      </c>
      <c r="B54" s="20" t="n"/>
      <c r="C54" s="63">
        <f>IF(G54="","",DAY(G54))</f>
        <v/>
      </c>
      <c r="D54" s="63">
        <f>IF(G54="","",MONTH(G54))</f>
        <v/>
      </c>
      <c r="E54" s="63">
        <f>IF(G54="","",YEAR(G54))</f>
        <v/>
      </c>
      <c r="F54" s="33">
        <f>IF(G54="","",CHOOSE(MONTH(G54),"Janeiro","Fevereiro","Março","Abril","Maio","Junho","Julho","Agosto","Setembro","Outubro","Novembro","Dezembro"))</f>
        <v/>
      </c>
      <c r="G54" s="64" t="n">
        <v>46054</v>
      </c>
      <c r="H54" s="65" t="n">
        <v>0.22625</v>
      </c>
      <c r="I54" s="66" t="inlineStr">
        <is>
          <t>https://docs.google.com/spreadsheets/d/1ZiCGoPjLCjuYvujDTXK9Ixbth3tekiLtFBzBrGjPCr4/edit?gid=0#gid=0</t>
        </is>
      </c>
      <c r="J54" s="67" t="inlineStr">
        <is>
          <t>Transferência de LOB (Driver) - [TIDV]</t>
        </is>
      </c>
      <c r="K54" s="67" t="inlineStr"/>
      <c r="L54" s="68" t="b">
        <v>1</v>
      </c>
      <c r="M54" s="20" t="n"/>
      <c r="N54" s="69">
        <f>IF($J54="","",IFERROR(INDEX(B!$F$2:$F$61,MATCH($J54,B!$E$2:$E$61,0))&amp;"",""))</f>
        <v/>
      </c>
      <c r="O54" s="69">
        <f>IF($J54="","",IFERROR(INDEX(B!$G$2:$G$61,MATCH($J54,B!$E$2:$E$61,0))&amp;"",""))</f>
        <v/>
      </c>
      <c r="P54" s="69">
        <f>IF($J54="","",IFERROR(INDEX(B!$H$2:$H$61,MATCH($J54,B!$E$2:$E$61,0))&amp;"",""))</f>
        <v/>
      </c>
      <c r="Q54" s="69">
        <f>IF($J54="","",IFERROR(INDEX(B!$I$2:$I$61,MATCH($J54,B!$E$2:$E$61,0))&amp;"",""))</f>
        <v/>
      </c>
      <c r="R54" s="69">
        <f>IF($J54="","",IFERROR(INDEX(B!$J$2:$J$61,MATCH($J54,B!$E$2:$E$61,0))&amp;"",""))</f>
        <v/>
      </c>
      <c r="S54" s="69">
        <f>IF($J54="","",IFERROR(INDEX(B!$K$2:$K$61,MATCH($J54,B!$E$2:$E$61,0))&amp;"",""))</f>
        <v/>
      </c>
      <c r="T54" s="69">
        <f>IF($J54="","",IFERROR(INDEX(B!$L$2:$L$61,MATCH($J54,B!$E$2:$E$61,0))&amp;"",""))</f>
        <v/>
      </c>
      <c r="U54" s="20" t="n"/>
      <c r="V54" s="70">
        <f>IF($J54="","",IFERROR(INDEX(B!$M$2:$M$61,MATCH($J54,B!$E$2:$E$61,0))&amp;"",""))</f>
        <v/>
      </c>
      <c r="W54" s="71">
        <f>IF(I54="","",IFERROR(MID(I54,FIND("/d/",I54)+3,FIND("/edit",I54)-FIND("/d/",I54)-3),I54))</f>
        <v/>
      </c>
      <c r="X54" s="71">
        <f>IF($J54="","",IFERROR(INDEX(B!$C$2:$C$61,MATCH($J54,B!$E$2:$E$61,0))&amp;"",""))</f>
        <v/>
      </c>
      <c r="Y54" s="20" t="n"/>
      <c r="Z54" s="72">
        <f>IF($J54="",FALSE,ISNUMBER(SEARCH("scout",$K54)))</f>
        <v/>
      </c>
      <c r="AA54" s="72">
        <f>IF($J54="",FALSE,IFERROR(INDEX(B!$N$2:$N$61,MATCH($J54,B!$E$2:$E$61,0))="Sim",FALSE))</f>
        <v/>
      </c>
      <c r="AB54" s="72">
        <f>IF($J54="",FALSE,LEFT($X54,2)="XX")</f>
        <v/>
      </c>
      <c r="AC54" s="72">
        <f>IF($J54="",FALSE,IFERROR(INDEX(B!$P$2:$P$61,MATCH($J54,B!$E$2:$E$61,0))="Sim",FALSE))</f>
        <v/>
      </c>
      <c r="AD54" s="20" t="n"/>
      <c r="AE54" s="52">
        <f>IF(H54="","",HOUR(H54))</f>
        <v/>
      </c>
      <c r="AF54" s="52" t="n"/>
    </row>
    <row r="55" ht="19.5" customHeight="1" s="58">
      <c r="A55" s="62">
        <f>IF(G55="","",IF(G55=G54,"",COUNTIF($G$3:$G$976,G55)))</f>
        <v/>
      </c>
      <c r="B55" s="20" t="n"/>
      <c r="C55" s="63">
        <f>IF(G55="","",DAY(G55))</f>
        <v/>
      </c>
      <c r="D55" s="63">
        <f>IF(G55="","",MONTH(G55))</f>
        <v/>
      </c>
      <c r="E55" s="63">
        <f>IF(G55="","",YEAR(G55))</f>
        <v/>
      </c>
      <c r="F55" s="33">
        <f>IF(G55="","",CHOOSE(MONTH(G55),"Janeiro","Fevereiro","Março","Abril","Maio","Junho","Julho","Agosto","Setembro","Outubro","Novembro","Dezembro"))</f>
        <v/>
      </c>
      <c r="G55" s="64" t="n">
        <v>46054</v>
      </c>
      <c r="H55" s="65" t="n">
        <v>0.2344675925925926</v>
      </c>
      <c r="I55" s="66" t="inlineStr">
        <is>
          <t>https://docs.google.com/spreadsheets/d/1ZiCGoPjLCjuYvujDTXK9Ixbth3tekiLtFBzBrGjPCr4/edit?gid=0#gid=0</t>
        </is>
      </c>
      <c r="J55" s="67" t="inlineStr">
        <is>
          <t>Não houve Taxa de Cancelamento - [NTX]</t>
        </is>
      </c>
      <c r="K55" s="67" t="inlineStr"/>
      <c r="L55" s="68" t="b">
        <v>0</v>
      </c>
      <c r="M55" s="20" t="n"/>
      <c r="N55" s="69">
        <f>IF($J55="","",IFERROR(INDEX(B!$F$2:$F$61,MATCH($J55,B!$E$2:$E$61,0))&amp;"",""))</f>
        <v/>
      </c>
      <c r="O55" s="69">
        <f>IF($J55="","",IFERROR(INDEX(B!$G$2:$G$61,MATCH($J55,B!$E$2:$E$61,0))&amp;"",""))</f>
        <v/>
      </c>
      <c r="P55" s="69">
        <f>IF($J55="","",IFERROR(INDEX(B!$H$2:$H$61,MATCH($J55,B!$E$2:$E$61,0))&amp;"",""))</f>
        <v/>
      </c>
      <c r="Q55" s="69">
        <f>IF($J55="","",IFERROR(INDEX(B!$I$2:$I$61,MATCH($J55,B!$E$2:$E$61,0))&amp;"",""))</f>
        <v/>
      </c>
      <c r="R55" s="69">
        <f>IF($J55="","",IFERROR(INDEX(B!$J$2:$J$61,MATCH($J55,B!$E$2:$E$61,0))&amp;"",""))</f>
        <v/>
      </c>
      <c r="S55" s="69">
        <f>IF($J55="","",IFERROR(INDEX(B!$K$2:$K$61,MATCH($J55,B!$E$2:$E$61,0))&amp;"",""))</f>
        <v/>
      </c>
      <c r="T55" s="69">
        <f>IF($J55="","",IFERROR(INDEX(B!$L$2:$L$61,MATCH($J55,B!$E$2:$E$61,0))&amp;"",""))</f>
        <v/>
      </c>
      <c r="U55" s="20" t="n"/>
      <c r="V55" s="70">
        <f>IF($J55="","",IFERROR(INDEX(B!$M$2:$M$61,MATCH($J55,B!$E$2:$E$61,0))&amp;"",""))</f>
        <v/>
      </c>
      <c r="W55" s="71">
        <f>IF(I55="","",IFERROR(MID(I55,FIND("/d/",I55)+3,FIND("/edit",I55)-FIND("/d/",I55)-3),I55))</f>
        <v/>
      </c>
      <c r="X55" s="71">
        <f>IF($J55="","",IFERROR(INDEX(B!$C$2:$C$61,MATCH($J55,B!$E$2:$E$61,0))&amp;"",""))</f>
        <v/>
      </c>
      <c r="Y55" s="20" t="n"/>
      <c r="Z55" s="72">
        <f>IF($J55="",FALSE,ISNUMBER(SEARCH("scout",$K55)))</f>
        <v/>
      </c>
      <c r="AA55" s="72">
        <f>IF($J55="",FALSE,IFERROR(INDEX(B!$N$2:$N$61,MATCH($J55,B!$E$2:$E$61,0))="Sim",FALSE))</f>
        <v/>
      </c>
      <c r="AB55" s="72">
        <f>IF($J55="",FALSE,LEFT($X55,2)="XX")</f>
        <v/>
      </c>
      <c r="AC55" s="72">
        <f>IF($J55="",FALSE,IFERROR(INDEX(B!$P$2:$P$61,MATCH($J55,B!$E$2:$E$61,0))="Sim",FALSE))</f>
        <v/>
      </c>
      <c r="AD55" s="20" t="n"/>
      <c r="AE55" s="52">
        <f>IF(H55="","",HOUR(H55))</f>
        <v/>
      </c>
      <c r="AF55" s="52" t="n"/>
    </row>
    <row r="56" ht="19.5" customHeight="1" s="58">
      <c r="A56" s="62">
        <f>IF(G56="","",IF(G56=G55,"",COUNTIF($G$3:$G$976,G56)))</f>
        <v/>
      </c>
      <c r="B56" s="20" t="n"/>
      <c r="C56" s="63">
        <f>IF(G56="","",DAY(G56))</f>
        <v/>
      </c>
      <c r="D56" s="63">
        <f>IF(G56="","",MONTH(G56))</f>
        <v/>
      </c>
      <c r="E56" s="63">
        <f>IF(G56="","",YEAR(G56))</f>
        <v/>
      </c>
      <c r="F56" s="33">
        <f>IF(G56="","",CHOOSE(MONTH(G56),"Janeiro","Fevereiro","Março","Abril","Maio","Junho","Julho","Agosto","Setembro","Outubro","Novembro","Dezembro"))</f>
        <v/>
      </c>
      <c r="G56" s="64" t="n">
        <v>46054</v>
      </c>
      <c r="H56" s="65" t="n">
        <v>0.2353472222222222</v>
      </c>
      <c r="I56" s="66" t="inlineStr">
        <is>
          <t>https://docs.google.com/spreadsheets/d/1ZiCGoPjLCjuYvujDTXK9Ixbth3tekiLtFBzBrGjPCr4/edit?gid=0#gid=0</t>
        </is>
      </c>
      <c r="J56" s="67" t="inlineStr">
        <is>
          <t>Taxa de Cancelamento - [TXC]</t>
        </is>
      </c>
      <c r="K56" s="67" t="inlineStr"/>
      <c r="L56" s="68" t="b">
        <v>0</v>
      </c>
      <c r="M56" s="20" t="n"/>
      <c r="N56" s="69">
        <f>IF($J56="","",IFERROR(INDEX(B!$F$2:$F$61,MATCH($J56,B!$E$2:$E$61,0))&amp;"",""))</f>
        <v/>
      </c>
      <c r="O56" s="69">
        <f>IF($J56="","",IFERROR(INDEX(B!$G$2:$G$61,MATCH($J56,B!$E$2:$E$61,0))&amp;"",""))</f>
        <v/>
      </c>
      <c r="P56" s="69">
        <f>IF($J56="","",IFERROR(INDEX(B!$H$2:$H$61,MATCH($J56,B!$E$2:$E$61,0))&amp;"",""))</f>
        <v/>
      </c>
      <c r="Q56" s="69">
        <f>IF($J56="","",IFERROR(INDEX(B!$I$2:$I$61,MATCH($J56,B!$E$2:$E$61,0))&amp;"",""))</f>
        <v/>
      </c>
      <c r="R56" s="69">
        <f>IF($J56="","",IFERROR(INDEX(B!$J$2:$J$61,MATCH($J56,B!$E$2:$E$61,0))&amp;"",""))</f>
        <v/>
      </c>
      <c r="S56" s="69">
        <f>IF($J56="","",IFERROR(INDEX(B!$K$2:$K$61,MATCH($J56,B!$E$2:$E$61,0))&amp;"",""))</f>
        <v/>
      </c>
      <c r="T56" s="69">
        <f>IF($J56="","",IFERROR(INDEX(B!$L$2:$L$61,MATCH($J56,B!$E$2:$E$61,0))&amp;"",""))</f>
        <v/>
      </c>
      <c r="U56" s="20" t="n"/>
      <c r="V56" s="70">
        <f>IF($J56="","",IFERROR(INDEX(B!$M$2:$M$61,MATCH($J56,B!$E$2:$E$61,0))&amp;"",""))</f>
        <v/>
      </c>
      <c r="W56" s="71">
        <f>IF(I56="","",IFERROR(MID(I56,FIND("/d/",I56)+3,FIND("/edit",I56)-FIND("/d/",I56)-3),I56))</f>
        <v/>
      </c>
      <c r="X56" s="71">
        <f>IF($J56="","",IFERROR(INDEX(B!$C$2:$C$61,MATCH($J56,B!$E$2:$E$61,0))&amp;"",""))</f>
        <v/>
      </c>
      <c r="Y56" s="20" t="n"/>
      <c r="Z56" s="72">
        <f>IF($J56="",FALSE,ISNUMBER(SEARCH("scout",$K56)))</f>
        <v/>
      </c>
      <c r="AA56" s="72">
        <f>IF($J56="",FALSE,IFERROR(INDEX(B!$N$2:$N$61,MATCH($J56,B!$E$2:$E$61,0))="Sim",FALSE))</f>
        <v/>
      </c>
      <c r="AB56" s="72">
        <f>IF($J56="",FALSE,LEFT($X56,2)="XX")</f>
        <v/>
      </c>
      <c r="AC56" s="72">
        <f>IF($J56="",FALSE,IFERROR(INDEX(B!$P$2:$P$61,MATCH($J56,B!$E$2:$E$61,0))="Sim",FALSE))</f>
        <v/>
      </c>
      <c r="AD56" s="20" t="n"/>
      <c r="AE56" s="52">
        <f>IF(H56="","",HOUR(H56))</f>
        <v/>
      </c>
      <c r="AF56" s="52" t="n"/>
    </row>
    <row r="57" ht="19.5" customHeight="1" s="58">
      <c r="A57" s="62">
        <f>IF(G57="","",IF(G57=G56,"",COUNTIF($G$3:$G$976,G57)))</f>
        <v/>
      </c>
      <c r="B57" s="20" t="n"/>
      <c r="C57" s="63">
        <f>IF(G57="","",DAY(G57))</f>
        <v/>
      </c>
      <c r="D57" s="63">
        <f>IF(G57="","",MONTH(G57))</f>
        <v/>
      </c>
      <c r="E57" s="63">
        <f>IF(G57="","",YEAR(G57))</f>
        <v/>
      </c>
      <c r="F57" s="33">
        <f>IF(G57="","",CHOOSE(MONTH(G57),"Janeiro","Fevereiro","Março","Abril","Maio","Junho","Julho","Agosto","Setembro","Outubro","Novembro","Dezembro"))</f>
        <v/>
      </c>
      <c r="G57" s="64" t="n">
        <v>46054</v>
      </c>
      <c r="H57" s="65" t="n">
        <v>0.2374074074074074</v>
      </c>
      <c r="I57" s="66" t="inlineStr">
        <is>
          <t>https://docs.google.com/spreadsheets/d/1ZiCGoPjLCjuYvujDTXK9Ixbth3tekiLtFBzBrGjPCr4/edit?gid=0#gid=0</t>
        </is>
      </c>
      <c r="J57" s="67" t="inlineStr">
        <is>
          <t>Pushback - [XX]</t>
        </is>
      </c>
      <c r="K57" s="67" t="inlineStr">
        <is>
          <t>Scout</t>
        </is>
      </c>
      <c r="L57" s="68" t="b">
        <v>0</v>
      </c>
      <c r="M57" s="20" t="n"/>
      <c r="N57" s="69">
        <f>IF($J57="","",IFERROR(INDEX(B!$F$2:$F$61,MATCH($J57,B!$E$2:$E$61,0))&amp;"",""))</f>
        <v/>
      </c>
      <c r="O57" s="69">
        <f>IF($J57="","",IFERROR(INDEX(B!$G$2:$G$61,MATCH($J57,B!$E$2:$E$61,0))&amp;"",""))</f>
        <v/>
      </c>
      <c r="P57" s="69">
        <f>IF($J57="","",IFERROR(INDEX(B!$H$2:$H$61,MATCH($J57,B!$E$2:$E$61,0))&amp;"",""))</f>
        <v/>
      </c>
      <c r="Q57" s="69">
        <f>IF($J57="","",IFERROR(INDEX(B!$I$2:$I$61,MATCH($J57,B!$E$2:$E$61,0))&amp;"",""))</f>
        <v/>
      </c>
      <c r="R57" s="69">
        <f>IF($J57="","",IFERROR(INDEX(B!$J$2:$J$61,MATCH($J57,B!$E$2:$E$61,0))&amp;"",""))</f>
        <v/>
      </c>
      <c r="S57" s="69">
        <f>IF($J57="","",IFERROR(INDEX(B!$K$2:$K$61,MATCH($J57,B!$E$2:$E$61,0))&amp;"",""))</f>
        <v/>
      </c>
      <c r="T57" s="69">
        <f>IF($J57="","",IFERROR(INDEX(B!$L$2:$L$61,MATCH($J57,B!$E$2:$E$61,0))&amp;"",""))</f>
        <v/>
      </c>
      <c r="U57" s="20" t="n"/>
      <c r="V57" s="70">
        <f>IF($J57="","",IFERROR(INDEX(B!$M$2:$M$61,MATCH($J57,B!$E$2:$E$61,0))&amp;"",""))</f>
        <v/>
      </c>
      <c r="W57" s="71">
        <f>IF(I57="","",IFERROR(MID(I57,FIND("/d/",I57)+3,FIND("/edit",I57)-FIND("/d/",I57)-3),I57))</f>
        <v/>
      </c>
      <c r="X57" s="71">
        <f>IF($J57="","",IFERROR(INDEX(B!$C$2:$C$61,MATCH($J57,B!$E$2:$E$61,0))&amp;"",""))</f>
        <v/>
      </c>
      <c r="Y57" s="20" t="n"/>
      <c r="Z57" s="72">
        <f>IF($J57="",FALSE,ISNUMBER(SEARCH("scout",$K57)))</f>
        <v/>
      </c>
      <c r="AA57" s="72">
        <f>IF($J57="",FALSE,IFERROR(INDEX(B!$N$2:$N$61,MATCH($J57,B!$E$2:$E$61,0))="Sim",FALSE))</f>
        <v/>
      </c>
      <c r="AB57" s="72">
        <f>IF($J57="",FALSE,LEFT($X57,2)="XX")</f>
        <v/>
      </c>
      <c r="AC57" s="72">
        <f>IF($J57="",FALSE,IFERROR(INDEX(B!$P$2:$P$61,MATCH($J57,B!$E$2:$E$61,0))="Sim",FALSE))</f>
        <v/>
      </c>
      <c r="AD57" s="20" t="n"/>
      <c r="AE57" s="52">
        <f>IF(H57="","",HOUR(H57))</f>
        <v/>
      </c>
      <c r="AF57" s="52" t="n"/>
    </row>
    <row r="58" ht="19.5" customHeight="1" s="58">
      <c r="A58" s="62">
        <f>IF(G58="","",IF(G58=G57,"",COUNTIF($G$3:$G$976,G58)))</f>
        <v/>
      </c>
      <c r="B58" s="20" t="n"/>
      <c r="C58" s="63">
        <f>IF(G58="","",DAY(G58))</f>
        <v/>
      </c>
      <c r="D58" s="63">
        <f>IF(G58="","",MONTH(G58))</f>
        <v/>
      </c>
      <c r="E58" s="63">
        <f>IF(G58="","",YEAR(G58))</f>
        <v/>
      </c>
      <c r="F58" s="33">
        <f>IF(G58="","",CHOOSE(MONTH(G58),"Janeiro","Fevereiro","Março","Abril","Maio","Junho","Julho","Agosto","Setembro","Outubro","Novembro","Dezembro"))</f>
        <v/>
      </c>
      <c r="G58" s="64" t="n">
        <v>46054</v>
      </c>
      <c r="H58" s="65" t="n">
        <v>0.2381365740740741</v>
      </c>
      <c r="I58" s="66" t="inlineStr">
        <is>
          <t>https://docs.google.com/spreadsheets/d/1ZiCGoPjLCjuYvujDTXK9Ixbth3tekiLtFBzBrGjPCr4/edit?gid=0#gid=0</t>
        </is>
      </c>
      <c r="J58" s="67" t="inlineStr">
        <is>
          <t>Transferência de LOB (Accounts) - [TIAC]</t>
        </is>
      </c>
      <c r="K58" s="67" t="inlineStr">
        <is>
          <t>Scout</t>
        </is>
      </c>
      <c r="L58" s="68" t="b">
        <v>0</v>
      </c>
      <c r="M58" s="20" t="n"/>
      <c r="N58" s="69">
        <f>IF($J58="","",IFERROR(INDEX(B!$F$2:$F$61,MATCH($J58,B!$E$2:$E$61,0))&amp;"",""))</f>
        <v/>
      </c>
      <c r="O58" s="69">
        <f>IF($J58="","",IFERROR(INDEX(B!$G$2:$G$61,MATCH($J58,B!$E$2:$E$61,0))&amp;"",""))</f>
        <v/>
      </c>
      <c r="P58" s="69">
        <f>IF($J58="","",IFERROR(INDEX(B!$H$2:$H$61,MATCH($J58,B!$E$2:$E$61,0))&amp;"",""))</f>
        <v/>
      </c>
      <c r="Q58" s="69">
        <f>IF($J58="","",IFERROR(INDEX(B!$I$2:$I$61,MATCH($J58,B!$E$2:$E$61,0))&amp;"",""))</f>
        <v/>
      </c>
      <c r="R58" s="69">
        <f>IF($J58="","",IFERROR(INDEX(B!$J$2:$J$61,MATCH($J58,B!$E$2:$E$61,0))&amp;"",""))</f>
        <v/>
      </c>
      <c r="S58" s="69">
        <f>IF($J58="","",IFERROR(INDEX(B!$K$2:$K$61,MATCH($J58,B!$E$2:$E$61,0))&amp;"",""))</f>
        <v/>
      </c>
      <c r="T58" s="69">
        <f>IF($J58="","",IFERROR(INDEX(B!$L$2:$L$61,MATCH($J58,B!$E$2:$E$61,0))&amp;"",""))</f>
        <v/>
      </c>
      <c r="U58" s="20" t="n"/>
      <c r="V58" s="70">
        <f>IF($J58="","",IFERROR(INDEX(B!$M$2:$M$61,MATCH($J58,B!$E$2:$E$61,0))&amp;"",""))</f>
        <v/>
      </c>
      <c r="W58" s="71">
        <f>IF(I58="","",IFERROR(MID(I58,FIND("/d/",I58)+3,FIND("/edit",I58)-FIND("/d/",I58)-3),I58))</f>
        <v/>
      </c>
      <c r="X58" s="71">
        <f>IF($J58="","",IFERROR(INDEX(B!$C$2:$C$61,MATCH($J58,B!$E$2:$E$61,0))&amp;"",""))</f>
        <v/>
      </c>
      <c r="Y58" s="20" t="n"/>
      <c r="Z58" s="72">
        <f>IF($J58="",FALSE,ISNUMBER(SEARCH("scout",$K58)))</f>
        <v/>
      </c>
      <c r="AA58" s="72">
        <f>IF($J58="",FALSE,IFERROR(INDEX(B!$N$2:$N$61,MATCH($J58,B!$E$2:$E$61,0))="Sim",FALSE))</f>
        <v/>
      </c>
      <c r="AB58" s="72">
        <f>IF($J58="",FALSE,LEFT($X58,2)="XX")</f>
        <v/>
      </c>
      <c r="AC58" s="72">
        <f>IF($J58="",FALSE,IFERROR(INDEX(B!$P$2:$P$61,MATCH($J58,B!$E$2:$E$61,0))="Sim",FALSE))</f>
        <v/>
      </c>
      <c r="AD58" s="20" t="n"/>
      <c r="AE58" s="52">
        <f>IF(H58="","",HOUR(H58))</f>
        <v/>
      </c>
      <c r="AF58" s="52" t="n"/>
    </row>
    <row r="59" ht="19.5" customHeight="1" s="58">
      <c r="A59" s="62">
        <f>IF(G59="","",IF(G59=G58,"",COUNTIF($G$3:$G$976,G59)))</f>
        <v/>
      </c>
      <c r="B59" s="20" t="n"/>
      <c r="C59" s="63">
        <f>IF(G59="","",DAY(G59))</f>
        <v/>
      </c>
      <c r="D59" s="63">
        <f>IF(G59="","",MONTH(G59))</f>
        <v/>
      </c>
      <c r="E59" s="63">
        <f>IF(G59="","",YEAR(G59))</f>
        <v/>
      </c>
      <c r="F59" s="33">
        <f>IF(G59="","",CHOOSE(MONTH(G59),"Janeiro","Fevereiro","Março","Abril","Maio","Junho","Julho","Agosto","Setembro","Outubro","Novembro","Dezembro"))</f>
        <v/>
      </c>
      <c r="G59" s="64" t="n">
        <v>46054</v>
      </c>
      <c r="H59" s="65" t="n">
        <v>0.2407523148148148</v>
      </c>
      <c r="I59" s="66" t="inlineStr">
        <is>
          <t>https://docs.google.com/spreadsheets/d/1ZiCGoPjLCjuYvujDTXK9Ixbth3tekiLtFBzBrGjPCr4/edit?gid=0#gid=0</t>
        </is>
      </c>
      <c r="J59" s="67" t="inlineStr">
        <is>
          <t>Taxa de Limpeza - [TXL]</t>
        </is>
      </c>
      <c r="K59" s="67" t="inlineStr"/>
      <c r="L59" s="68" t="b">
        <v>0</v>
      </c>
      <c r="M59" s="20" t="n"/>
      <c r="N59" s="69">
        <f>IF($J59="","",IFERROR(INDEX(B!$F$2:$F$61,MATCH($J59,B!$E$2:$E$61,0))&amp;"",""))</f>
        <v/>
      </c>
      <c r="O59" s="69">
        <f>IF($J59="","",IFERROR(INDEX(B!$G$2:$G$61,MATCH($J59,B!$E$2:$E$61,0))&amp;"",""))</f>
        <v/>
      </c>
      <c r="P59" s="69">
        <f>IF($J59="","",IFERROR(INDEX(B!$H$2:$H$61,MATCH($J59,B!$E$2:$E$61,0))&amp;"",""))</f>
        <v/>
      </c>
      <c r="Q59" s="69">
        <f>IF($J59="","",IFERROR(INDEX(B!$I$2:$I$61,MATCH($J59,B!$E$2:$E$61,0))&amp;"",""))</f>
        <v/>
      </c>
      <c r="R59" s="69">
        <f>IF($J59="","",IFERROR(INDEX(B!$J$2:$J$61,MATCH($J59,B!$E$2:$E$61,0))&amp;"",""))</f>
        <v/>
      </c>
      <c r="S59" s="69">
        <f>IF($J59="","",IFERROR(INDEX(B!$K$2:$K$61,MATCH($J59,B!$E$2:$E$61,0))&amp;"",""))</f>
        <v/>
      </c>
      <c r="T59" s="69">
        <f>IF($J59="","",IFERROR(INDEX(B!$L$2:$L$61,MATCH($J59,B!$E$2:$E$61,0))&amp;"",""))</f>
        <v/>
      </c>
      <c r="U59" s="20" t="n"/>
      <c r="V59" s="70">
        <f>IF($J59="","",IFERROR(INDEX(B!$M$2:$M$61,MATCH($J59,B!$E$2:$E$61,0))&amp;"",""))</f>
        <v/>
      </c>
      <c r="W59" s="71">
        <f>IF(I59="","",IFERROR(MID(I59,FIND("/d/",I59)+3,FIND("/edit",I59)-FIND("/d/",I59)-3),I59))</f>
        <v/>
      </c>
      <c r="X59" s="71">
        <f>IF($J59="","",IFERROR(INDEX(B!$C$2:$C$61,MATCH($J59,B!$E$2:$E$61,0))&amp;"",""))</f>
        <v/>
      </c>
      <c r="Y59" s="20" t="n"/>
      <c r="Z59" s="72">
        <f>IF($J59="",FALSE,ISNUMBER(SEARCH("scout",$K59)))</f>
        <v/>
      </c>
      <c r="AA59" s="72">
        <f>IF($J59="",FALSE,IFERROR(INDEX(B!$N$2:$N$61,MATCH($J59,B!$E$2:$E$61,0))="Sim",FALSE))</f>
        <v/>
      </c>
      <c r="AB59" s="72">
        <f>IF($J59="",FALSE,LEFT($X59,2)="XX")</f>
        <v/>
      </c>
      <c r="AC59" s="72">
        <f>IF($J59="",FALSE,IFERROR(INDEX(B!$P$2:$P$61,MATCH($J59,B!$E$2:$E$61,0))="Sim",FALSE))</f>
        <v/>
      </c>
      <c r="AD59" s="20" t="n"/>
      <c r="AE59" s="52">
        <f>IF(H59="","",HOUR(H59))</f>
        <v/>
      </c>
      <c r="AF59" s="52" t="n"/>
    </row>
    <row r="60" ht="19.5" customHeight="1" s="58">
      <c r="A60" s="62">
        <f>IF(G60="","",IF(G60=G59,"",COUNTIF($G$3:$G$976,G60)))</f>
        <v/>
      </c>
      <c r="B60" s="20" t="n"/>
      <c r="C60" s="63">
        <f>IF(G60="","",DAY(G60))</f>
        <v/>
      </c>
      <c r="D60" s="63">
        <f>IF(G60="","",MONTH(G60))</f>
        <v/>
      </c>
      <c r="E60" s="63">
        <f>IF(G60="","",YEAR(G60))</f>
        <v/>
      </c>
      <c r="F60" s="33">
        <f>IF(G60="","",CHOOSE(MONTH(G60),"Janeiro","Fevereiro","Março","Abril","Maio","Junho","Julho","Agosto","Setembro","Outubro","Novembro","Dezembro"))</f>
        <v/>
      </c>
      <c r="G60" s="64" t="n">
        <v>46054</v>
      </c>
      <c r="H60" s="65" t="n">
        <v>0.2424768518518519</v>
      </c>
      <c r="I60" s="66" t="inlineStr">
        <is>
          <t>https://docs.google.com/spreadsheets/d/1ZiCGoPjLCjuYvujDTXK9Ixbth3tekiLtFBzBrGjPCr4/edit?gid=0#gid=0</t>
        </is>
      </c>
      <c r="J60" s="67" t="inlineStr">
        <is>
          <t>Comprovante de Pagamento - [CP]</t>
        </is>
      </c>
      <c r="K60" s="67" t="inlineStr"/>
      <c r="L60" s="68" t="b">
        <v>1</v>
      </c>
      <c r="M60" s="20" t="n"/>
      <c r="N60" s="69">
        <f>IF($J60="","",IFERROR(INDEX(B!$F$2:$F$61,MATCH($J60,B!$E$2:$E$61,0))&amp;"",""))</f>
        <v/>
      </c>
      <c r="O60" s="69">
        <f>IF($J60="","",IFERROR(INDEX(B!$G$2:$G$61,MATCH($J60,B!$E$2:$E$61,0))&amp;"",""))</f>
        <v/>
      </c>
      <c r="P60" s="69">
        <f>IF($J60="","",IFERROR(INDEX(B!$H$2:$H$61,MATCH($J60,B!$E$2:$E$61,0))&amp;"",""))</f>
        <v/>
      </c>
      <c r="Q60" s="69">
        <f>IF($J60="","",IFERROR(INDEX(B!$I$2:$I$61,MATCH($J60,B!$E$2:$E$61,0))&amp;"",""))</f>
        <v/>
      </c>
      <c r="R60" s="69">
        <f>IF($J60="","",IFERROR(INDEX(B!$J$2:$J$61,MATCH($J60,B!$E$2:$E$61,0))&amp;"",""))</f>
        <v/>
      </c>
      <c r="S60" s="69">
        <f>IF($J60="","",IFERROR(INDEX(B!$K$2:$K$61,MATCH($J60,B!$E$2:$E$61,0))&amp;"",""))</f>
        <v/>
      </c>
      <c r="T60" s="69">
        <f>IF($J60="","",IFERROR(INDEX(B!$L$2:$L$61,MATCH($J60,B!$E$2:$E$61,0))&amp;"",""))</f>
        <v/>
      </c>
      <c r="U60" s="20" t="n"/>
      <c r="V60" s="70">
        <f>IF($J60="","",IFERROR(INDEX(B!$M$2:$M$61,MATCH($J60,B!$E$2:$E$61,0))&amp;"",""))</f>
        <v/>
      </c>
      <c r="W60" s="71">
        <f>IF(I60="","",IFERROR(MID(I60,FIND("/d/",I60)+3,FIND("/edit",I60)-FIND("/d/",I60)-3),I60))</f>
        <v/>
      </c>
      <c r="X60" s="71">
        <f>IF($J60="","",IFERROR(INDEX(B!$C$2:$C$61,MATCH($J60,B!$E$2:$E$61,0))&amp;"",""))</f>
        <v/>
      </c>
      <c r="Y60" s="20" t="n"/>
      <c r="Z60" s="72">
        <f>IF($J60="",FALSE,ISNUMBER(SEARCH("scout",$K60)))</f>
        <v/>
      </c>
      <c r="AA60" s="72">
        <f>IF($J60="",FALSE,IFERROR(INDEX(B!$N$2:$N$61,MATCH($J60,B!$E$2:$E$61,0))="Sim",FALSE))</f>
        <v/>
      </c>
      <c r="AB60" s="72">
        <f>IF($J60="",FALSE,LEFT($X60,2)="XX")</f>
        <v/>
      </c>
      <c r="AC60" s="72">
        <f>IF($J60="",FALSE,IFERROR(INDEX(B!$P$2:$P$61,MATCH($J60,B!$E$2:$E$61,0))="Sim",FALSE))</f>
        <v/>
      </c>
      <c r="AD60" s="20" t="n"/>
      <c r="AE60" s="52">
        <f>IF(H60="","",HOUR(H60))</f>
        <v/>
      </c>
      <c r="AF60" s="52" t="n"/>
    </row>
    <row r="61" ht="19.5" customHeight="1" s="58">
      <c r="A61" s="62">
        <f>IF(G61="","",IF(G61=G60,"",COUNTIF($G$3:$G$976,G61)))</f>
        <v/>
      </c>
      <c r="B61" s="20" t="n"/>
      <c r="C61" s="63">
        <f>IF(G61="","",DAY(G61))</f>
        <v/>
      </c>
      <c r="D61" s="63">
        <f>IF(G61="","",MONTH(G61))</f>
        <v/>
      </c>
      <c r="E61" s="63">
        <f>IF(G61="","",YEAR(G61))</f>
        <v/>
      </c>
      <c r="F61" s="33">
        <f>IF(G61="","",CHOOSE(MONTH(G61),"Janeiro","Fevereiro","Março","Abril","Maio","Junho","Julho","Agosto","Setembro","Outubro","Novembro","Dezembro"))</f>
        <v/>
      </c>
      <c r="G61" s="64" t="n">
        <v>46054</v>
      </c>
      <c r="H61" s="65" t="n">
        <v>0.2440972222222222</v>
      </c>
      <c r="I61" s="66" t="inlineStr">
        <is>
          <t>https://docs.google.com/spreadsheets/d/1ZiCGoPjLCjuYvujDTXK9Ixbth3tekiLtFBzBrGjPCr4/edit?gid=0#gid=0</t>
        </is>
      </c>
      <c r="J61" s="67" t="inlineStr">
        <is>
          <t>Transferência de LOB (Driver) - [TIDV]</t>
        </is>
      </c>
      <c r="K61" s="67" t="inlineStr"/>
      <c r="L61" s="68" t="b">
        <v>1</v>
      </c>
      <c r="M61" s="20" t="n"/>
      <c r="N61" s="69">
        <f>IF($J61="","",IFERROR(INDEX(B!$F$2:$F$61,MATCH($J61,B!$E$2:$E$61,0))&amp;"",""))</f>
        <v/>
      </c>
      <c r="O61" s="69">
        <f>IF($J61="","",IFERROR(INDEX(B!$G$2:$G$61,MATCH($J61,B!$E$2:$E$61,0))&amp;"",""))</f>
        <v/>
      </c>
      <c r="P61" s="69">
        <f>IF($J61="","",IFERROR(INDEX(B!$H$2:$H$61,MATCH($J61,B!$E$2:$E$61,0))&amp;"",""))</f>
        <v/>
      </c>
      <c r="Q61" s="69">
        <f>IF($J61="","",IFERROR(INDEX(B!$I$2:$I$61,MATCH($J61,B!$E$2:$E$61,0))&amp;"",""))</f>
        <v/>
      </c>
      <c r="R61" s="69">
        <f>IF($J61="","",IFERROR(INDEX(B!$J$2:$J$61,MATCH($J61,B!$E$2:$E$61,0))&amp;"",""))</f>
        <v/>
      </c>
      <c r="S61" s="69">
        <f>IF($J61="","",IFERROR(INDEX(B!$K$2:$K$61,MATCH($J61,B!$E$2:$E$61,0))&amp;"",""))</f>
        <v/>
      </c>
      <c r="T61" s="69">
        <f>IF($J61="","",IFERROR(INDEX(B!$L$2:$L$61,MATCH($J61,B!$E$2:$E$61,0))&amp;"",""))</f>
        <v/>
      </c>
      <c r="U61" s="20" t="n"/>
      <c r="V61" s="70">
        <f>IF($J61="","",IFERROR(INDEX(B!$M$2:$M$61,MATCH($J61,B!$E$2:$E$61,0))&amp;"",""))</f>
        <v/>
      </c>
      <c r="W61" s="71">
        <f>IF(I61="","",IFERROR(MID(I61,FIND("/d/",I61)+3,FIND("/edit",I61)-FIND("/d/",I61)-3),I61))</f>
        <v/>
      </c>
      <c r="X61" s="71">
        <f>IF($J61="","",IFERROR(INDEX(B!$C$2:$C$61,MATCH($J61,B!$E$2:$E$61,0))&amp;"",""))</f>
        <v/>
      </c>
      <c r="Y61" s="20" t="n"/>
      <c r="Z61" s="72">
        <f>IF($J61="",FALSE,ISNUMBER(SEARCH("scout",$K61)))</f>
        <v/>
      </c>
      <c r="AA61" s="72">
        <f>IF($J61="",FALSE,IFERROR(INDEX(B!$N$2:$N$61,MATCH($J61,B!$E$2:$E$61,0))="Sim",FALSE))</f>
        <v/>
      </c>
      <c r="AB61" s="72">
        <f>IF($J61="",FALSE,LEFT($X61,2)="XX")</f>
        <v/>
      </c>
      <c r="AC61" s="72">
        <f>IF($J61="",FALSE,IFERROR(INDEX(B!$P$2:$P$61,MATCH($J61,B!$E$2:$E$61,0))="Sim",FALSE))</f>
        <v/>
      </c>
      <c r="AD61" s="20" t="n"/>
      <c r="AE61" s="52">
        <f>IF(H61="","",HOUR(H61))</f>
        <v/>
      </c>
      <c r="AF61" s="52" t="n"/>
    </row>
    <row r="62" ht="19.5" customHeight="1" s="58">
      <c r="A62" s="62">
        <f>IF(G62="","",IF(G62=G61,"",COUNTIF($G$3:$G$976,G62)))</f>
        <v/>
      </c>
      <c r="B62" s="20" t="n"/>
      <c r="C62" s="63">
        <f>IF(G62="","",DAY(G62))</f>
        <v/>
      </c>
      <c r="D62" s="63">
        <f>IF(G62="","",MONTH(G62))</f>
        <v/>
      </c>
      <c r="E62" s="63">
        <f>IF(G62="","",YEAR(G62))</f>
        <v/>
      </c>
      <c r="F62" s="33">
        <f>IF(G62="","",CHOOSE(MONTH(G62),"Janeiro","Fevereiro","Março","Abril","Maio","Junho","Julho","Agosto","Setembro","Outubro","Novembro","Dezembro"))</f>
        <v/>
      </c>
      <c r="G62" s="64" t="n">
        <v>46054</v>
      </c>
      <c r="H62" s="65" t="n">
        <v>0.2499768518518518</v>
      </c>
      <c r="I62" s="66" t="inlineStr">
        <is>
          <t>https://docs.google.com/spreadsheets/d/1ZiCGoPjLCjuYvujDTXK9Ixbth3tekiLtFBzBrGjPCr4/edit?gid=0#gid=0</t>
        </is>
      </c>
      <c r="J62" s="67" t="inlineStr">
        <is>
          <t>Overpaid, Não excede o limite, Sem comprovante - [OPNN]</t>
        </is>
      </c>
      <c r="K62" s="67" t="inlineStr">
        <is>
          <t>Scout</t>
        </is>
      </c>
      <c r="L62" s="68" t="b">
        <v>0</v>
      </c>
      <c r="M62" s="20" t="n"/>
      <c r="N62" s="69">
        <f>IF($J62="","",IFERROR(INDEX(B!$F$2:$F$61,MATCH($J62,B!$E$2:$E$61,0))&amp;"",""))</f>
        <v/>
      </c>
      <c r="O62" s="69">
        <f>IF($J62="","",IFERROR(INDEX(B!$G$2:$G$61,MATCH($J62,B!$E$2:$E$61,0))&amp;"",""))</f>
        <v/>
      </c>
      <c r="P62" s="69">
        <f>IF($J62="","",IFERROR(INDEX(B!$H$2:$H$61,MATCH($J62,B!$E$2:$E$61,0))&amp;"",""))</f>
        <v/>
      </c>
      <c r="Q62" s="69">
        <f>IF($J62="","",IFERROR(INDEX(B!$I$2:$I$61,MATCH($J62,B!$E$2:$E$61,0))&amp;"",""))</f>
        <v/>
      </c>
      <c r="R62" s="69">
        <f>IF($J62="","",IFERROR(INDEX(B!$J$2:$J$61,MATCH($J62,B!$E$2:$E$61,0))&amp;"",""))</f>
        <v/>
      </c>
      <c r="S62" s="69">
        <f>IF($J62="","",IFERROR(INDEX(B!$K$2:$K$61,MATCH($J62,B!$E$2:$E$61,0))&amp;"",""))</f>
        <v/>
      </c>
      <c r="T62" s="69">
        <f>IF($J62="","",IFERROR(INDEX(B!$L$2:$L$61,MATCH($J62,B!$E$2:$E$61,0))&amp;"",""))</f>
        <v/>
      </c>
      <c r="U62" s="20" t="n"/>
      <c r="V62" s="70">
        <f>IF($J62="","",IFERROR(INDEX(B!$M$2:$M$61,MATCH($J62,B!$E$2:$E$61,0))&amp;"",""))</f>
        <v/>
      </c>
      <c r="W62" s="71">
        <f>IF(I62="","",IFERROR(MID(I62,FIND("/d/",I62)+3,FIND("/edit",I62)-FIND("/d/",I62)-3),I62))</f>
        <v/>
      </c>
      <c r="X62" s="71">
        <f>IF($J62="","",IFERROR(INDEX(B!$C$2:$C$61,MATCH($J62,B!$E$2:$E$61,0))&amp;"",""))</f>
        <v/>
      </c>
      <c r="Y62" s="20" t="n"/>
      <c r="Z62" s="72">
        <f>IF($J62="",FALSE,ISNUMBER(SEARCH("scout",$K62)))</f>
        <v/>
      </c>
      <c r="AA62" s="72">
        <f>IF($J62="",FALSE,IFERROR(INDEX(B!$N$2:$N$61,MATCH($J62,B!$E$2:$E$61,0))="Sim",FALSE))</f>
        <v/>
      </c>
      <c r="AB62" s="72">
        <f>IF($J62="",FALSE,LEFT($X62,2)="XX")</f>
        <v/>
      </c>
      <c r="AC62" s="72">
        <f>IF($J62="",FALSE,IFERROR(INDEX(B!$P$2:$P$61,MATCH($J62,B!$E$2:$E$61,0))="Sim",FALSE))</f>
        <v/>
      </c>
      <c r="AD62" s="20" t="n"/>
      <c r="AE62" s="52">
        <f>IF(H62="","",HOUR(H62))</f>
        <v/>
      </c>
      <c r="AF62" s="52" t="n"/>
    </row>
    <row r="63" ht="19.5" customHeight="1" s="58">
      <c r="A63" s="62">
        <f>IF(G63="","",IF(G63=G62,"",COUNTIF($G$3:$G$976,G63)))</f>
        <v/>
      </c>
      <c r="B63" s="20" t="n"/>
      <c r="C63" s="63">
        <f>IF(G63="","",DAY(G63))</f>
        <v/>
      </c>
      <c r="D63" s="63">
        <f>IF(G63="","",MONTH(G63))</f>
        <v/>
      </c>
      <c r="E63" s="63">
        <f>IF(G63="","",YEAR(G63))</f>
        <v/>
      </c>
      <c r="F63" s="33">
        <f>IF(G63="","",CHOOSE(MONTH(G63),"Janeiro","Fevereiro","Março","Abril","Maio","Junho","Julho","Agosto","Setembro","Outubro","Novembro","Dezembro"))</f>
        <v/>
      </c>
      <c r="G63" s="64" t="n">
        <v>46055</v>
      </c>
      <c r="H63" s="65" t="n">
        <v>0.0003356481481481481</v>
      </c>
      <c r="I63" s="66" t="inlineStr">
        <is>
          <t>https://docs.google.com/spreadsheets/d/1ZiCGoPjLCjuYvujDTXK9Ixbth3tekiLtFBzBrGjPCr4/edit?gid=0#gid=0</t>
        </is>
      </c>
      <c r="J63" s="67" t="inlineStr">
        <is>
          <t>Taxa de Limpeza, Reembolsado ao cliente - [TXLR]</t>
        </is>
      </c>
      <c r="K63" s="67" t="inlineStr"/>
      <c r="L63" s="68" t="b">
        <v>0</v>
      </c>
      <c r="M63" s="20" t="n"/>
      <c r="N63" s="69">
        <f>IF($J63="","",IFERROR(INDEX(B!$F$2:$F$61,MATCH($J63,B!$E$2:$E$61,0))&amp;"",""))</f>
        <v/>
      </c>
      <c r="O63" s="69">
        <f>IF($J63="","",IFERROR(INDEX(B!$G$2:$G$61,MATCH($J63,B!$E$2:$E$61,0))&amp;"",""))</f>
        <v/>
      </c>
      <c r="P63" s="69">
        <f>IF($J63="","",IFERROR(INDEX(B!$H$2:$H$61,MATCH($J63,B!$E$2:$E$61,0))&amp;"",""))</f>
        <v/>
      </c>
      <c r="Q63" s="69">
        <f>IF($J63="","",IFERROR(INDEX(B!$I$2:$I$61,MATCH($J63,B!$E$2:$E$61,0))&amp;"",""))</f>
        <v/>
      </c>
      <c r="R63" s="69">
        <f>IF($J63="","",IFERROR(INDEX(B!$J$2:$J$61,MATCH($J63,B!$E$2:$E$61,0))&amp;"",""))</f>
        <v/>
      </c>
      <c r="S63" s="69">
        <f>IF($J63="","",IFERROR(INDEX(B!$K$2:$K$61,MATCH($J63,B!$E$2:$E$61,0))&amp;"",""))</f>
        <v/>
      </c>
      <c r="T63" s="69">
        <f>IF($J63="","",IFERROR(INDEX(B!$L$2:$L$61,MATCH($J63,B!$E$2:$E$61,0))&amp;"",""))</f>
        <v/>
      </c>
      <c r="U63" s="20" t="n"/>
      <c r="V63" s="70">
        <f>IF($J63="","",IFERROR(INDEX(B!$M$2:$M$61,MATCH($J63,B!$E$2:$E$61,0))&amp;"",""))</f>
        <v/>
      </c>
      <c r="W63" s="71">
        <f>IF(I63="","",IFERROR(MID(I63,FIND("/d/",I63)+3,FIND("/edit",I63)-FIND("/d/",I63)-3),I63))</f>
        <v/>
      </c>
      <c r="X63" s="71">
        <f>IF($J63="","",IFERROR(INDEX(B!$C$2:$C$61,MATCH($J63,B!$E$2:$E$61,0))&amp;"",""))</f>
        <v/>
      </c>
      <c r="Y63" s="20" t="n"/>
      <c r="Z63" s="72">
        <f>IF($J63="",FALSE,ISNUMBER(SEARCH("scout",$K63)))</f>
        <v/>
      </c>
      <c r="AA63" s="72">
        <f>IF($J63="",FALSE,IFERROR(INDEX(B!$N$2:$N$61,MATCH($J63,B!$E$2:$E$61,0))="Sim",FALSE))</f>
        <v/>
      </c>
      <c r="AB63" s="72">
        <f>IF($J63="",FALSE,LEFT($X63,2)="XX")</f>
        <v/>
      </c>
      <c r="AC63" s="72">
        <f>IF($J63="",FALSE,IFERROR(INDEX(B!$P$2:$P$61,MATCH($J63,B!$E$2:$E$61,0))="Sim",FALSE))</f>
        <v/>
      </c>
      <c r="AD63" s="20" t="n"/>
      <c r="AE63" s="52">
        <f>IF(H63="","",HOUR(H63))</f>
        <v/>
      </c>
      <c r="AF63" s="52" t="n"/>
    </row>
    <row r="64" ht="19.5" customHeight="1" s="58">
      <c r="A64" s="62">
        <f>IF(G64="","",IF(G64=G63,"",COUNTIF($G$3:$G$976,G64)))</f>
        <v/>
      </c>
      <c r="B64" s="20" t="n"/>
      <c r="C64" s="63">
        <f>IF(G64="","",DAY(G64))</f>
        <v/>
      </c>
      <c r="D64" s="63">
        <f>IF(G64="","",MONTH(G64))</f>
        <v/>
      </c>
      <c r="E64" s="63">
        <f>IF(G64="","",YEAR(G64))</f>
        <v/>
      </c>
      <c r="F64" s="33">
        <f>IF(G64="","",CHOOSE(MONTH(G64),"Janeiro","Fevereiro","Março","Abril","Maio","Junho","Julho","Agosto","Setembro","Outubro","Novembro","Dezembro"))</f>
        <v/>
      </c>
      <c r="G64" s="64" t="n">
        <v>46055</v>
      </c>
      <c r="H64" s="65" t="n">
        <v>0.003356481481481482</v>
      </c>
      <c r="I64" s="66" t="inlineStr">
        <is>
          <t>https://docs.google.com/spreadsheets/d/1ZiCGoPjLCjuYvujDTXK9Ixbth3tekiLtFBzBrGjPCr4/edit?gid=0#gid=0</t>
        </is>
      </c>
      <c r="J64" s="67" t="inlineStr">
        <is>
          <t>Overpaid, Não excede o limite, Com comprovante - [OPNC]</t>
        </is>
      </c>
      <c r="K64" s="67" t="inlineStr"/>
      <c r="L64" s="68" t="b">
        <v>0</v>
      </c>
      <c r="M64" s="20" t="n"/>
      <c r="N64" s="69">
        <f>IF($J64="","",IFERROR(INDEX(B!$F$2:$F$61,MATCH($J64,B!$E$2:$E$61,0))&amp;"",""))</f>
        <v/>
      </c>
      <c r="O64" s="69">
        <f>IF($J64="","",IFERROR(INDEX(B!$G$2:$G$61,MATCH($J64,B!$E$2:$E$61,0))&amp;"",""))</f>
        <v/>
      </c>
      <c r="P64" s="69">
        <f>IF($J64="","",IFERROR(INDEX(B!$H$2:$H$61,MATCH($J64,B!$E$2:$E$61,0))&amp;"",""))</f>
        <v/>
      </c>
      <c r="Q64" s="69">
        <f>IF($J64="","",IFERROR(INDEX(B!$I$2:$I$61,MATCH($J64,B!$E$2:$E$61,0))&amp;"",""))</f>
        <v/>
      </c>
      <c r="R64" s="69">
        <f>IF($J64="","",IFERROR(INDEX(B!$J$2:$J$61,MATCH($J64,B!$E$2:$E$61,0))&amp;"",""))</f>
        <v/>
      </c>
      <c r="S64" s="69">
        <f>IF($J64="","",IFERROR(INDEX(B!$K$2:$K$61,MATCH($J64,B!$E$2:$E$61,0))&amp;"",""))</f>
        <v/>
      </c>
      <c r="T64" s="69">
        <f>IF($J64="","",IFERROR(INDEX(B!$L$2:$L$61,MATCH($J64,B!$E$2:$E$61,0))&amp;"",""))</f>
        <v/>
      </c>
      <c r="U64" s="20" t="n"/>
      <c r="V64" s="70">
        <f>IF($J64="","",IFERROR(INDEX(B!$M$2:$M$61,MATCH($J64,B!$E$2:$E$61,0))&amp;"",""))</f>
        <v/>
      </c>
      <c r="W64" s="71">
        <f>IF(I64="","",IFERROR(MID(I64,FIND("/d/",I64)+3,FIND("/edit",I64)-FIND("/d/",I64)-3),I64))</f>
        <v/>
      </c>
      <c r="X64" s="71">
        <f>IF($J64="","",IFERROR(INDEX(B!$C$2:$C$61,MATCH($J64,B!$E$2:$E$61,0))&amp;"",""))</f>
        <v/>
      </c>
      <c r="Y64" s="20" t="n"/>
      <c r="Z64" s="72">
        <f>IF($J64="",FALSE,ISNUMBER(SEARCH("scout",$K64)))</f>
        <v/>
      </c>
      <c r="AA64" s="72">
        <f>IF($J64="",FALSE,IFERROR(INDEX(B!$N$2:$N$61,MATCH($J64,B!$E$2:$E$61,0))="Sim",FALSE))</f>
        <v/>
      </c>
      <c r="AB64" s="72">
        <f>IF($J64="",FALSE,LEFT($X64,2)="XX")</f>
        <v/>
      </c>
      <c r="AC64" s="72">
        <f>IF($J64="",FALSE,IFERROR(INDEX(B!$P$2:$P$61,MATCH($J64,B!$E$2:$E$61,0))="Sim",FALSE))</f>
        <v/>
      </c>
      <c r="AD64" s="20" t="n"/>
      <c r="AE64" s="52">
        <f>IF(H64="","",HOUR(H64))</f>
        <v/>
      </c>
      <c r="AF64" s="52" t="n"/>
    </row>
    <row r="65" ht="19.5" customHeight="1" s="58">
      <c r="A65" s="62">
        <f>IF(G65="","",IF(G65=G64,"",COUNTIF($G$3:$G$976,G65)))</f>
        <v/>
      </c>
      <c r="B65" s="20" t="n"/>
      <c r="C65" s="63">
        <f>IF(G65="","",DAY(G65))</f>
        <v/>
      </c>
      <c r="D65" s="63">
        <f>IF(G65="","",MONTH(G65))</f>
        <v/>
      </c>
      <c r="E65" s="63">
        <f>IF(G65="","",YEAR(G65))</f>
        <v/>
      </c>
      <c r="F65" s="33">
        <f>IF(G65="","",CHOOSE(MONTH(G65),"Janeiro","Fevereiro","Março","Abril","Maio","Junho","Julho","Agosto","Setembro","Outubro","Novembro","Dezembro"))</f>
        <v/>
      </c>
      <c r="G65" s="64" t="n">
        <v>46055</v>
      </c>
      <c r="H65" s="65" t="n">
        <v>0.005208333333333333</v>
      </c>
      <c r="I65" s="66" t="inlineStr">
        <is>
          <t>https://docs.google.com/spreadsheets/d/1ZiCGoPjLCjuYvujDTXK9Ixbth3tekiLtFBzBrGjPCr4/edit?gid=0#gid=0</t>
        </is>
      </c>
      <c r="J65" s="67" t="inlineStr">
        <is>
          <t>Transferência de LOB (Lost Items) - [TILI]</t>
        </is>
      </c>
      <c r="K65" s="67" t="inlineStr"/>
      <c r="L65" s="68" t="b">
        <v>0</v>
      </c>
      <c r="M65" s="20" t="n"/>
      <c r="N65" s="69">
        <f>IF($J65="","",IFERROR(INDEX(B!$F$2:$F$61,MATCH($J65,B!$E$2:$E$61,0))&amp;"",""))</f>
        <v/>
      </c>
      <c r="O65" s="69">
        <f>IF($J65="","",IFERROR(INDEX(B!$G$2:$G$61,MATCH($J65,B!$E$2:$E$61,0))&amp;"",""))</f>
        <v/>
      </c>
      <c r="P65" s="69">
        <f>IF($J65="","",IFERROR(INDEX(B!$H$2:$H$61,MATCH($J65,B!$E$2:$E$61,0))&amp;"",""))</f>
        <v/>
      </c>
      <c r="Q65" s="69">
        <f>IF($J65="","",IFERROR(INDEX(B!$I$2:$I$61,MATCH($J65,B!$E$2:$E$61,0))&amp;"",""))</f>
        <v/>
      </c>
      <c r="R65" s="69">
        <f>IF($J65="","",IFERROR(INDEX(B!$J$2:$J$61,MATCH($J65,B!$E$2:$E$61,0))&amp;"",""))</f>
        <v/>
      </c>
      <c r="S65" s="69">
        <f>IF($J65="","",IFERROR(INDEX(B!$K$2:$K$61,MATCH($J65,B!$E$2:$E$61,0))&amp;"",""))</f>
        <v/>
      </c>
      <c r="T65" s="69">
        <f>IF($J65="","",IFERROR(INDEX(B!$L$2:$L$61,MATCH($J65,B!$E$2:$E$61,0))&amp;"",""))</f>
        <v/>
      </c>
      <c r="U65" s="20" t="n"/>
      <c r="V65" s="70">
        <f>IF($J65="","",IFERROR(INDEX(B!$M$2:$M$61,MATCH($J65,B!$E$2:$E$61,0))&amp;"",""))</f>
        <v/>
      </c>
      <c r="W65" s="71">
        <f>IF(I65="","",IFERROR(MID(I65,FIND("/d/",I65)+3,FIND("/edit",I65)-FIND("/d/",I65)-3),I65))</f>
        <v/>
      </c>
      <c r="X65" s="71">
        <f>IF($J65="","",IFERROR(INDEX(B!$C$2:$C$61,MATCH($J65,B!$E$2:$E$61,0))&amp;"",""))</f>
        <v/>
      </c>
      <c r="Y65" s="20" t="n"/>
      <c r="Z65" s="72">
        <f>IF($J65="",FALSE,ISNUMBER(SEARCH("scout",$K65)))</f>
        <v/>
      </c>
      <c r="AA65" s="72">
        <f>IF($J65="",FALSE,IFERROR(INDEX(B!$N$2:$N$61,MATCH($J65,B!$E$2:$E$61,0))="Sim",FALSE))</f>
        <v/>
      </c>
      <c r="AB65" s="72">
        <f>IF($J65="",FALSE,LEFT($X65,2)="XX")</f>
        <v/>
      </c>
      <c r="AC65" s="72">
        <f>IF($J65="",FALSE,IFERROR(INDEX(B!$P$2:$P$61,MATCH($J65,B!$E$2:$E$61,0))="Sim",FALSE))</f>
        <v/>
      </c>
      <c r="AD65" s="20" t="n"/>
      <c r="AE65" s="52">
        <f>IF(H65="","",HOUR(H65))</f>
        <v/>
      </c>
      <c r="AF65" s="52" t="n"/>
    </row>
    <row r="66" ht="19.5" customHeight="1" s="58">
      <c r="A66" s="62">
        <f>IF(G66="","",IF(G66=G65,"",COUNTIF($G$3:$G$976,G66)))</f>
        <v/>
      </c>
      <c r="B66" s="20" t="n"/>
      <c r="C66" s="63">
        <f>IF(G66="","",DAY(G66))</f>
        <v/>
      </c>
      <c r="D66" s="63">
        <f>IF(G66="","",MONTH(G66))</f>
        <v/>
      </c>
      <c r="E66" s="63">
        <f>IF(G66="","",YEAR(G66))</f>
        <v/>
      </c>
      <c r="F66" s="33">
        <f>IF(G66="","",CHOOSE(MONTH(G66),"Janeiro","Fevereiro","Março","Abril","Maio","Junho","Julho","Agosto","Setembro","Outubro","Novembro","Dezembro"))</f>
        <v/>
      </c>
      <c r="G66" s="64" t="n">
        <v>46055</v>
      </c>
      <c r="H66" s="65" t="n">
        <v>0.008368055555555556</v>
      </c>
      <c r="I66" s="66" t="inlineStr">
        <is>
          <t>https://docs.google.com/spreadsheets/d/1ZiCGoPjLCjuYvujDTXK9Ixbth3tekiLtFBzBrGjPCr4/edit?gid=0#gid=0</t>
        </is>
      </c>
      <c r="J66" s="67" t="inlineStr">
        <is>
          <t>Transferência de LOB (Profissionalismo) - [TIPR]</t>
        </is>
      </c>
      <c r="K66" s="67" t="inlineStr"/>
      <c r="L66" s="68" t="b">
        <v>0</v>
      </c>
      <c r="M66" s="20" t="n"/>
      <c r="N66" s="69">
        <f>IF($J66="","",IFERROR(INDEX(B!$F$2:$F$61,MATCH($J66,B!$E$2:$E$61,0))&amp;"",""))</f>
        <v/>
      </c>
      <c r="O66" s="69">
        <f>IF($J66="","",IFERROR(INDEX(B!$G$2:$G$61,MATCH($J66,B!$E$2:$E$61,0))&amp;"",""))</f>
        <v/>
      </c>
      <c r="P66" s="69">
        <f>IF($J66="","",IFERROR(INDEX(B!$H$2:$H$61,MATCH($J66,B!$E$2:$E$61,0))&amp;"",""))</f>
        <v/>
      </c>
      <c r="Q66" s="69">
        <f>IF($J66="","",IFERROR(INDEX(B!$I$2:$I$61,MATCH($J66,B!$E$2:$E$61,0))&amp;"",""))</f>
        <v/>
      </c>
      <c r="R66" s="69">
        <f>IF($J66="","",IFERROR(INDEX(B!$J$2:$J$61,MATCH($J66,B!$E$2:$E$61,0))&amp;"",""))</f>
        <v/>
      </c>
      <c r="S66" s="69">
        <f>IF($J66="","",IFERROR(INDEX(B!$K$2:$K$61,MATCH($J66,B!$E$2:$E$61,0))&amp;"",""))</f>
        <v/>
      </c>
      <c r="T66" s="69">
        <f>IF($J66="","",IFERROR(INDEX(B!$L$2:$L$61,MATCH($J66,B!$E$2:$E$61,0))&amp;"",""))</f>
        <v/>
      </c>
      <c r="U66" s="20" t="n"/>
      <c r="V66" s="70">
        <f>IF($J66="","",IFERROR(INDEX(B!$M$2:$M$61,MATCH($J66,B!$E$2:$E$61,0))&amp;"",""))</f>
        <v/>
      </c>
      <c r="W66" s="71">
        <f>IF(I66="","",IFERROR(MID(I66,FIND("/d/",I66)+3,FIND("/edit",I66)-FIND("/d/",I66)-3),I66))</f>
        <v/>
      </c>
      <c r="X66" s="71">
        <f>IF($J66="","",IFERROR(INDEX(B!$C$2:$C$61,MATCH($J66,B!$E$2:$E$61,0))&amp;"",""))</f>
        <v/>
      </c>
      <c r="Y66" s="20" t="n"/>
      <c r="Z66" s="72">
        <f>IF($J66="",FALSE,ISNUMBER(SEARCH("scout",$K66)))</f>
        <v/>
      </c>
      <c r="AA66" s="72">
        <f>IF($J66="",FALSE,IFERROR(INDEX(B!$N$2:$N$61,MATCH($J66,B!$E$2:$E$61,0))="Sim",FALSE))</f>
        <v/>
      </c>
      <c r="AB66" s="72">
        <f>IF($J66="",FALSE,LEFT($X66,2)="XX")</f>
        <v/>
      </c>
      <c r="AC66" s="72">
        <f>IF($J66="",FALSE,IFERROR(INDEX(B!$P$2:$P$61,MATCH($J66,B!$E$2:$E$61,0))="Sim",FALSE))</f>
        <v/>
      </c>
      <c r="AD66" s="20" t="n"/>
      <c r="AE66" s="52">
        <f>IF(H66="","",HOUR(H66))</f>
        <v/>
      </c>
      <c r="AF66" s="52" t="n"/>
    </row>
    <row r="67" ht="19.5" customHeight="1" s="58">
      <c r="A67" s="62">
        <f>IF(G67="","",IF(G67=G66,"",COUNTIF($G$3:$G$976,G67)))</f>
        <v/>
      </c>
      <c r="B67" s="20" t="n"/>
      <c r="C67" s="63">
        <f>IF(G67="","",DAY(G67))</f>
        <v/>
      </c>
      <c r="D67" s="63">
        <f>IF(G67="","",MONTH(G67))</f>
        <v/>
      </c>
      <c r="E67" s="63">
        <f>IF(G67="","",YEAR(G67))</f>
        <v/>
      </c>
      <c r="F67" s="33">
        <f>IF(G67="","",CHOOSE(MONTH(G67),"Janeiro","Fevereiro","Março","Abril","Maio","Junho","Julho","Agosto","Setembro","Outubro","Novembro","Dezembro"))</f>
        <v/>
      </c>
      <c r="G67" s="64" t="n">
        <v>46055</v>
      </c>
      <c r="H67" s="65" t="n">
        <v>0.01247685185185185</v>
      </c>
      <c r="I67" s="66" t="inlineStr">
        <is>
          <t>https://docs.google.com/spreadsheets/d/1ZiCGoPjLCjuYvujDTXK9Ixbth3tekiLtFBzBrGjPCr4/edit?gid=0#gid=0</t>
        </is>
      </c>
      <c r="J67" s="67" t="inlineStr">
        <is>
          <t>Transferência de LOB (Driver) - [TIDV]</t>
        </is>
      </c>
      <c r="K67" s="67" t="inlineStr">
        <is>
          <t>Scout</t>
        </is>
      </c>
      <c r="L67" s="68" t="b">
        <v>0</v>
      </c>
      <c r="M67" s="20" t="n"/>
      <c r="N67" s="69">
        <f>IF($J67="","",IFERROR(INDEX(B!$F$2:$F$61,MATCH($J67,B!$E$2:$E$61,0))&amp;"",""))</f>
        <v/>
      </c>
      <c r="O67" s="69">
        <f>IF($J67="","",IFERROR(INDEX(B!$G$2:$G$61,MATCH($J67,B!$E$2:$E$61,0))&amp;"",""))</f>
        <v/>
      </c>
      <c r="P67" s="69">
        <f>IF($J67="","",IFERROR(INDEX(B!$H$2:$H$61,MATCH($J67,B!$E$2:$E$61,0))&amp;"",""))</f>
        <v/>
      </c>
      <c r="Q67" s="69">
        <f>IF($J67="","",IFERROR(INDEX(B!$I$2:$I$61,MATCH($J67,B!$E$2:$E$61,0))&amp;"",""))</f>
        <v/>
      </c>
      <c r="R67" s="69">
        <f>IF($J67="","",IFERROR(INDEX(B!$J$2:$J$61,MATCH($J67,B!$E$2:$E$61,0))&amp;"",""))</f>
        <v/>
      </c>
      <c r="S67" s="69">
        <f>IF($J67="","",IFERROR(INDEX(B!$K$2:$K$61,MATCH($J67,B!$E$2:$E$61,0))&amp;"",""))</f>
        <v/>
      </c>
      <c r="T67" s="69">
        <f>IF($J67="","",IFERROR(INDEX(B!$L$2:$L$61,MATCH($J67,B!$E$2:$E$61,0))&amp;"",""))</f>
        <v/>
      </c>
      <c r="U67" s="20" t="n"/>
      <c r="V67" s="70">
        <f>IF($J67="","",IFERROR(INDEX(B!$M$2:$M$61,MATCH($J67,B!$E$2:$E$61,0))&amp;"",""))</f>
        <v/>
      </c>
      <c r="W67" s="71">
        <f>IF(I67="","",IFERROR(MID(I67,FIND("/d/",I67)+3,FIND("/edit",I67)-FIND("/d/",I67)-3),I67))</f>
        <v/>
      </c>
      <c r="X67" s="71">
        <f>IF($J67="","",IFERROR(INDEX(B!$C$2:$C$61,MATCH($J67,B!$E$2:$E$61,0))&amp;"",""))</f>
        <v/>
      </c>
      <c r="Y67" s="20" t="n"/>
      <c r="Z67" s="72">
        <f>IF($J67="",FALSE,ISNUMBER(SEARCH("scout",$K67)))</f>
        <v/>
      </c>
      <c r="AA67" s="72">
        <f>IF($J67="",FALSE,IFERROR(INDEX(B!$N$2:$N$61,MATCH($J67,B!$E$2:$E$61,0))="Sim",FALSE))</f>
        <v/>
      </c>
      <c r="AB67" s="72">
        <f>IF($J67="",FALSE,LEFT($X67,2)="XX")</f>
        <v/>
      </c>
      <c r="AC67" s="72">
        <f>IF($J67="",FALSE,IFERROR(INDEX(B!$P$2:$P$61,MATCH($J67,B!$E$2:$E$61,0))="Sim",FALSE))</f>
        <v/>
      </c>
      <c r="AD67" s="20" t="n"/>
      <c r="AE67" s="52">
        <f>IF(H67="","",HOUR(H67))</f>
        <v/>
      </c>
      <c r="AF67" s="52" t="n"/>
    </row>
    <row r="68" ht="19.5" customHeight="1" s="58">
      <c r="A68" s="62">
        <f>IF(G68="","",IF(G68=G67,"",COUNTIF($G$3:$G$976,G68)))</f>
        <v/>
      </c>
      <c r="B68" s="20" t="n"/>
      <c r="C68" s="63">
        <f>IF(G68="","",DAY(G68))</f>
        <v/>
      </c>
      <c r="D68" s="63">
        <f>IF(G68="","",MONTH(G68))</f>
        <v/>
      </c>
      <c r="E68" s="63">
        <f>IF(G68="","",YEAR(G68))</f>
        <v/>
      </c>
      <c r="F68" s="33">
        <f>IF(G68="","",CHOOSE(MONTH(G68),"Janeiro","Fevereiro","Março","Abril","Maio","Junho","Julho","Agosto","Setembro","Outubro","Novembro","Dezembro"))</f>
        <v/>
      </c>
      <c r="G68" s="64" t="n">
        <v>46055</v>
      </c>
      <c r="H68" s="65" t="n">
        <v>0.01982638888888889</v>
      </c>
      <c r="I68" s="66" t="inlineStr">
        <is>
          <t>https://docs.google.com/spreadsheets/d/1ZiCGoPjLCjuYvujDTXK9Ixbth3tekiLtFBzBrGjPCr4/edit?gid=0#gid=0</t>
        </is>
      </c>
      <c r="J68" s="67" t="inlineStr">
        <is>
          <t>Overpaid, Não excede o limite, Sem comprovante - [OPNN]</t>
        </is>
      </c>
      <c r="K68" s="67" t="inlineStr"/>
      <c r="L68" s="68" t="b">
        <v>0</v>
      </c>
      <c r="M68" s="20" t="n"/>
      <c r="N68" s="69">
        <f>IF($J68="","",IFERROR(INDEX(B!$F$2:$F$61,MATCH($J68,B!$E$2:$E$61,0))&amp;"",""))</f>
        <v/>
      </c>
      <c r="O68" s="69">
        <f>IF($J68="","",IFERROR(INDEX(B!$G$2:$G$61,MATCH($J68,B!$E$2:$E$61,0))&amp;"",""))</f>
        <v/>
      </c>
      <c r="P68" s="69">
        <f>IF($J68="","",IFERROR(INDEX(B!$H$2:$H$61,MATCH($J68,B!$E$2:$E$61,0))&amp;"",""))</f>
        <v/>
      </c>
      <c r="Q68" s="69">
        <f>IF($J68="","",IFERROR(INDEX(B!$I$2:$I$61,MATCH($J68,B!$E$2:$E$61,0))&amp;"",""))</f>
        <v/>
      </c>
      <c r="R68" s="69">
        <f>IF($J68="","",IFERROR(INDEX(B!$J$2:$J$61,MATCH($J68,B!$E$2:$E$61,0))&amp;"",""))</f>
        <v/>
      </c>
      <c r="S68" s="69">
        <f>IF($J68="","",IFERROR(INDEX(B!$K$2:$K$61,MATCH($J68,B!$E$2:$E$61,0))&amp;"",""))</f>
        <v/>
      </c>
      <c r="T68" s="69">
        <f>IF($J68="","",IFERROR(INDEX(B!$L$2:$L$61,MATCH($J68,B!$E$2:$E$61,0))&amp;"",""))</f>
        <v/>
      </c>
      <c r="U68" s="20" t="n"/>
      <c r="V68" s="70">
        <f>IF($J68="","",IFERROR(INDEX(B!$M$2:$M$61,MATCH($J68,B!$E$2:$E$61,0))&amp;"",""))</f>
        <v/>
      </c>
      <c r="W68" s="71">
        <f>IF(I68="","",IFERROR(MID(I68,FIND("/d/",I68)+3,FIND("/edit",I68)-FIND("/d/",I68)-3),I68))</f>
        <v/>
      </c>
      <c r="X68" s="71">
        <f>IF($J68="","",IFERROR(INDEX(B!$C$2:$C$61,MATCH($J68,B!$E$2:$E$61,0))&amp;"",""))</f>
        <v/>
      </c>
      <c r="Y68" s="20" t="n"/>
      <c r="Z68" s="72">
        <f>IF($J68="",FALSE,ISNUMBER(SEARCH("scout",$K68)))</f>
        <v/>
      </c>
      <c r="AA68" s="72">
        <f>IF($J68="",FALSE,IFERROR(INDEX(B!$N$2:$N$61,MATCH($J68,B!$E$2:$E$61,0))="Sim",FALSE))</f>
        <v/>
      </c>
      <c r="AB68" s="72">
        <f>IF($J68="",FALSE,LEFT($X68,2)="XX")</f>
        <v/>
      </c>
      <c r="AC68" s="72">
        <f>IF($J68="",FALSE,IFERROR(INDEX(B!$P$2:$P$61,MATCH($J68,B!$E$2:$E$61,0))="Sim",FALSE))</f>
        <v/>
      </c>
      <c r="AD68" s="20" t="n"/>
      <c r="AE68" s="52">
        <f>IF(H68="","",HOUR(H68))</f>
        <v/>
      </c>
      <c r="AF68" s="52" t="n"/>
    </row>
    <row r="69" ht="19.5" customHeight="1" s="58">
      <c r="A69" s="62">
        <f>IF(G69="","",IF(G69=G68,"",COUNTIF($G$3:$G$976,G69)))</f>
        <v/>
      </c>
      <c r="B69" s="20" t="n"/>
      <c r="C69" s="63">
        <f>IF(G69="","",DAY(G69))</f>
        <v/>
      </c>
      <c r="D69" s="63">
        <f>IF(G69="","",MONTH(G69))</f>
        <v/>
      </c>
      <c r="E69" s="63">
        <f>IF(G69="","",YEAR(G69))</f>
        <v/>
      </c>
      <c r="F69" s="33">
        <f>IF(G69="","",CHOOSE(MONTH(G69),"Janeiro","Fevereiro","Março","Abril","Maio","Junho","Julho","Agosto","Setembro","Outubro","Novembro","Dezembro"))</f>
        <v/>
      </c>
      <c r="G69" s="64" t="n">
        <v>46055</v>
      </c>
      <c r="H69" s="65" t="n">
        <v>0.02798611111111111</v>
      </c>
      <c r="I69" s="66" t="inlineStr">
        <is>
          <t>https://docs.google.com/spreadsheets/d/1ZiCGoPjLCjuYvujDTXK9Ixbth3tekiLtFBzBrGjPCr4/edit?gid=0#gid=0</t>
        </is>
      </c>
      <c r="J69" s="67" t="inlineStr">
        <is>
          <t>Taxa de Cancelamento - [TXC]</t>
        </is>
      </c>
      <c r="K69" s="67" t="inlineStr"/>
      <c r="L69" s="68" t="b">
        <v>0</v>
      </c>
      <c r="M69" s="20" t="n"/>
      <c r="N69" s="69">
        <f>IF($J69="","",IFERROR(INDEX(B!$F$2:$F$61,MATCH($J69,B!$E$2:$E$61,0))&amp;"",""))</f>
        <v/>
      </c>
      <c r="O69" s="69">
        <f>IF($J69="","",IFERROR(INDEX(B!$G$2:$G$61,MATCH($J69,B!$E$2:$E$61,0))&amp;"",""))</f>
        <v/>
      </c>
      <c r="P69" s="69">
        <f>IF($J69="","",IFERROR(INDEX(B!$H$2:$H$61,MATCH($J69,B!$E$2:$E$61,0))&amp;"",""))</f>
        <v/>
      </c>
      <c r="Q69" s="69">
        <f>IF($J69="","",IFERROR(INDEX(B!$I$2:$I$61,MATCH($J69,B!$E$2:$E$61,0))&amp;"",""))</f>
        <v/>
      </c>
      <c r="R69" s="69">
        <f>IF($J69="","",IFERROR(INDEX(B!$J$2:$J$61,MATCH($J69,B!$E$2:$E$61,0))&amp;"",""))</f>
        <v/>
      </c>
      <c r="S69" s="69">
        <f>IF($J69="","",IFERROR(INDEX(B!$K$2:$K$61,MATCH($J69,B!$E$2:$E$61,0))&amp;"",""))</f>
        <v/>
      </c>
      <c r="T69" s="69">
        <f>IF($J69="","",IFERROR(INDEX(B!$L$2:$L$61,MATCH($J69,B!$E$2:$E$61,0))&amp;"",""))</f>
        <v/>
      </c>
      <c r="U69" s="20" t="n"/>
      <c r="V69" s="70">
        <f>IF($J69="","",IFERROR(INDEX(B!$M$2:$M$61,MATCH($J69,B!$E$2:$E$61,0))&amp;"",""))</f>
        <v/>
      </c>
      <c r="W69" s="71">
        <f>IF(I69="","",IFERROR(MID(I69,FIND("/d/",I69)+3,FIND("/edit",I69)-FIND("/d/",I69)-3),I69))</f>
        <v/>
      </c>
      <c r="X69" s="71">
        <f>IF($J69="","",IFERROR(INDEX(B!$C$2:$C$61,MATCH($J69,B!$E$2:$E$61,0))&amp;"",""))</f>
        <v/>
      </c>
      <c r="Y69" s="20" t="n"/>
      <c r="Z69" s="72">
        <f>IF($J69="",FALSE,ISNUMBER(SEARCH("scout",$K69)))</f>
        <v/>
      </c>
      <c r="AA69" s="72">
        <f>IF($J69="",FALSE,IFERROR(INDEX(B!$N$2:$N$61,MATCH($J69,B!$E$2:$E$61,0))="Sim",FALSE))</f>
        <v/>
      </c>
      <c r="AB69" s="72">
        <f>IF($J69="",FALSE,LEFT($X69,2)="XX")</f>
        <v/>
      </c>
      <c r="AC69" s="72">
        <f>IF($J69="",FALSE,IFERROR(INDEX(B!$P$2:$P$61,MATCH($J69,B!$E$2:$E$61,0))="Sim",FALSE))</f>
        <v/>
      </c>
      <c r="AD69" s="20" t="n"/>
      <c r="AE69" s="52">
        <f>IF(H69="","",HOUR(H69))</f>
        <v/>
      </c>
      <c r="AF69" s="52" t="n"/>
    </row>
    <row r="70" ht="19.5" customHeight="1" s="58">
      <c r="A70" s="62">
        <f>IF(G70="","",IF(G70=G69,"",COUNTIF($G$3:$G$976,G70)))</f>
        <v/>
      </c>
      <c r="B70" s="20" t="n"/>
      <c r="C70" s="63">
        <f>IF(G70="","",DAY(G70))</f>
        <v/>
      </c>
      <c r="D70" s="63">
        <f>IF(G70="","",MONTH(G70))</f>
        <v/>
      </c>
      <c r="E70" s="63">
        <f>IF(G70="","",YEAR(G70))</f>
        <v/>
      </c>
      <c r="F70" s="33">
        <f>IF(G70="","",CHOOSE(MONTH(G70),"Janeiro","Fevereiro","Março","Abril","Maio","Junho","Julho","Agosto","Setembro","Outubro","Novembro","Dezembro"))</f>
        <v/>
      </c>
      <c r="G70" s="64" t="n">
        <v>46055</v>
      </c>
      <c r="H70" s="65" t="n">
        <v>0.03133101851851852</v>
      </c>
      <c r="I70" s="66" t="inlineStr">
        <is>
          <t>https://docs.google.com/spreadsheets/d/1ZiCGoPjLCjuYvujDTXK9Ixbth3tekiLtFBzBrGjPCr4/edit?gid=0#gid=0</t>
        </is>
      </c>
      <c r="J70" s="67" t="inlineStr">
        <is>
          <t>Evento Raro - [ER]</t>
        </is>
      </c>
      <c r="K70" s="67" t="inlineStr"/>
      <c r="L70" s="68" t="b">
        <v>0</v>
      </c>
      <c r="M70" s="20" t="n"/>
      <c r="N70" s="69">
        <f>IF($J70="","",IFERROR(INDEX(B!$F$2:$F$61,MATCH($J70,B!$E$2:$E$61,0))&amp;"",""))</f>
        <v/>
      </c>
      <c r="O70" s="69">
        <f>IF($J70="","",IFERROR(INDEX(B!$G$2:$G$61,MATCH($J70,B!$E$2:$E$61,0))&amp;"",""))</f>
        <v/>
      </c>
      <c r="P70" s="69">
        <f>IF($J70="","",IFERROR(INDEX(B!$H$2:$H$61,MATCH($J70,B!$E$2:$E$61,0))&amp;"",""))</f>
        <v/>
      </c>
      <c r="Q70" s="69">
        <f>IF($J70="","",IFERROR(INDEX(B!$I$2:$I$61,MATCH($J70,B!$E$2:$E$61,0))&amp;"",""))</f>
        <v/>
      </c>
      <c r="R70" s="69">
        <f>IF($J70="","",IFERROR(INDEX(B!$J$2:$J$61,MATCH($J70,B!$E$2:$E$61,0))&amp;"",""))</f>
        <v/>
      </c>
      <c r="S70" s="69">
        <f>IF($J70="","",IFERROR(INDEX(B!$K$2:$K$61,MATCH($J70,B!$E$2:$E$61,0))&amp;"",""))</f>
        <v/>
      </c>
      <c r="T70" s="69">
        <f>IF($J70="","",IFERROR(INDEX(B!$L$2:$L$61,MATCH($J70,B!$E$2:$E$61,0))&amp;"",""))</f>
        <v/>
      </c>
      <c r="U70" s="20" t="n"/>
      <c r="V70" s="70">
        <f>IF($J70="","",IFERROR(INDEX(B!$M$2:$M$61,MATCH($J70,B!$E$2:$E$61,0))&amp;"",""))</f>
        <v/>
      </c>
      <c r="W70" s="71">
        <f>IF(I70="","",IFERROR(MID(I70,FIND("/d/",I70)+3,FIND("/edit",I70)-FIND("/d/",I70)-3),I70))</f>
        <v/>
      </c>
      <c r="X70" s="71">
        <f>IF($J70="","",IFERROR(INDEX(B!$C$2:$C$61,MATCH($J70,B!$E$2:$E$61,0))&amp;"",""))</f>
        <v/>
      </c>
      <c r="Y70" s="20" t="n"/>
      <c r="Z70" s="72">
        <f>IF($J70="",FALSE,ISNUMBER(SEARCH("scout",$K70)))</f>
        <v/>
      </c>
      <c r="AA70" s="72">
        <f>IF($J70="",FALSE,IFERROR(INDEX(B!$N$2:$N$61,MATCH($J70,B!$E$2:$E$61,0))="Sim",FALSE))</f>
        <v/>
      </c>
      <c r="AB70" s="72">
        <f>IF($J70="",FALSE,LEFT($X70,2)="XX")</f>
        <v/>
      </c>
      <c r="AC70" s="72">
        <f>IF($J70="",FALSE,IFERROR(INDEX(B!$P$2:$P$61,MATCH($J70,B!$E$2:$E$61,0))="Sim",FALSE))</f>
        <v/>
      </c>
      <c r="AD70" s="20" t="n"/>
      <c r="AE70" s="52">
        <f>IF(H70="","",HOUR(H70))</f>
        <v/>
      </c>
      <c r="AF70" s="52" t="n"/>
    </row>
    <row r="71" ht="19.5" customHeight="1" s="58">
      <c r="A71" s="62">
        <f>IF(G71="","",IF(G71=G70,"",COUNTIF($G$3:$G$976,G71)))</f>
        <v/>
      </c>
      <c r="B71" s="20" t="n"/>
      <c r="C71" s="63">
        <f>IF(G71="","",DAY(G71))</f>
        <v/>
      </c>
      <c r="D71" s="63">
        <f>IF(G71="","",MONTH(G71))</f>
        <v/>
      </c>
      <c r="E71" s="63">
        <f>IF(G71="","",YEAR(G71))</f>
        <v/>
      </c>
      <c r="F71" s="33">
        <f>IF(G71="","",CHOOSE(MONTH(G71),"Janeiro","Fevereiro","Março","Abril","Maio","Junho","Julho","Agosto","Setembro","Outubro","Novembro","Dezembro"))</f>
        <v/>
      </c>
      <c r="G71" s="64" t="n">
        <v>46055</v>
      </c>
      <c r="H71" s="65" t="n">
        <v>0.0388425925925926</v>
      </c>
      <c r="I71" s="66" t="inlineStr">
        <is>
          <t>https://docs.google.com/spreadsheets/d/1ZiCGoPjLCjuYvujDTXK9Ixbth3tekiLtFBzBrGjPCr4/edit?gid=0#gid=0</t>
        </is>
      </c>
      <c r="J71" s="67" t="inlineStr">
        <is>
          <t>Comprovante de Pagamento - [CP]</t>
        </is>
      </c>
      <c r="K71" s="67" t="inlineStr"/>
      <c r="L71" s="68" t="b">
        <v>1</v>
      </c>
      <c r="M71" s="20" t="n"/>
      <c r="N71" s="69">
        <f>IF($J71="","",IFERROR(INDEX(B!$F$2:$F$61,MATCH($J71,B!$E$2:$E$61,0))&amp;"",""))</f>
        <v/>
      </c>
      <c r="O71" s="69">
        <f>IF($J71="","",IFERROR(INDEX(B!$G$2:$G$61,MATCH($J71,B!$E$2:$E$61,0))&amp;"",""))</f>
        <v/>
      </c>
      <c r="P71" s="69">
        <f>IF($J71="","",IFERROR(INDEX(B!$H$2:$H$61,MATCH($J71,B!$E$2:$E$61,0))&amp;"",""))</f>
        <v/>
      </c>
      <c r="Q71" s="69">
        <f>IF($J71="","",IFERROR(INDEX(B!$I$2:$I$61,MATCH($J71,B!$E$2:$E$61,0))&amp;"",""))</f>
        <v/>
      </c>
      <c r="R71" s="69">
        <f>IF($J71="","",IFERROR(INDEX(B!$J$2:$J$61,MATCH($J71,B!$E$2:$E$61,0))&amp;"",""))</f>
        <v/>
      </c>
      <c r="S71" s="69">
        <f>IF($J71="","",IFERROR(INDEX(B!$K$2:$K$61,MATCH($J71,B!$E$2:$E$61,0))&amp;"",""))</f>
        <v/>
      </c>
      <c r="T71" s="69">
        <f>IF($J71="","",IFERROR(INDEX(B!$L$2:$L$61,MATCH($J71,B!$E$2:$E$61,0))&amp;"",""))</f>
        <v/>
      </c>
      <c r="U71" s="20" t="n"/>
      <c r="V71" s="70">
        <f>IF($J71="","",IFERROR(INDEX(B!$M$2:$M$61,MATCH($J71,B!$E$2:$E$61,0))&amp;"",""))</f>
        <v/>
      </c>
      <c r="W71" s="71">
        <f>IF(I71="","",IFERROR(MID(I71,FIND("/d/",I71)+3,FIND("/edit",I71)-FIND("/d/",I71)-3),I71))</f>
        <v/>
      </c>
      <c r="X71" s="71">
        <f>IF($J71="","",IFERROR(INDEX(B!$C$2:$C$61,MATCH($J71,B!$E$2:$E$61,0))&amp;"",""))</f>
        <v/>
      </c>
      <c r="Y71" s="20" t="n"/>
      <c r="Z71" s="72">
        <f>IF($J71="",FALSE,ISNUMBER(SEARCH("scout",$K71)))</f>
        <v/>
      </c>
      <c r="AA71" s="72">
        <f>IF($J71="",FALSE,IFERROR(INDEX(B!$N$2:$N$61,MATCH($J71,B!$E$2:$E$61,0))="Sim",FALSE))</f>
        <v/>
      </c>
      <c r="AB71" s="72">
        <f>IF($J71="",FALSE,LEFT($X71,2)="XX")</f>
        <v/>
      </c>
      <c r="AC71" s="72">
        <f>IF($J71="",FALSE,IFERROR(INDEX(B!$P$2:$P$61,MATCH($J71,B!$E$2:$E$61,0))="Sim",FALSE))</f>
        <v/>
      </c>
      <c r="AD71" s="20" t="n"/>
      <c r="AE71" s="52">
        <f>IF(H71="","",HOUR(H71))</f>
        <v/>
      </c>
      <c r="AF71" s="52" t="n"/>
    </row>
    <row r="72" ht="19.5" customHeight="1" s="58">
      <c r="A72" s="62">
        <f>IF(G72="","",IF(G72=G71,"",COUNTIF($G$3:$G$976,G72)))</f>
        <v/>
      </c>
      <c r="B72" s="20" t="n"/>
      <c r="C72" s="63">
        <f>IF(G72="","",DAY(G72))</f>
        <v/>
      </c>
      <c r="D72" s="63">
        <f>IF(G72="","",MONTH(G72))</f>
        <v/>
      </c>
      <c r="E72" s="63">
        <f>IF(G72="","",YEAR(G72))</f>
        <v/>
      </c>
      <c r="F72" s="33">
        <f>IF(G72="","",CHOOSE(MONTH(G72),"Janeiro","Fevereiro","Março","Abril","Maio","Junho","Julho","Agosto","Setembro","Outubro","Novembro","Dezembro"))</f>
        <v/>
      </c>
      <c r="G72" s="64" t="n">
        <v>46055</v>
      </c>
      <c r="H72" s="65" t="n">
        <v>0.05289351851851852</v>
      </c>
      <c r="I72" s="66" t="inlineStr">
        <is>
          <t>https://docs.google.com/spreadsheets/d/1ZiCGoPjLCjuYvujDTXK9Ixbth3tekiLtFBzBrGjPCr4/edit?gid=0#gid=0</t>
        </is>
      </c>
      <c r="J72" s="67" t="inlineStr">
        <is>
          <t>No Need Response (Não precisa de resposta) - [NRN]</t>
        </is>
      </c>
      <c r="K72" s="67" t="inlineStr"/>
      <c r="L72" s="68" t="b">
        <v>0</v>
      </c>
      <c r="M72" s="20" t="n"/>
      <c r="N72" s="69">
        <f>IF($J72="","",IFERROR(INDEX(B!$F$2:$F$61,MATCH($J72,B!$E$2:$E$61,0))&amp;"",""))</f>
        <v/>
      </c>
      <c r="O72" s="69">
        <f>IF($J72="","",IFERROR(INDEX(B!$G$2:$G$61,MATCH($J72,B!$E$2:$E$61,0))&amp;"",""))</f>
        <v/>
      </c>
      <c r="P72" s="69">
        <f>IF($J72="","",IFERROR(INDEX(B!$H$2:$H$61,MATCH($J72,B!$E$2:$E$61,0))&amp;"",""))</f>
        <v/>
      </c>
      <c r="Q72" s="69">
        <f>IF($J72="","",IFERROR(INDEX(B!$I$2:$I$61,MATCH($J72,B!$E$2:$E$61,0))&amp;"",""))</f>
        <v/>
      </c>
      <c r="R72" s="69">
        <f>IF($J72="","",IFERROR(INDEX(B!$J$2:$J$61,MATCH($J72,B!$E$2:$E$61,0))&amp;"",""))</f>
        <v/>
      </c>
      <c r="S72" s="69">
        <f>IF($J72="","",IFERROR(INDEX(B!$K$2:$K$61,MATCH($J72,B!$E$2:$E$61,0))&amp;"",""))</f>
        <v/>
      </c>
      <c r="T72" s="69">
        <f>IF($J72="","",IFERROR(INDEX(B!$L$2:$L$61,MATCH($J72,B!$E$2:$E$61,0))&amp;"",""))</f>
        <v/>
      </c>
      <c r="U72" s="20" t="n"/>
      <c r="V72" s="70">
        <f>IF($J72="","",IFERROR(INDEX(B!$M$2:$M$61,MATCH($J72,B!$E$2:$E$61,0))&amp;"",""))</f>
        <v/>
      </c>
      <c r="W72" s="71">
        <f>IF(I72="","",IFERROR(MID(I72,FIND("/d/",I72)+3,FIND("/edit",I72)-FIND("/d/",I72)-3),I72))</f>
        <v/>
      </c>
      <c r="X72" s="71">
        <f>IF($J72="","",IFERROR(INDEX(B!$C$2:$C$61,MATCH($J72,B!$E$2:$E$61,0))&amp;"",""))</f>
        <v/>
      </c>
      <c r="Y72" s="20" t="n"/>
      <c r="Z72" s="72">
        <f>IF($J72="",FALSE,ISNUMBER(SEARCH("scout",$K72)))</f>
        <v/>
      </c>
      <c r="AA72" s="72">
        <f>IF($J72="",FALSE,IFERROR(INDEX(B!$N$2:$N$61,MATCH($J72,B!$E$2:$E$61,0))="Sim",FALSE))</f>
        <v/>
      </c>
      <c r="AB72" s="72">
        <f>IF($J72="",FALSE,LEFT($X72,2)="XX")</f>
        <v/>
      </c>
      <c r="AC72" s="72">
        <f>IF($J72="",FALSE,IFERROR(INDEX(B!$P$2:$P$61,MATCH($J72,B!$E$2:$E$61,0))="Sim",FALSE))</f>
        <v/>
      </c>
      <c r="AD72" s="20" t="n"/>
      <c r="AE72" s="52">
        <f>IF(H72="","",HOUR(H72))</f>
        <v/>
      </c>
      <c r="AF72" s="52" t="n"/>
    </row>
    <row r="73" ht="19.5" customHeight="1" s="58">
      <c r="A73" s="62">
        <f>IF(G73="","",IF(G73=G72,"",COUNTIF($G$3:$G$976,G73)))</f>
        <v/>
      </c>
      <c r="B73" s="20" t="n"/>
      <c r="C73" s="63">
        <f>IF(G73="","",DAY(G73))</f>
        <v/>
      </c>
      <c r="D73" s="63">
        <f>IF(G73="","",MONTH(G73))</f>
        <v/>
      </c>
      <c r="E73" s="63">
        <f>IF(G73="","",YEAR(G73))</f>
        <v/>
      </c>
      <c r="F73" s="33">
        <f>IF(G73="","",CHOOSE(MONTH(G73),"Janeiro","Fevereiro","Março","Abril","Maio","Junho","Julho","Agosto","Setembro","Outubro","Novembro","Dezembro"))</f>
        <v/>
      </c>
      <c r="G73" s="64" t="n">
        <v>46055</v>
      </c>
      <c r="H73" s="65" t="n">
        <v>0.05597222222222222</v>
      </c>
      <c r="I73" s="66" t="inlineStr">
        <is>
          <t>https://docs.google.com/spreadsheets/d/1ZiCGoPjLCjuYvujDTXK9Ixbth3tekiLtFBzBrGjPCr4/edit?gid=0#gid=0</t>
        </is>
      </c>
      <c r="J73" s="67" t="inlineStr">
        <is>
          <t>Trajeto Ruim - [TR]</t>
        </is>
      </c>
      <c r="K73" s="67" t="inlineStr">
        <is>
          <t>Scout</t>
        </is>
      </c>
      <c r="L73" s="68" t="b">
        <v>0</v>
      </c>
      <c r="M73" s="20" t="n"/>
      <c r="N73" s="69">
        <f>IF($J73="","",IFERROR(INDEX(B!$F$2:$F$61,MATCH($J73,B!$E$2:$E$61,0))&amp;"",""))</f>
        <v/>
      </c>
      <c r="O73" s="69">
        <f>IF($J73="","",IFERROR(INDEX(B!$G$2:$G$61,MATCH($J73,B!$E$2:$E$61,0))&amp;"",""))</f>
        <v/>
      </c>
      <c r="P73" s="69">
        <f>IF($J73="","",IFERROR(INDEX(B!$H$2:$H$61,MATCH($J73,B!$E$2:$E$61,0))&amp;"",""))</f>
        <v/>
      </c>
      <c r="Q73" s="69">
        <f>IF($J73="","",IFERROR(INDEX(B!$I$2:$I$61,MATCH($J73,B!$E$2:$E$61,0))&amp;"",""))</f>
        <v/>
      </c>
      <c r="R73" s="69">
        <f>IF($J73="","",IFERROR(INDEX(B!$J$2:$J$61,MATCH($J73,B!$E$2:$E$61,0))&amp;"",""))</f>
        <v/>
      </c>
      <c r="S73" s="69">
        <f>IF($J73="","",IFERROR(INDEX(B!$K$2:$K$61,MATCH($J73,B!$E$2:$E$61,0))&amp;"",""))</f>
        <v/>
      </c>
      <c r="T73" s="69">
        <f>IF($J73="","",IFERROR(INDEX(B!$L$2:$L$61,MATCH($J73,B!$E$2:$E$61,0))&amp;"",""))</f>
        <v/>
      </c>
      <c r="U73" s="20" t="n"/>
      <c r="V73" s="70">
        <f>IF($J73="","",IFERROR(INDEX(B!$M$2:$M$61,MATCH($J73,B!$E$2:$E$61,0))&amp;"",""))</f>
        <v/>
      </c>
      <c r="W73" s="71">
        <f>IF(I73="","",IFERROR(MID(I73,FIND("/d/",I73)+3,FIND("/edit",I73)-FIND("/d/",I73)-3),I73))</f>
        <v/>
      </c>
      <c r="X73" s="71">
        <f>IF($J73="","",IFERROR(INDEX(B!$C$2:$C$61,MATCH($J73,B!$E$2:$E$61,0))&amp;"",""))</f>
        <v/>
      </c>
      <c r="Y73" s="20" t="n"/>
      <c r="Z73" s="72">
        <f>IF($J73="",FALSE,ISNUMBER(SEARCH("scout",$K73)))</f>
        <v/>
      </c>
      <c r="AA73" s="72">
        <f>IF($J73="",FALSE,IFERROR(INDEX(B!$N$2:$N$61,MATCH($J73,B!$E$2:$E$61,0))="Sim",FALSE))</f>
        <v/>
      </c>
      <c r="AB73" s="72">
        <f>IF($J73="",FALSE,LEFT($X73,2)="XX")</f>
        <v/>
      </c>
      <c r="AC73" s="72">
        <f>IF($J73="",FALSE,IFERROR(INDEX(B!$P$2:$P$61,MATCH($J73,B!$E$2:$E$61,0))="Sim",FALSE))</f>
        <v/>
      </c>
      <c r="AD73" s="20" t="n"/>
      <c r="AE73" s="52">
        <f>IF(H73="","",HOUR(H73))</f>
        <v/>
      </c>
      <c r="AF73" s="52" t="n"/>
    </row>
    <row r="74" ht="19.5" customHeight="1" s="58">
      <c r="A74" s="62">
        <f>IF(G74="","",IF(G74=G73,"",COUNTIF($G$3:$G$976,G74)))</f>
        <v/>
      </c>
      <c r="B74" s="20" t="n"/>
      <c r="C74" s="63">
        <f>IF(G74="","",DAY(G74))</f>
        <v/>
      </c>
      <c r="D74" s="63">
        <f>IF(G74="","",MONTH(G74))</f>
        <v/>
      </c>
      <c r="E74" s="63">
        <f>IF(G74="","",YEAR(G74))</f>
        <v/>
      </c>
      <c r="F74" s="33">
        <f>IF(G74="","",CHOOSE(MONTH(G74),"Janeiro","Fevereiro","Março","Abril","Maio","Junho","Julho","Agosto","Setembro","Outubro","Novembro","Dezembro"))</f>
        <v/>
      </c>
      <c r="G74" s="64" t="n">
        <v>46055</v>
      </c>
      <c r="H74" s="65" t="n">
        <v>0.09395833333333334</v>
      </c>
      <c r="I74" s="66" t="inlineStr">
        <is>
          <t>https://docs.google.com/spreadsheets/d/1ZiCGoPjLCjuYvujDTXK9Ixbth3tekiLtFBzBrGjPCr4/edit?gid=0#gid=0</t>
        </is>
      </c>
      <c r="J74" s="67" t="inlineStr">
        <is>
          <t>Transferência de LOB (Driver) - [TIDV]</t>
        </is>
      </c>
      <c r="K74" s="67" t="inlineStr"/>
      <c r="L74" s="68" t="b">
        <v>0</v>
      </c>
      <c r="M74" s="20" t="n"/>
      <c r="N74" s="69">
        <f>IF($J74="","",IFERROR(INDEX(B!$F$2:$F$61,MATCH($J74,B!$E$2:$E$61,0))&amp;"",""))</f>
        <v/>
      </c>
      <c r="O74" s="69">
        <f>IF($J74="","",IFERROR(INDEX(B!$G$2:$G$61,MATCH($J74,B!$E$2:$E$61,0))&amp;"",""))</f>
        <v/>
      </c>
      <c r="P74" s="69">
        <f>IF($J74="","",IFERROR(INDEX(B!$H$2:$H$61,MATCH($J74,B!$E$2:$E$61,0))&amp;"",""))</f>
        <v/>
      </c>
      <c r="Q74" s="69">
        <f>IF($J74="","",IFERROR(INDEX(B!$I$2:$I$61,MATCH($J74,B!$E$2:$E$61,0))&amp;"",""))</f>
        <v/>
      </c>
      <c r="R74" s="69">
        <f>IF($J74="","",IFERROR(INDEX(B!$J$2:$J$61,MATCH($J74,B!$E$2:$E$61,0))&amp;"",""))</f>
        <v/>
      </c>
      <c r="S74" s="69">
        <f>IF($J74="","",IFERROR(INDEX(B!$K$2:$K$61,MATCH($J74,B!$E$2:$E$61,0))&amp;"",""))</f>
        <v/>
      </c>
      <c r="T74" s="69">
        <f>IF($J74="","",IFERROR(INDEX(B!$L$2:$L$61,MATCH($J74,B!$E$2:$E$61,0))&amp;"",""))</f>
        <v/>
      </c>
      <c r="U74" s="20" t="n"/>
      <c r="V74" s="70">
        <f>IF($J74="","",IFERROR(INDEX(B!$M$2:$M$61,MATCH($J74,B!$E$2:$E$61,0))&amp;"",""))</f>
        <v/>
      </c>
      <c r="W74" s="71">
        <f>IF(I74="","",IFERROR(MID(I74,FIND("/d/",I74)+3,FIND("/edit",I74)-FIND("/d/",I74)-3),I74))</f>
        <v/>
      </c>
      <c r="X74" s="71">
        <f>IF($J74="","",IFERROR(INDEX(B!$C$2:$C$61,MATCH($J74,B!$E$2:$E$61,0))&amp;"",""))</f>
        <v/>
      </c>
      <c r="Y74" s="20" t="n"/>
      <c r="Z74" s="72">
        <f>IF($J74="",FALSE,ISNUMBER(SEARCH("scout",$K74)))</f>
        <v/>
      </c>
      <c r="AA74" s="72">
        <f>IF($J74="",FALSE,IFERROR(INDEX(B!$N$2:$N$61,MATCH($J74,B!$E$2:$E$61,0))="Sim",FALSE))</f>
        <v/>
      </c>
      <c r="AB74" s="72">
        <f>IF($J74="",FALSE,LEFT($X74,2)="XX")</f>
        <v/>
      </c>
      <c r="AC74" s="72">
        <f>IF($J74="",FALSE,IFERROR(INDEX(B!$P$2:$P$61,MATCH($J74,B!$E$2:$E$61,0))="Sim",FALSE))</f>
        <v/>
      </c>
      <c r="AD74" s="20" t="n"/>
      <c r="AE74" s="52">
        <f>IF(H74="","",HOUR(H74))</f>
        <v/>
      </c>
      <c r="AF74" s="52" t="n"/>
    </row>
    <row r="75" ht="19.5" customHeight="1" s="58">
      <c r="A75" s="62">
        <f>IF(G75="","",IF(G75=G74,"",COUNTIF($G$3:$G$976,G75)))</f>
        <v/>
      </c>
      <c r="B75" s="20" t="n"/>
      <c r="C75" s="63">
        <f>IF(G75="","",DAY(G75))</f>
        <v/>
      </c>
      <c r="D75" s="63">
        <f>IF(G75="","",MONTH(G75))</f>
        <v/>
      </c>
      <c r="E75" s="63">
        <f>IF(G75="","",YEAR(G75))</f>
        <v/>
      </c>
      <c r="F75" s="33">
        <f>IF(G75="","",CHOOSE(MONTH(G75),"Janeiro","Fevereiro","Março","Abril","Maio","Junho","Julho","Agosto","Setembro","Outubro","Novembro","Dezembro"))</f>
        <v/>
      </c>
      <c r="G75" s="64" t="n">
        <v>46055</v>
      </c>
      <c r="H75" s="65" t="n">
        <v>0.09422453703703704</v>
      </c>
      <c r="I75" s="66" t="inlineStr">
        <is>
          <t>https://docs.google.com/spreadsheets/d/1ZiCGoPjLCjuYvujDTXK9Ixbth3tekiLtFBzBrGjPCr4/edit?gid=0#gid=0</t>
        </is>
      </c>
      <c r="J75" s="67" t="inlineStr">
        <is>
          <t>Mais informações (Quanto Pagou?) - [AAV]</t>
        </is>
      </c>
      <c r="K75" s="67" t="inlineStr">
        <is>
          <t>Scout</t>
        </is>
      </c>
      <c r="L75" s="68" t="b">
        <v>1</v>
      </c>
      <c r="M75" s="20" t="n"/>
      <c r="N75" s="69">
        <f>IF($J75="","",IFERROR(INDEX(B!$F$2:$F$61,MATCH($J75,B!$E$2:$E$61,0))&amp;"",""))</f>
        <v/>
      </c>
      <c r="O75" s="69">
        <f>IF($J75="","",IFERROR(INDEX(B!$G$2:$G$61,MATCH($J75,B!$E$2:$E$61,0))&amp;"",""))</f>
        <v/>
      </c>
      <c r="P75" s="69">
        <f>IF($J75="","",IFERROR(INDEX(B!$H$2:$H$61,MATCH($J75,B!$E$2:$E$61,0))&amp;"",""))</f>
        <v/>
      </c>
      <c r="Q75" s="69">
        <f>IF($J75="","",IFERROR(INDEX(B!$I$2:$I$61,MATCH($J75,B!$E$2:$E$61,0))&amp;"",""))</f>
        <v/>
      </c>
      <c r="R75" s="69">
        <f>IF($J75="","",IFERROR(INDEX(B!$J$2:$J$61,MATCH($J75,B!$E$2:$E$61,0))&amp;"",""))</f>
        <v/>
      </c>
      <c r="S75" s="69">
        <f>IF($J75="","",IFERROR(INDEX(B!$K$2:$K$61,MATCH($J75,B!$E$2:$E$61,0))&amp;"",""))</f>
        <v/>
      </c>
      <c r="T75" s="69">
        <f>IF($J75="","",IFERROR(INDEX(B!$L$2:$L$61,MATCH($J75,B!$E$2:$E$61,0))&amp;"",""))</f>
        <v/>
      </c>
      <c r="U75" s="20" t="n"/>
      <c r="V75" s="70">
        <f>IF($J75="","",IFERROR(INDEX(B!$M$2:$M$61,MATCH($J75,B!$E$2:$E$61,0))&amp;"",""))</f>
        <v/>
      </c>
      <c r="W75" s="71">
        <f>IF(I75="","",IFERROR(MID(I75,FIND("/d/",I75)+3,FIND("/edit",I75)-FIND("/d/",I75)-3),I75))</f>
        <v/>
      </c>
      <c r="X75" s="71">
        <f>IF($J75="","",IFERROR(INDEX(B!$C$2:$C$61,MATCH($J75,B!$E$2:$E$61,0))&amp;"",""))</f>
        <v/>
      </c>
      <c r="Y75" s="20" t="n"/>
      <c r="Z75" s="72">
        <f>IF($J75="",FALSE,ISNUMBER(SEARCH("scout",$K75)))</f>
        <v/>
      </c>
      <c r="AA75" s="72">
        <f>IF($J75="",FALSE,IFERROR(INDEX(B!$N$2:$N$61,MATCH($J75,B!$E$2:$E$61,0))="Sim",FALSE))</f>
        <v/>
      </c>
      <c r="AB75" s="72">
        <f>IF($J75="",FALSE,LEFT($X75,2)="XX")</f>
        <v/>
      </c>
      <c r="AC75" s="72">
        <f>IF($J75="",FALSE,IFERROR(INDEX(B!$P$2:$P$61,MATCH($J75,B!$E$2:$E$61,0))="Sim",FALSE))</f>
        <v/>
      </c>
      <c r="AD75" s="20" t="n"/>
      <c r="AE75" s="52">
        <f>IF(H75="","",HOUR(H75))</f>
        <v/>
      </c>
      <c r="AF75" s="52" t="n"/>
    </row>
    <row r="76" ht="19.5" customHeight="1" s="58">
      <c r="A76" s="62">
        <f>IF(G76="","",IF(G76=G75,"",COUNTIF($G$3:$G$976,G76)))</f>
        <v/>
      </c>
      <c r="B76" s="20" t="n"/>
      <c r="C76" s="63">
        <f>IF(G76="","",DAY(G76))</f>
        <v/>
      </c>
      <c r="D76" s="63">
        <f>IF(G76="","",MONTH(G76))</f>
        <v/>
      </c>
      <c r="E76" s="63">
        <f>IF(G76="","",YEAR(G76))</f>
        <v/>
      </c>
      <c r="F76" s="33">
        <f>IF(G76="","",CHOOSE(MONTH(G76),"Janeiro","Fevereiro","Março","Abril","Maio","Junho","Julho","Agosto","Setembro","Outubro","Novembro","Dezembro"))</f>
        <v/>
      </c>
      <c r="G76" s="64" t="n">
        <v>46055</v>
      </c>
      <c r="H76" s="65" t="n">
        <v>0.0974074074074074</v>
      </c>
      <c r="I76" s="66" t="inlineStr">
        <is>
          <t>https://docs.google.com/spreadsheets/d/1ZiCGoPjLCjuYvujDTXK9Ixbth3tekiLtFBzBrGjPCr4/edit?gid=0#gid=0</t>
        </is>
      </c>
      <c r="J76" s="67" t="inlineStr">
        <is>
          <t>Transferência de LOB (Accounts) - [TIAC]</t>
        </is>
      </c>
      <c r="K76" s="67" t="inlineStr"/>
      <c r="L76" s="68" t="b">
        <v>0</v>
      </c>
      <c r="M76" s="20" t="n"/>
      <c r="N76" s="69">
        <f>IF($J76="","",IFERROR(INDEX(B!$F$2:$F$61,MATCH($J76,B!$E$2:$E$61,0))&amp;"",""))</f>
        <v/>
      </c>
      <c r="O76" s="69">
        <f>IF($J76="","",IFERROR(INDEX(B!$G$2:$G$61,MATCH($J76,B!$E$2:$E$61,0))&amp;"",""))</f>
        <v/>
      </c>
      <c r="P76" s="69">
        <f>IF($J76="","",IFERROR(INDEX(B!$H$2:$H$61,MATCH($J76,B!$E$2:$E$61,0))&amp;"",""))</f>
        <v/>
      </c>
      <c r="Q76" s="69">
        <f>IF($J76="","",IFERROR(INDEX(B!$I$2:$I$61,MATCH($J76,B!$E$2:$E$61,0))&amp;"",""))</f>
        <v/>
      </c>
      <c r="R76" s="69">
        <f>IF($J76="","",IFERROR(INDEX(B!$J$2:$J$61,MATCH($J76,B!$E$2:$E$61,0))&amp;"",""))</f>
        <v/>
      </c>
      <c r="S76" s="69">
        <f>IF($J76="","",IFERROR(INDEX(B!$K$2:$K$61,MATCH($J76,B!$E$2:$E$61,0))&amp;"",""))</f>
        <v/>
      </c>
      <c r="T76" s="69">
        <f>IF($J76="","",IFERROR(INDEX(B!$L$2:$L$61,MATCH($J76,B!$E$2:$E$61,0))&amp;"",""))</f>
        <v/>
      </c>
      <c r="U76" s="20" t="n"/>
      <c r="V76" s="70">
        <f>IF($J76="","",IFERROR(INDEX(B!$M$2:$M$61,MATCH($J76,B!$E$2:$E$61,0))&amp;"",""))</f>
        <v/>
      </c>
      <c r="W76" s="71">
        <f>IF(I76="","",IFERROR(MID(I76,FIND("/d/",I76)+3,FIND("/edit",I76)-FIND("/d/",I76)-3),I76))</f>
        <v/>
      </c>
      <c r="X76" s="71">
        <f>IF($J76="","",IFERROR(INDEX(B!$C$2:$C$61,MATCH($J76,B!$E$2:$E$61,0))&amp;"",""))</f>
        <v/>
      </c>
      <c r="Y76" s="20" t="n"/>
      <c r="Z76" s="72">
        <f>IF($J76="",FALSE,ISNUMBER(SEARCH("scout",$K76)))</f>
        <v/>
      </c>
      <c r="AA76" s="72">
        <f>IF($J76="",FALSE,IFERROR(INDEX(B!$N$2:$N$61,MATCH($J76,B!$E$2:$E$61,0))="Sim",FALSE))</f>
        <v/>
      </c>
      <c r="AB76" s="72">
        <f>IF($J76="",FALSE,LEFT($X76,2)="XX")</f>
        <v/>
      </c>
      <c r="AC76" s="72">
        <f>IF($J76="",FALSE,IFERROR(INDEX(B!$P$2:$P$61,MATCH($J76,B!$E$2:$E$61,0))="Sim",FALSE))</f>
        <v/>
      </c>
      <c r="AD76" s="20" t="n"/>
      <c r="AE76" s="52">
        <f>IF(H76="","",HOUR(H76))</f>
        <v/>
      </c>
      <c r="AF76" s="52" t="n"/>
    </row>
    <row r="77" ht="19.5" customHeight="1" s="58">
      <c r="A77" s="62">
        <f>IF(G77="","",IF(G77=G76,"",COUNTIF($G$3:$G$976,G77)))</f>
        <v/>
      </c>
      <c r="B77" s="20" t="n"/>
      <c r="C77" s="63">
        <f>IF(G77="","",DAY(G77))</f>
        <v/>
      </c>
      <c r="D77" s="63">
        <f>IF(G77="","",MONTH(G77))</f>
        <v/>
      </c>
      <c r="E77" s="63">
        <f>IF(G77="","",YEAR(G77))</f>
        <v/>
      </c>
      <c r="F77" s="33">
        <f>IF(G77="","",CHOOSE(MONTH(G77),"Janeiro","Fevereiro","Março","Abril","Maio","Junho","Julho","Agosto","Setembro","Outubro","Novembro","Dezembro"))</f>
        <v/>
      </c>
      <c r="G77" s="64" t="n">
        <v>46056</v>
      </c>
      <c r="H77" s="65" t="n">
        <v>0.0005787037037037037</v>
      </c>
      <c r="I77" s="66" t="inlineStr">
        <is>
          <t>https://docs.google.com/spreadsheets/d/1ZiCGoPjLCjuYvujDTXK9Ixbth3tekiLtFBzBrGjPCr4/edit?gid=0#gid=0</t>
        </is>
      </c>
      <c r="J77" s="67" t="inlineStr">
        <is>
          <t>Transferência de LOB (Geral não especificado) - [TI]</t>
        </is>
      </c>
      <c r="K77" s="67" t="inlineStr"/>
      <c r="L77" s="68" t="b">
        <v>0</v>
      </c>
      <c r="M77" s="20" t="n"/>
      <c r="N77" s="69">
        <f>IF($J77="","",IFERROR(INDEX(B!$F$2:$F$61,MATCH($J77,B!$E$2:$E$61,0))&amp;"",""))</f>
        <v/>
      </c>
      <c r="O77" s="69">
        <f>IF($J77="","",IFERROR(INDEX(B!$G$2:$G$61,MATCH($J77,B!$E$2:$E$61,0))&amp;"",""))</f>
        <v/>
      </c>
      <c r="P77" s="69">
        <f>IF($J77="","",IFERROR(INDEX(B!$H$2:$H$61,MATCH($J77,B!$E$2:$E$61,0))&amp;"",""))</f>
        <v/>
      </c>
      <c r="Q77" s="69">
        <f>IF($J77="","",IFERROR(INDEX(B!$I$2:$I$61,MATCH($J77,B!$E$2:$E$61,0))&amp;"",""))</f>
        <v/>
      </c>
      <c r="R77" s="69">
        <f>IF($J77="","",IFERROR(INDEX(B!$J$2:$J$61,MATCH($J77,B!$E$2:$E$61,0))&amp;"",""))</f>
        <v/>
      </c>
      <c r="S77" s="69">
        <f>IF($J77="","",IFERROR(INDEX(B!$K$2:$K$61,MATCH($J77,B!$E$2:$E$61,0))&amp;"",""))</f>
        <v/>
      </c>
      <c r="T77" s="69">
        <f>IF($J77="","",IFERROR(INDEX(B!$L$2:$L$61,MATCH($J77,B!$E$2:$E$61,0))&amp;"",""))</f>
        <v/>
      </c>
      <c r="U77" s="20" t="n"/>
      <c r="V77" s="70">
        <f>IF($J77="","",IFERROR(INDEX(B!$M$2:$M$61,MATCH($J77,B!$E$2:$E$61,0))&amp;"",""))</f>
        <v/>
      </c>
      <c r="W77" s="71">
        <f>IF(I77="","",IFERROR(MID(I77,FIND("/d/",I77)+3,FIND("/edit",I77)-FIND("/d/",I77)-3),I77))</f>
        <v/>
      </c>
      <c r="X77" s="71">
        <f>IF($J77="","",IFERROR(INDEX(B!$C$2:$C$61,MATCH($J77,B!$E$2:$E$61,0))&amp;"",""))</f>
        <v/>
      </c>
      <c r="Y77" s="20" t="n"/>
      <c r="Z77" s="72">
        <f>IF($J77="",FALSE,ISNUMBER(SEARCH("scout",$K77)))</f>
        <v/>
      </c>
      <c r="AA77" s="72">
        <f>IF($J77="",FALSE,IFERROR(INDEX(B!$N$2:$N$61,MATCH($J77,B!$E$2:$E$61,0))="Sim",FALSE))</f>
        <v/>
      </c>
      <c r="AB77" s="72">
        <f>IF($J77="",FALSE,LEFT($X77,2)="XX")</f>
        <v/>
      </c>
      <c r="AC77" s="72">
        <f>IF($J77="",FALSE,IFERROR(INDEX(B!$P$2:$P$61,MATCH($J77,B!$E$2:$E$61,0))="Sim",FALSE))</f>
        <v/>
      </c>
      <c r="AD77" s="20" t="n"/>
      <c r="AE77" s="52">
        <f>IF(H77="","",HOUR(H77))</f>
        <v/>
      </c>
      <c r="AF77" s="52" t="n"/>
    </row>
    <row r="78" ht="19.5" customHeight="1" s="58">
      <c r="A78" s="62">
        <f>IF(G78="","",IF(G78=G77,"",COUNTIF($G$3:$G$976,G78)))</f>
        <v/>
      </c>
      <c r="B78" s="20" t="n"/>
      <c r="C78" s="63">
        <f>IF(G78="","",DAY(G78))</f>
        <v/>
      </c>
      <c r="D78" s="63">
        <f>IF(G78="","",MONTH(G78))</f>
        <v/>
      </c>
      <c r="E78" s="63">
        <f>IF(G78="","",YEAR(G78))</f>
        <v/>
      </c>
      <c r="F78" s="33">
        <f>IF(G78="","",CHOOSE(MONTH(G78),"Janeiro","Fevereiro","Março","Abril","Maio","Junho","Julho","Agosto","Setembro","Outubro","Novembro","Dezembro"))</f>
        <v/>
      </c>
      <c r="G78" s="64" t="n">
        <v>46056</v>
      </c>
      <c r="H78" s="65" t="n">
        <v>0.01320601851851852</v>
      </c>
      <c r="I78" s="66" t="inlineStr">
        <is>
          <t>https://docs.google.com/spreadsheets/d/1ZiCGoPjLCjuYvujDTXK9Ixbth3tekiLtFBzBrGjPCr4/edit?gid=0#gid=0</t>
        </is>
      </c>
      <c r="J78" s="67" t="inlineStr">
        <is>
          <t>Pushback - [XX]</t>
        </is>
      </c>
      <c r="K78" s="67" t="inlineStr"/>
      <c r="L78" s="68" t="b">
        <v>0</v>
      </c>
      <c r="M78" s="20" t="n"/>
      <c r="N78" s="69">
        <f>IF($J78="","",IFERROR(INDEX(B!$F$2:$F$61,MATCH($J78,B!$E$2:$E$61,0))&amp;"",""))</f>
        <v/>
      </c>
      <c r="O78" s="69">
        <f>IF($J78="","",IFERROR(INDEX(B!$G$2:$G$61,MATCH($J78,B!$E$2:$E$61,0))&amp;"",""))</f>
        <v/>
      </c>
      <c r="P78" s="69">
        <f>IF($J78="","",IFERROR(INDEX(B!$H$2:$H$61,MATCH($J78,B!$E$2:$E$61,0))&amp;"",""))</f>
        <v/>
      </c>
      <c r="Q78" s="69">
        <f>IF($J78="","",IFERROR(INDEX(B!$I$2:$I$61,MATCH($J78,B!$E$2:$E$61,0))&amp;"",""))</f>
        <v/>
      </c>
      <c r="R78" s="69">
        <f>IF($J78="","",IFERROR(INDEX(B!$J$2:$J$61,MATCH($J78,B!$E$2:$E$61,0))&amp;"",""))</f>
        <v/>
      </c>
      <c r="S78" s="69">
        <f>IF($J78="","",IFERROR(INDEX(B!$K$2:$K$61,MATCH($J78,B!$E$2:$E$61,0))&amp;"",""))</f>
        <v/>
      </c>
      <c r="T78" s="69">
        <f>IF($J78="","",IFERROR(INDEX(B!$L$2:$L$61,MATCH($J78,B!$E$2:$E$61,0))&amp;"",""))</f>
        <v/>
      </c>
      <c r="U78" s="20" t="n"/>
      <c r="V78" s="70">
        <f>IF($J78="","",IFERROR(INDEX(B!$M$2:$M$61,MATCH($J78,B!$E$2:$E$61,0))&amp;"",""))</f>
        <v/>
      </c>
      <c r="W78" s="71">
        <f>IF(I78="","",IFERROR(MID(I78,FIND("/d/",I78)+3,FIND("/edit",I78)-FIND("/d/",I78)-3),I78))</f>
        <v/>
      </c>
      <c r="X78" s="71">
        <f>IF($J78="","",IFERROR(INDEX(B!$C$2:$C$61,MATCH($J78,B!$E$2:$E$61,0))&amp;"",""))</f>
        <v/>
      </c>
      <c r="Y78" s="20" t="n"/>
      <c r="Z78" s="72">
        <f>IF($J78="",FALSE,ISNUMBER(SEARCH("scout",$K78)))</f>
        <v/>
      </c>
      <c r="AA78" s="72">
        <f>IF($J78="",FALSE,IFERROR(INDEX(B!$N$2:$N$61,MATCH($J78,B!$E$2:$E$61,0))="Sim",FALSE))</f>
        <v/>
      </c>
      <c r="AB78" s="72">
        <f>IF($J78="",FALSE,LEFT($X78,2)="XX")</f>
        <v/>
      </c>
      <c r="AC78" s="72">
        <f>IF($J78="",FALSE,IFERROR(INDEX(B!$P$2:$P$61,MATCH($J78,B!$E$2:$E$61,0))="Sim",FALSE))</f>
        <v/>
      </c>
      <c r="AD78" s="20" t="n"/>
      <c r="AE78" s="52">
        <f>IF(H78="","",HOUR(H78))</f>
        <v/>
      </c>
      <c r="AF78" s="52" t="n"/>
    </row>
    <row r="79" ht="19.5" customHeight="1" s="58">
      <c r="A79" s="62">
        <f>IF(G79="","",IF(G79=G78,"",COUNTIF($G$3:$G$976,G79)))</f>
        <v/>
      </c>
      <c r="B79" s="20" t="n"/>
      <c r="C79" s="63">
        <f>IF(G79="","",DAY(G79))</f>
        <v/>
      </c>
      <c r="D79" s="63">
        <f>IF(G79="","",MONTH(G79))</f>
        <v/>
      </c>
      <c r="E79" s="63">
        <f>IF(G79="","",YEAR(G79))</f>
        <v/>
      </c>
      <c r="F79" s="33">
        <f>IF(G79="","",CHOOSE(MONTH(G79),"Janeiro","Fevereiro","Março","Abril","Maio","Junho","Julho","Agosto","Setembro","Outubro","Novembro","Dezembro"))</f>
        <v/>
      </c>
      <c r="G79" s="64" t="n">
        <v>46056</v>
      </c>
      <c r="H79" s="65" t="n">
        <v>0.01354166666666667</v>
      </c>
      <c r="I79" s="66" t="inlineStr">
        <is>
          <t>https://docs.google.com/spreadsheets/d/1ZiCGoPjLCjuYvujDTXK9Ixbth3tekiLtFBzBrGjPCr4/edit?gid=0#gid=0</t>
        </is>
      </c>
      <c r="J79" s="67" t="inlineStr">
        <is>
          <t>Taxa de Cancelamento - [TXC]</t>
        </is>
      </c>
      <c r="K79" s="67" t="inlineStr"/>
      <c r="L79" s="68" t="b">
        <v>0</v>
      </c>
      <c r="M79" s="20" t="n"/>
      <c r="N79" s="69">
        <f>IF($J79="","",IFERROR(INDEX(B!$F$2:$F$61,MATCH($J79,B!$E$2:$E$61,0))&amp;"",""))</f>
        <v/>
      </c>
      <c r="O79" s="69">
        <f>IF($J79="","",IFERROR(INDEX(B!$G$2:$G$61,MATCH($J79,B!$E$2:$E$61,0))&amp;"",""))</f>
        <v/>
      </c>
      <c r="P79" s="69">
        <f>IF($J79="","",IFERROR(INDEX(B!$H$2:$H$61,MATCH($J79,B!$E$2:$E$61,0))&amp;"",""))</f>
        <v/>
      </c>
      <c r="Q79" s="69">
        <f>IF($J79="","",IFERROR(INDEX(B!$I$2:$I$61,MATCH($J79,B!$E$2:$E$61,0))&amp;"",""))</f>
        <v/>
      </c>
      <c r="R79" s="69">
        <f>IF($J79="","",IFERROR(INDEX(B!$J$2:$J$61,MATCH($J79,B!$E$2:$E$61,0))&amp;"",""))</f>
        <v/>
      </c>
      <c r="S79" s="69">
        <f>IF($J79="","",IFERROR(INDEX(B!$K$2:$K$61,MATCH($J79,B!$E$2:$E$61,0))&amp;"",""))</f>
        <v/>
      </c>
      <c r="T79" s="69">
        <f>IF($J79="","",IFERROR(INDEX(B!$L$2:$L$61,MATCH($J79,B!$E$2:$E$61,0))&amp;"",""))</f>
        <v/>
      </c>
      <c r="U79" s="20" t="n"/>
      <c r="V79" s="70">
        <f>IF($J79="","",IFERROR(INDEX(B!$M$2:$M$61,MATCH($J79,B!$E$2:$E$61,0))&amp;"",""))</f>
        <v/>
      </c>
      <c r="W79" s="71">
        <f>IF(I79="","",IFERROR(MID(I79,FIND("/d/",I79)+3,FIND("/edit",I79)-FIND("/d/",I79)-3),I79))</f>
        <v/>
      </c>
      <c r="X79" s="71">
        <f>IF($J79="","",IFERROR(INDEX(B!$C$2:$C$61,MATCH($J79,B!$E$2:$E$61,0))&amp;"",""))</f>
        <v/>
      </c>
      <c r="Y79" s="20" t="n"/>
      <c r="Z79" s="72">
        <f>IF($J79="",FALSE,ISNUMBER(SEARCH("scout",$K79)))</f>
        <v/>
      </c>
      <c r="AA79" s="72">
        <f>IF($J79="",FALSE,IFERROR(INDEX(B!$N$2:$N$61,MATCH($J79,B!$E$2:$E$61,0))="Sim",FALSE))</f>
        <v/>
      </c>
      <c r="AB79" s="72">
        <f>IF($J79="",FALSE,LEFT($X79,2)="XX")</f>
        <v/>
      </c>
      <c r="AC79" s="72">
        <f>IF($J79="",FALSE,IFERROR(INDEX(B!$P$2:$P$61,MATCH($J79,B!$E$2:$E$61,0))="Sim",FALSE))</f>
        <v/>
      </c>
      <c r="AD79" s="20" t="n"/>
      <c r="AE79" s="52">
        <f>IF(H79="","",HOUR(H79))</f>
        <v/>
      </c>
      <c r="AF79" s="52" t="n"/>
    </row>
    <row r="80" ht="19.5" customHeight="1" s="58">
      <c r="A80" s="62">
        <f>IF(G80="","",IF(G80=G79,"",COUNTIF($G$3:$G$976,G80)))</f>
        <v/>
      </c>
      <c r="B80" s="20" t="n"/>
      <c r="C80" s="63">
        <f>IF(G80="","",DAY(G80))</f>
        <v/>
      </c>
      <c r="D80" s="63">
        <f>IF(G80="","",MONTH(G80))</f>
        <v/>
      </c>
      <c r="E80" s="63">
        <f>IF(G80="","",YEAR(G80))</f>
        <v/>
      </c>
      <c r="F80" s="33">
        <f>IF(G80="","",CHOOSE(MONTH(G80),"Janeiro","Fevereiro","Março","Abril","Maio","Junho","Julho","Agosto","Setembro","Outubro","Novembro","Dezembro"))</f>
        <v/>
      </c>
      <c r="G80" s="64" t="n">
        <v>46056</v>
      </c>
      <c r="H80" s="65" t="n">
        <v>0.01726851851851852</v>
      </c>
      <c r="I80" s="66" t="inlineStr">
        <is>
          <t>https://docs.google.com/spreadsheets/d/1ZiCGoPjLCjuYvujDTXK9Ixbth3tekiLtFBzBrGjPCr4/edit?gid=0#gid=0</t>
        </is>
      </c>
      <c r="J80" s="67" t="inlineStr">
        <is>
          <t>Taxa de Cancelamento - [TXC]</t>
        </is>
      </c>
      <c r="K80" s="67" t="inlineStr"/>
      <c r="L80" s="68" t="b">
        <v>0</v>
      </c>
      <c r="M80" s="20" t="n"/>
      <c r="N80" s="69">
        <f>IF($J80="","",IFERROR(INDEX(B!$F$2:$F$61,MATCH($J80,B!$E$2:$E$61,0))&amp;"",""))</f>
        <v/>
      </c>
      <c r="O80" s="69">
        <f>IF($J80="","",IFERROR(INDEX(B!$G$2:$G$61,MATCH($J80,B!$E$2:$E$61,0))&amp;"",""))</f>
        <v/>
      </c>
      <c r="P80" s="69">
        <f>IF($J80="","",IFERROR(INDEX(B!$H$2:$H$61,MATCH($J80,B!$E$2:$E$61,0))&amp;"",""))</f>
        <v/>
      </c>
      <c r="Q80" s="69">
        <f>IF($J80="","",IFERROR(INDEX(B!$I$2:$I$61,MATCH($J80,B!$E$2:$E$61,0))&amp;"",""))</f>
        <v/>
      </c>
      <c r="R80" s="69">
        <f>IF($J80="","",IFERROR(INDEX(B!$J$2:$J$61,MATCH($J80,B!$E$2:$E$61,0))&amp;"",""))</f>
        <v/>
      </c>
      <c r="S80" s="69">
        <f>IF($J80="","",IFERROR(INDEX(B!$K$2:$K$61,MATCH($J80,B!$E$2:$E$61,0))&amp;"",""))</f>
        <v/>
      </c>
      <c r="T80" s="69">
        <f>IF($J80="","",IFERROR(INDEX(B!$L$2:$L$61,MATCH($J80,B!$E$2:$E$61,0))&amp;"",""))</f>
        <v/>
      </c>
      <c r="U80" s="20" t="n"/>
      <c r="V80" s="70">
        <f>IF($J80="","",IFERROR(INDEX(B!$M$2:$M$61,MATCH($J80,B!$E$2:$E$61,0))&amp;"",""))</f>
        <v/>
      </c>
      <c r="W80" s="71">
        <f>IF(I80="","",IFERROR(MID(I80,FIND("/d/",I80)+3,FIND("/edit",I80)-FIND("/d/",I80)-3),I80))</f>
        <v/>
      </c>
      <c r="X80" s="71">
        <f>IF($J80="","",IFERROR(INDEX(B!$C$2:$C$61,MATCH($J80,B!$E$2:$E$61,0))&amp;"",""))</f>
        <v/>
      </c>
      <c r="Y80" s="20" t="n"/>
      <c r="Z80" s="72">
        <f>IF($J80="",FALSE,ISNUMBER(SEARCH("scout",$K80)))</f>
        <v/>
      </c>
      <c r="AA80" s="72">
        <f>IF($J80="",FALSE,IFERROR(INDEX(B!$N$2:$N$61,MATCH($J80,B!$E$2:$E$61,0))="Sim",FALSE))</f>
        <v/>
      </c>
      <c r="AB80" s="72">
        <f>IF($J80="",FALSE,LEFT($X80,2)="XX")</f>
        <v/>
      </c>
      <c r="AC80" s="72">
        <f>IF($J80="",FALSE,IFERROR(INDEX(B!$P$2:$P$61,MATCH($J80,B!$E$2:$E$61,0))="Sim",FALSE))</f>
        <v/>
      </c>
      <c r="AD80" s="20" t="n"/>
      <c r="AE80" s="52">
        <f>IF(H80="","",HOUR(H80))</f>
        <v/>
      </c>
      <c r="AF80" s="52" t="n"/>
    </row>
    <row r="81" ht="19.5" customHeight="1" s="58">
      <c r="A81" s="62">
        <f>IF(G81="","",IF(G81=G80,"",COUNTIF($G$3:$G$976,G81)))</f>
        <v/>
      </c>
      <c r="B81" s="20" t="n"/>
      <c r="C81" s="63">
        <f>IF(G81="","",DAY(G81))</f>
        <v/>
      </c>
      <c r="D81" s="63">
        <f>IF(G81="","",MONTH(G81))</f>
        <v/>
      </c>
      <c r="E81" s="63">
        <f>IF(G81="","",YEAR(G81))</f>
        <v/>
      </c>
      <c r="F81" s="33">
        <f>IF(G81="","",CHOOSE(MONTH(G81),"Janeiro","Fevereiro","Março","Abril","Maio","Junho","Julho","Agosto","Setembro","Outubro","Novembro","Dezembro"))</f>
        <v/>
      </c>
      <c r="G81" s="64" t="n">
        <v>46056</v>
      </c>
      <c r="H81" s="65" t="n">
        <v>0.02443287037037037</v>
      </c>
      <c r="I81" s="66" t="inlineStr">
        <is>
          <t>https://docs.google.com/spreadsheets/d/1ZiCGoPjLCjuYvujDTXK9Ixbth3tekiLtFBzBrGjPCr4/edit?gid=0#gid=0</t>
        </is>
      </c>
      <c r="J81" s="67" t="inlineStr">
        <is>
          <t>Outros Valores Retidos (Pedágio, Cartão, Taxa de Cancelamento...) - [OTV]</t>
        </is>
      </c>
      <c r="K81" s="67" t="inlineStr"/>
      <c r="L81" s="68" t="b">
        <v>0</v>
      </c>
      <c r="M81" s="20" t="n"/>
      <c r="N81" s="69">
        <f>IF($J81="","",IFERROR(INDEX(B!$F$2:$F$61,MATCH($J81,B!$E$2:$E$61,0))&amp;"",""))</f>
        <v/>
      </c>
      <c r="O81" s="69">
        <f>IF($J81="","",IFERROR(INDEX(B!$G$2:$G$61,MATCH($J81,B!$E$2:$E$61,0))&amp;"",""))</f>
        <v/>
      </c>
      <c r="P81" s="69">
        <f>IF($J81="","",IFERROR(INDEX(B!$H$2:$H$61,MATCH($J81,B!$E$2:$E$61,0))&amp;"",""))</f>
        <v/>
      </c>
      <c r="Q81" s="69">
        <f>IF($J81="","",IFERROR(INDEX(B!$I$2:$I$61,MATCH($J81,B!$E$2:$E$61,0))&amp;"",""))</f>
        <v/>
      </c>
      <c r="R81" s="69">
        <f>IF($J81="","",IFERROR(INDEX(B!$J$2:$J$61,MATCH($J81,B!$E$2:$E$61,0))&amp;"",""))</f>
        <v/>
      </c>
      <c r="S81" s="69">
        <f>IF($J81="","",IFERROR(INDEX(B!$K$2:$K$61,MATCH($J81,B!$E$2:$E$61,0))&amp;"",""))</f>
        <v/>
      </c>
      <c r="T81" s="69">
        <f>IF($J81="","",IFERROR(INDEX(B!$L$2:$L$61,MATCH($J81,B!$E$2:$E$61,0))&amp;"",""))</f>
        <v/>
      </c>
      <c r="U81" s="20" t="n"/>
      <c r="V81" s="70">
        <f>IF($J81="","",IFERROR(INDEX(B!$M$2:$M$61,MATCH($J81,B!$E$2:$E$61,0))&amp;"",""))</f>
        <v/>
      </c>
      <c r="W81" s="71">
        <f>IF(I81="","",IFERROR(MID(I81,FIND("/d/",I81)+3,FIND("/edit",I81)-FIND("/d/",I81)-3),I81))</f>
        <v/>
      </c>
      <c r="X81" s="71">
        <f>IF($J81="","",IFERROR(INDEX(B!$C$2:$C$61,MATCH($J81,B!$E$2:$E$61,0))&amp;"",""))</f>
        <v/>
      </c>
      <c r="Y81" s="20" t="n"/>
      <c r="Z81" s="72">
        <f>IF($J81="",FALSE,ISNUMBER(SEARCH("scout",$K81)))</f>
        <v/>
      </c>
      <c r="AA81" s="72">
        <f>IF($J81="",FALSE,IFERROR(INDEX(B!$N$2:$N$61,MATCH($J81,B!$E$2:$E$61,0))="Sim",FALSE))</f>
        <v/>
      </c>
      <c r="AB81" s="72">
        <f>IF($J81="",FALSE,LEFT($X81,2)="XX")</f>
        <v/>
      </c>
      <c r="AC81" s="72">
        <f>IF($J81="",FALSE,IFERROR(INDEX(B!$P$2:$P$61,MATCH($J81,B!$E$2:$E$61,0))="Sim",FALSE))</f>
        <v/>
      </c>
      <c r="AD81" s="20" t="n"/>
      <c r="AE81" s="52">
        <f>IF(H81="","",HOUR(H81))</f>
        <v/>
      </c>
      <c r="AF81" s="52" t="n"/>
    </row>
    <row r="82" ht="19.5" customHeight="1" s="58">
      <c r="A82" s="62">
        <f>IF(G82="","",IF(G82=G81,"",COUNTIF($G$3:$G$976,G82)))</f>
        <v/>
      </c>
      <c r="B82" s="20" t="n"/>
      <c r="C82" s="63">
        <f>IF(G82="","",DAY(G82))</f>
        <v/>
      </c>
      <c r="D82" s="63">
        <f>IF(G82="","",MONTH(G82))</f>
        <v/>
      </c>
      <c r="E82" s="63">
        <f>IF(G82="","",YEAR(G82))</f>
        <v/>
      </c>
      <c r="F82" s="33">
        <f>IF(G82="","",CHOOSE(MONTH(G82),"Janeiro","Fevereiro","Março","Abril","Maio","Junho","Julho","Agosto","Setembro","Outubro","Novembro","Dezembro"))</f>
        <v/>
      </c>
      <c r="G82" s="64" t="n">
        <v>46056</v>
      </c>
      <c r="H82" s="65" t="n">
        <v>0.02472222222222222</v>
      </c>
      <c r="I82" s="66" t="inlineStr">
        <is>
          <t>https://docs.google.com/spreadsheets/d/1ZiCGoPjLCjuYvujDTXK9Ixbth3tekiLtFBzBrGjPCr4/edit?gid=0#gid=0</t>
        </is>
      </c>
      <c r="J82" s="67" t="inlineStr">
        <is>
          <t>Transferência de LOB (Geral não especificado) - [TI]</t>
        </is>
      </c>
      <c r="K82" s="67" t="inlineStr"/>
      <c r="L82" s="68" t="b">
        <v>0</v>
      </c>
      <c r="M82" s="20" t="n"/>
      <c r="N82" s="69">
        <f>IF($J82="","",IFERROR(INDEX(B!$F$2:$F$61,MATCH($J82,B!$E$2:$E$61,0))&amp;"",""))</f>
        <v/>
      </c>
      <c r="O82" s="69">
        <f>IF($J82="","",IFERROR(INDEX(B!$G$2:$G$61,MATCH($J82,B!$E$2:$E$61,0))&amp;"",""))</f>
        <v/>
      </c>
      <c r="P82" s="69">
        <f>IF($J82="","",IFERROR(INDEX(B!$H$2:$H$61,MATCH($J82,B!$E$2:$E$61,0))&amp;"",""))</f>
        <v/>
      </c>
      <c r="Q82" s="69">
        <f>IF($J82="","",IFERROR(INDEX(B!$I$2:$I$61,MATCH($J82,B!$E$2:$E$61,0))&amp;"",""))</f>
        <v/>
      </c>
      <c r="R82" s="69">
        <f>IF($J82="","",IFERROR(INDEX(B!$J$2:$J$61,MATCH($J82,B!$E$2:$E$61,0))&amp;"",""))</f>
        <v/>
      </c>
      <c r="S82" s="69">
        <f>IF($J82="","",IFERROR(INDEX(B!$K$2:$K$61,MATCH($J82,B!$E$2:$E$61,0))&amp;"",""))</f>
        <v/>
      </c>
      <c r="T82" s="69">
        <f>IF($J82="","",IFERROR(INDEX(B!$L$2:$L$61,MATCH($J82,B!$E$2:$E$61,0))&amp;"",""))</f>
        <v/>
      </c>
      <c r="U82" s="20" t="n"/>
      <c r="V82" s="70">
        <f>IF($J82="","",IFERROR(INDEX(B!$M$2:$M$61,MATCH($J82,B!$E$2:$E$61,0))&amp;"",""))</f>
        <v/>
      </c>
      <c r="W82" s="71">
        <f>IF(I82="","",IFERROR(MID(I82,FIND("/d/",I82)+3,FIND("/edit",I82)-FIND("/d/",I82)-3),I82))</f>
        <v/>
      </c>
      <c r="X82" s="71">
        <f>IF($J82="","",IFERROR(INDEX(B!$C$2:$C$61,MATCH($J82,B!$E$2:$E$61,0))&amp;"",""))</f>
        <v/>
      </c>
      <c r="Y82" s="20" t="n"/>
      <c r="Z82" s="72">
        <f>IF($J82="",FALSE,ISNUMBER(SEARCH("scout",$K82)))</f>
        <v/>
      </c>
      <c r="AA82" s="72">
        <f>IF($J82="",FALSE,IFERROR(INDEX(B!$N$2:$N$61,MATCH($J82,B!$E$2:$E$61,0))="Sim",FALSE))</f>
        <v/>
      </c>
      <c r="AB82" s="72">
        <f>IF($J82="",FALSE,LEFT($X82,2)="XX")</f>
        <v/>
      </c>
      <c r="AC82" s="72">
        <f>IF($J82="",FALSE,IFERROR(INDEX(B!$P$2:$P$61,MATCH($J82,B!$E$2:$E$61,0))="Sim",FALSE))</f>
        <v/>
      </c>
      <c r="AD82" s="20" t="n"/>
      <c r="AE82" s="52">
        <f>IF(H82="","",HOUR(H82))</f>
        <v/>
      </c>
      <c r="AF82" s="52" t="n"/>
    </row>
    <row r="83" ht="19.5" customHeight="1" s="58">
      <c r="A83" s="62">
        <f>IF(G83="","",IF(G83=G82,"",COUNTIF($G$3:$G$976,G83)))</f>
        <v/>
      </c>
      <c r="B83" s="20" t="n"/>
      <c r="C83" s="63">
        <f>IF(G83="","",DAY(G83))</f>
        <v/>
      </c>
      <c r="D83" s="63">
        <f>IF(G83="","",MONTH(G83))</f>
        <v/>
      </c>
      <c r="E83" s="63">
        <f>IF(G83="","",YEAR(G83))</f>
        <v/>
      </c>
      <c r="F83" s="33">
        <f>IF(G83="","",CHOOSE(MONTH(G83),"Janeiro","Fevereiro","Março","Abril","Maio","Junho","Julho","Agosto","Setembro","Outubro","Novembro","Dezembro"))</f>
        <v/>
      </c>
      <c r="G83" s="64" t="n">
        <v>46056</v>
      </c>
      <c r="H83" s="65" t="n">
        <v>0.02577546296296296</v>
      </c>
      <c r="I83" s="66" t="inlineStr">
        <is>
          <t>https://docs.google.com/spreadsheets/d/1ZiCGoPjLCjuYvujDTXK9Ixbth3tekiLtFBzBrGjPCr4/edit?gid=0#gid=0</t>
        </is>
      </c>
      <c r="J83" s="67" t="inlineStr">
        <is>
          <t>Transferência de LOB (Accounts) - [TIAC]</t>
        </is>
      </c>
      <c r="K83" s="67" t="inlineStr"/>
      <c r="L83" s="68" t="b">
        <v>0</v>
      </c>
      <c r="M83" s="20" t="n"/>
      <c r="N83" s="69">
        <f>IF($J83="","",IFERROR(INDEX(B!$F$2:$F$61,MATCH($J83,B!$E$2:$E$61,0))&amp;"",""))</f>
        <v/>
      </c>
      <c r="O83" s="69">
        <f>IF($J83="","",IFERROR(INDEX(B!$G$2:$G$61,MATCH($J83,B!$E$2:$E$61,0))&amp;"",""))</f>
        <v/>
      </c>
      <c r="P83" s="69">
        <f>IF($J83="","",IFERROR(INDEX(B!$H$2:$H$61,MATCH($J83,B!$E$2:$E$61,0))&amp;"",""))</f>
        <v/>
      </c>
      <c r="Q83" s="69">
        <f>IF($J83="","",IFERROR(INDEX(B!$I$2:$I$61,MATCH($J83,B!$E$2:$E$61,0))&amp;"",""))</f>
        <v/>
      </c>
      <c r="R83" s="69">
        <f>IF($J83="","",IFERROR(INDEX(B!$J$2:$J$61,MATCH($J83,B!$E$2:$E$61,0))&amp;"",""))</f>
        <v/>
      </c>
      <c r="S83" s="69">
        <f>IF($J83="","",IFERROR(INDEX(B!$K$2:$K$61,MATCH($J83,B!$E$2:$E$61,0))&amp;"",""))</f>
        <v/>
      </c>
      <c r="T83" s="69">
        <f>IF($J83="","",IFERROR(INDEX(B!$L$2:$L$61,MATCH($J83,B!$E$2:$E$61,0))&amp;"",""))</f>
        <v/>
      </c>
      <c r="U83" s="20" t="n"/>
      <c r="V83" s="70">
        <f>IF($J83="","",IFERROR(INDEX(B!$M$2:$M$61,MATCH($J83,B!$E$2:$E$61,0))&amp;"",""))</f>
        <v/>
      </c>
      <c r="W83" s="71">
        <f>IF(I83="","",IFERROR(MID(I83,FIND("/d/",I83)+3,FIND("/edit",I83)-FIND("/d/",I83)-3),I83))</f>
        <v/>
      </c>
      <c r="X83" s="71">
        <f>IF($J83="","",IFERROR(INDEX(B!$C$2:$C$61,MATCH($J83,B!$E$2:$E$61,0))&amp;"",""))</f>
        <v/>
      </c>
      <c r="Y83" s="20" t="n"/>
      <c r="Z83" s="72">
        <f>IF($J83="",FALSE,ISNUMBER(SEARCH("scout",$K83)))</f>
        <v/>
      </c>
      <c r="AA83" s="72">
        <f>IF($J83="",FALSE,IFERROR(INDEX(B!$N$2:$N$61,MATCH($J83,B!$E$2:$E$61,0))="Sim",FALSE))</f>
        <v/>
      </c>
      <c r="AB83" s="72">
        <f>IF($J83="",FALSE,LEFT($X83,2)="XX")</f>
        <v/>
      </c>
      <c r="AC83" s="72">
        <f>IF($J83="",FALSE,IFERROR(INDEX(B!$P$2:$P$61,MATCH($J83,B!$E$2:$E$61,0))="Sim",FALSE))</f>
        <v/>
      </c>
      <c r="AD83" s="20" t="n"/>
      <c r="AE83" s="52">
        <f>IF(H83="","",HOUR(H83))</f>
        <v/>
      </c>
      <c r="AF83" s="52" t="n"/>
    </row>
    <row r="84" ht="19.5" customHeight="1" s="58">
      <c r="A84" s="62">
        <f>IF(G84="","",IF(G84=G83,"",COUNTIF($G$3:$G$976,G84)))</f>
        <v/>
      </c>
      <c r="B84" s="20" t="n"/>
      <c r="C84" s="63">
        <f>IF(G84="","",DAY(G84))</f>
        <v/>
      </c>
      <c r="D84" s="63">
        <f>IF(G84="","",MONTH(G84))</f>
        <v/>
      </c>
      <c r="E84" s="63">
        <f>IF(G84="","",YEAR(G84))</f>
        <v/>
      </c>
      <c r="F84" s="33">
        <f>IF(G84="","",CHOOSE(MONTH(G84),"Janeiro","Fevereiro","Março","Abril","Maio","Junho","Julho","Agosto","Setembro","Outubro","Novembro","Dezembro"))</f>
        <v/>
      </c>
      <c r="G84" s="64" t="n">
        <v>46056</v>
      </c>
      <c r="H84" s="65" t="n">
        <v>0.03100694444444444</v>
      </c>
      <c r="I84" s="66" t="inlineStr">
        <is>
          <t>https://docs.google.com/spreadsheets/d/1ZiCGoPjLCjuYvujDTXK9Ixbth3tekiLtFBzBrGjPCr4/edit?gid=0#gid=0</t>
        </is>
      </c>
      <c r="J84" s="67" t="inlineStr">
        <is>
          <t>Taxa de Limpeza, Reembolsado ao cliente - [TXLR]</t>
        </is>
      </c>
      <c r="K84" s="67" t="inlineStr"/>
      <c r="L84" s="68" t="b">
        <v>0</v>
      </c>
      <c r="M84" s="20" t="n"/>
      <c r="N84" s="69">
        <f>IF($J84="","",IFERROR(INDEX(B!$F$2:$F$61,MATCH($J84,B!$E$2:$E$61,0))&amp;"",""))</f>
        <v/>
      </c>
      <c r="O84" s="69">
        <f>IF($J84="","",IFERROR(INDEX(B!$G$2:$G$61,MATCH($J84,B!$E$2:$E$61,0))&amp;"",""))</f>
        <v/>
      </c>
      <c r="P84" s="69">
        <f>IF($J84="","",IFERROR(INDEX(B!$H$2:$H$61,MATCH($J84,B!$E$2:$E$61,0))&amp;"",""))</f>
        <v/>
      </c>
      <c r="Q84" s="69">
        <f>IF($J84="","",IFERROR(INDEX(B!$I$2:$I$61,MATCH($J84,B!$E$2:$E$61,0))&amp;"",""))</f>
        <v/>
      </c>
      <c r="R84" s="69">
        <f>IF($J84="","",IFERROR(INDEX(B!$J$2:$J$61,MATCH($J84,B!$E$2:$E$61,0))&amp;"",""))</f>
        <v/>
      </c>
      <c r="S84" s="69">
        <f>IF($J84="","",IFERROR(INDEX(B!$K$2:$K$61,MATCH($J84,B!$E$2:$E$61,0))&amp;"",""))</f>
        <v/>
      </c>
      <c r="T84" s="69">
        <f>IF($J84="","",IFERROR(INDEX(B!$L$2:$L$61,MATCH($J84,B!$E$2:$E$61,0))&amp;"",""))</f>
        <v/>
      </c>
      <c r="U84" s="20" t="n"/>
      <c r="V84" s="70">
        <f>IF($J84="","",IFERROR(INDEX(B!$M$2:$M$61,MATCH($J84,B!$E$2:$E$61,0))&amp;"",""))</f>
        <v/>
      </c>
      <c r="W84" s="71">
        <f>IF(I84="","",IFERROR(MID(I84,FIND("/d/",I84)+3,FIND("/edit",I84)-FIND("/d/",I84)-3),I84))</f>
        <v/>
      </c>
      <c r="X84" s="71">
        <f>IF($J84="","",IFERROR(INDEX(B!$C$2:$C$61,MATCH($J84,B!$E$2:$E$61,0))&amp;"",""))</f>
        <v/>
      </c>
      <c r="Y84" s="20" t="n"/>
      <c r="Z84" s="72">
        <f>IF($J84="",FALSE,ISNUMBER(SEARCH("scout",$K84)))</f>
        <v/>
      </c>
      <c r="AA84" s="72">
        <f>IF($J84="",FALSE,IFERROR(INDEX(B!$N$2:$N$61,MATCH($J84,B!$E$2:$E$61,0))="Sim",FALSE))</f>
        <v/>
      </c>
      <c r="AB84" s="72">
        <f>IF($J84="",FALSE,LEFT($X84,2)="XX")</f>
        <v/>
      </c>
      <c r="AC84" s="72">
        <f>IF($J84="",FALSE,IFERROR(INDEX(B!$P$2:$P$61,MATCH($J84,B!$E$2:$E$61,0))="Sim",FALSE))</f>
        <v/>
      </c>
      <c r="AD84" s="20" t="n"/>
      <c r="AE84" s="52">
        <f>IF(H84="","",HOUR(H84))</f>
        <v/>
      </c>
      <c r="AF84" s="52" t="n"/>
    </row>
    <row r="85" ht="19.5" customHeight="1" s="58">
      <c r="A85" s="62">
        <f>IF(G85="","",IF(G85=G84,"",COUNTIF($G$3:$G$976,G85)))</f>
        <v/>
      </c>
      <c r="B85" s="20" t="n"/>
      <c r="C85" s="63">
        <f>IF(G85="","",DAY(G85))</f>
        <v/>
      </c>
      <c r="D85" s="63">
        <f>IF(G85="","",MONTH(G85))</f>
        <v/>
      </c>
      <c r="E85" s="63">
        <f>IF(G85="","",YEAR(G85))</f>
        <v/>
      </c>
      <c r="F85" s="33">
        <f>IF(G85="","",CHOOSE(MONTH(G85),"Janeiro","Fevereiro","Março","Abril","Maio","Junho","Julho","Agosto","Setembro","Outubro","Novembro","Dezembro"))</f>
        <v/>
      </c>
      <c r="G85" s="64" t="n">
        <v>46056</v>
      </c>
      <c r="H85" s="65" t="n">
        <v>0.03157407407407407</v>
      </c>
      <c r="I85" s="66" t="inlineStr">
        <is>
          <t>https://docs.google.com/spreadsheets/d/1ZiCGoPjLCjuYvujDTXK9Ixbth3tekiLtFBzBrGjPCr4/edit?gid=0#gid=0</t>
        </is>
      </c>
      <c r="J85" s="67" t="inlineStr">
        <is>
          <t>Taxa de Limpeza - [TXL]</t>
        </is>
      </c>
      <c r="K85" s="67" t="inlineStr"/>
      <c r="L85" s="68" t="b">
        <v>0</v>
      </c>
      <c r="M85" s="20" t="n"/>
      <c r="N85" s="69">
        <f>IF($J85="","",IFERROR(INDEX(B!$F$2:$F$61,MATCH($J85,B!$E$2:$E$61,0))&amp;"",""))</f>
        <v/>
      </c>
      <c r="O85" s="69">
        <f>IF($J85="","",IFERROR(INDEX(B!$G$2:$G$61,MATCH($J85,B!$E$2:$E$61,0))&amp;"",""))</f>
        <v/>
      </c>
      <c r="P85" s="69">
        <f>IF($J85="","",IFERROR(INDEX(B!$H$2:$H$61,MATCH($J85,B!$E$2:$E$61,0))&amp;"",""))</f>
        <v/>
      </c>
      <c r="Q85" s="69">
        <f>IF($J85="","",IFERROR(INDEX(B!$I$2:$I$61,MATCH($J85,B!$E$2:$E$61,0))&amp;"",""))</f>
        <v/>
      </c>
      <c r="R85" s="69">
        <f>IF($J85="","",IFERROR(INDEX(B!$J$2:$J$61,MATCH($J85,B!$E$2:$E$61,0))&amp;"",""))</f>
        <v/>
      </c>
      <c r="S85" s="69">
        <f>IF($J85="","",IFERROR(INDEX(B!$K$2:$K$61,MATCH($J85,B!$E$2:$E$61,0))&amp;"",""))</f>
        <v/>
      </c>
      <c r="T85" s="69">
        <f>IF($J85="","",IFERROR(INDEX(B!$L$2:$L$61,MATCH($J85,B!$E$2:$E$61,0))&amp;"",""))</f>
        <v/>
      </c>
      <c r="U85" s="20" t="n"/>
      <c r="V85" s="70">
        <f>IF($J85="","",IFERROR(INDEX(B!$M$2:$M$61,MATCH($J85,B!$E$2:$E$61,0))&amp;"",""))</f>
        <v/>
      </c>
      <c r="W85" s="71">
        <f>IF(I85="","",IFERROR(MID(I85,FIND("/d/",I85)+3,FIND("/edit",I85)-FIND("/d/",I85)-3),I85))</f>
        <v/>
      </c>
      <c r="X85" s="71">
        <f>IF($J85="","",IFERROR(INDEX(B!$C$2:$C$61,MATCH($J85,B!$E$2:$E$61,0))&amp;"",""))</f>
        <v/>
      </c>
      <c r="Y85" s="20" t="n"/>
      <c r="Z85" s="72">
        <f>IF($J85="",FALSE,ISNUMBER(SEARCH("scout",$K85)))</f>
        <v/>
      </c>
      <c r="AA85" s="72">
        <f>IF($J85="",FALSE,IFERROR(INDEX(B!$N$2:$N$61,MATCH($J85,B!$E$2:$E$61,0))="Sim",FALSE))</f>
        <v/>
      </c>
      <c r="AB85" s="72">
        <f>IF($J85="",FALSE,LEFT($X85,2)="XX")</f>
        <v/>
      </c>
      <c r="AC85" s="72">
        <f>IF($J85="",FALSE,IFERROR(INDEX(B!$P$2:$P$61,MATCH($J85,B!$E$2:$E$61,0))="Sim",FALSE))</f>
        <v/>
      </c>
      <c r="AD85" s="20" t="n"/>
      <c r="AE85" s="52">
        <f>IF(H85="","",HOUR(H85))</f>
        <v/>
      </c>
      <c r="AF85" s="52" t="n"/>
    </row>
    <row r="86" ht="19.5" customHeight="1" s="58">
      <c r="A86" s="62">
        <f>IF(G86="","",IF(G86=G85,"",COUNTIF($G$3:$G$976,G86)))</f>
        <v/>
      </c>
      <c r="B86" s="20" t="n"/>
      <c r="C86" s="63">
        <f>IF(G86="","",DAY(G86))</f>
        <v/>
      </c>
      <c r="D86" s="63">
        <f>IF(G86="","",MONTH(G86))</f>
        <v/>
      </c>
      <c r="E86" s="63">
        <f>IF(G86="","",YEAR(G86))</f>
        <v/>
      </c>
      <c r="F86" s="33">
        <f>IF(G86="","",CHOOSE(MONTH(G86),"Janeiro","Fevereiro","Março","Abril","Maio","Junho","Julho","Agosto","Setembro","Outubro","Novembro","Dezembro"))</f>
        <v/>
      </c>
      <c r="G86" s="64" t="n">
        <v>46056</v>
      </c>
      <c r="H86" s="65" t="n">
        <v>0.03465277777777778</v>
      </c>
      <c r="I86" s="66" t="inlineStr">
        <is>
          <t>https://docs.google.com/spreadsheets/d/1ZiCGoPjLCjuYvujDTXK9Ixbth3tekiLtFBzBrGjPCr4/edit?gid=0#gid=0</t>
        </is>
      </c>
      <c r="J86" s="67" t="inlineStr">
        <is>
          <t>Taxa de Limpeza, Sem ajustes - [TXLO]</t>
        </is>
      </c>
      <c r="K86" s="67" t="inlineStr"/>
      <c r="L86" s="68" t="b">
        <v>0</v>
      </c>
      <c r="M86" s="20" t="n"/>
      <c r="N86" s="69">
        <f>IF($J86="","",IFERROR(INDEX(B!$F$2:$F$61,MATCH($J86,B!$E$2:$E$61,0))&amp;"",""))</f>
        <v/>
      </c>
      <c r="O86" s="69">
        <f>IF($J86="","",IFERROR(INDEX(B!$G$2:$G$61,MATCH($J86,B!$E$2:$E$61,0))&amp;"",""))</f>
        <v/>
      </c>
      <c r="P86" s="69">
        <f>IF($J86="","",IFERROR(INDEX(B!$H$2:$H$61,MATCH($J86,B!$E$2:$E$61,0))&amp;"",""))</f>
        <v/>
      </c>
      <c r="Q86" s="69">
        <f>IF($J86="","",IFERROR(INDEX(B!$I$2:$I$61,MATCH($J86,B!$E$2:$E$61,0))&amp;"",""))</f>
        <v/>
      </c>
      <c r="R86" s="69">
        <f>IF($J86="","",IFERROR(INDEX(B!$J$2:$J$61,MATCH($J86,B!$E$2:$E$61,0))&amp;"",""))</f>
        <v/>
      </c>
      <c r="S86" s="69">
        <f>IF($J86="","",IFERROR(INDEX(B!$K$2:$K$61,MATCH($J86,B!$E$2:$E$61,0))&amp;"",""))</f>
        <v/>
      </c>
      <c r="T86" s="69">
        <f>IF($J86="","",IFERROR(INDEX(B!$L$2:$L$61,MATCH($J86,B!$E$2:$E$61,0))&amp;"",""))</f>
        <v/>
      </c>
      <c r="U86" s="20" t="n"/>
      <c r="V86" s="70">
        <f>IF($J86="","",IFERROR(INDEX(B!$M$2:$M$61,MATCH($J86,B!$E$2:$E$61,0))&amp;"",""))</f>
        <v/>
      </c>
      <c r="W86" s="71">
        <f>IF(I86="","",IFERROR(MID(I86,FIND("/d/",I86)+3,FIND("/edit",I86)-FIND("/d/",I86)-3),I86))</f>
        <v/>
      </c>
      <c r="X86" s="71">
        <f>IF($J86="","",IFERROR(INDEX(B!$C$2:$C$61,MATCH($J86,B!$E$2:$E$61,0))&amp;"",""))</f>
        <v/>
      </c>
      <c r="Y86" s="20" t="n"/>
      <c r="Z86" s="72">
        <f>IF($J86="",FALSE,ISNUMBER(SEARCH("scout",$K86)))</f>
        <v/>
      </c>
      <c r="AA86" s="72">
        <f>IF($J86="",FALSE,IFERROR(INDEX(B!$N$2:$N$61,MATCH($J86,B!$E$2:$E$61,0))="Sim",FALSE))</f>
        <v/>
      </c>
      <c r="AB86" s="72">
        <f>IF($J86="",FALSE,LEFT($X86,2)="XX")</f>
        <v/>
      </c>
      <c r="AC86" s="72">
        <f>IF($J86="",FALSE,IFERROR(INDEX(B!$P$2:$P$61,MATCH($J86,B!$E$2:$E$61,0))="Sim",FALSE))</f>
        <v/>
      </c>
      <c r="AD86" s="20" t="n"/>
      <c r="AE86" s="52">
        <f>IF(H86="","",HOUR(H86))</f>
        <v/>
      </c>
      <c r="AF86" s="52" t="n"/>
    </row>
    <row r="87" ht="19.5" customHeight="1" s="58">
      <c r="A87" s="62">
        <f>IF(G87="","",IF(G87=G86,"",COUNTIF($G$3:$G$976,G87)))</f>
        <v/>
      </c>
      <c r="B87" s="20" t="n"/>
      <c r="C87" s="63">
        <f>IF(G87="","",DAY(G87))</f>
        <v/>
      </c>
      <c r="D87" s="63">
        <f>IF(G87="","",MONTH(G87))</f>
        <v/>
      </c>
      <c r="E87" s="63">
        <f>IF(G87="","",YEAR(G87))</f>
        <v/>
      </c>
      <c r="F87" s="33">
        <f>IF(G87="","",CHOOSE(MONTH(G87),"Janeiro","Fevereiro","Março","Abril","Maio","Junho","Julho","Agosto","Setembro","Outubro","Novembro","Dezembro"))</f>
        <v/>
      </c>
      <c r="G87" s="64" t="n">
        <v>46056</v>
      </c>
      <c r="H87" s="65" t="n">
        <v>0.03582175925925926</v>
      </c>
      <c r="I87" s="66" t="inlineStr">
        <is>
          <t>https://docs.google.com/spreadsheets/d/1ZiCGoPjLCjuYvujDTXK9Ixbth3tekiLtFBzBrGjPCr4/edit?gid=0#gid=0</t>
        </is>
      </c>
      <c r="J87" s="67" t="inlineStr">
        <is>
          <t>Trajeto Ruim - [TR]</t>
        </is>
      </c>
      <c r="K87" s="67" t="inlineStr"/>
      <c r="L87" s="68" t="b">
        <v>0</v>
      </c>
      <c r="M87" s="20" t="n"/>
      <c r="N87" s="69">
        <f>IF($J87="","",IFERROR(INDEX(B!$F$2:$F$61,MATCH($J87,B!$E$2:$E$61,0))&amp;"",""))</f>
        <v/>
      </c>
      <c r="O87" s="69">
        <f>IF($J87="","",IFERROR(INDEX(B!$G$2:$G$61,MATCH($J87,B!$E$2:$E$61,0))&amp;"",""))</f>
        <v/>
      </c>
      <c r="P87" s="69">
        <f>IF($J87="","",IFERROR(INDEX(B!$H$2:$H$61,MATCH($J87,B!$E$2:$E$61,0))&amp;"",""))</f>
        <v/>
      </c>
      <c r="Q87" s="69">
        <f>IF($J87="","",IFERROR(INDEX(B!$I$2:$I$61,MATCH($J87,B!$E$2:$E$61,0))&amp;"",""))</f>
        <v/>
      </c>
      <c r="R87" s="69">
        <f>IF($J87="","",IFERROR(INDEX(B!$J$2:$J$61,MATCH($J87,B!$E$2:$E$61,0))&amp;"",""))</f>
        <v/>
      </c>
      <c r="S87" s="69">
        <f>IF($J87="","",IFERROR(INDEX(B!$K$2:$K$61,MATCH($J87,B!$E$2:$E$61,0))&amp;"",""))</f>
        <v/>
      </c>
      <c r="T87" s="69">
        <f>IF($J87="","",IFERROR(INDEX(B!$L$2:$L$61,MATCH($J87,B!$E$2:$E$61,0))&amp;"",""))</f>
        <v/>
      </c>
      <c r="U87" s="20" t="n"/>
      <c r="V87" s="70">
        <f>IF($J87="","",IFERROR(INDEX(B!$M$2:$M$61,MATCH($J87,B!$E$2:$E$61,0))&amp;"",""))</f>
        <v/>
      </c>
      <c r="W87" s="71">
        <f>IF(I87="","",IFERROR(MID(I87,FIND("/d/",I87)+3,FIND("/edit",I87)-FIND("/d/",I87)-3),I87))</f>
        <v/>
      </c>
      <c r="X87" s="71">
        <f>IF($J87="","",IFERROR(INDEX(B!$C$2:$C$61,MATCH($J87,B!$E$2:$E$61,0))&amp;"",""))</f>
        <v/>
      </c>
      <c r="Y87" s="20" t="n"/>
      <c r="Z87" s="72">
        <f>IF($J87="",FALSE,ISNUMBER(SEARCH("scout",$K87)))</f>
        <v/>
      </c>
      <c r="AA87" s="72">
        <f>IF($J87="",FALSE,IFERROR(INDEX(B!$N$2:$N$61,MATCH($J87,B!$E$2:$E$61,0))="Sim",FALSE))</f>
        <v/>
      </c>
      <c r="AB87" s="72">
        <f>IF($J87="",FALSE,LEFT($X87,2)="XX")</f>
        <v/>
      </c>
      <c r="AC87" s="72">
        <f>IF($J87="",FALSE,IFERROR(INDEX(B!$P$2:$P$61,MATCH($J87,B!$E$2:$E$61,0))="Sim",FALSE))</f>
        <v/>
      </c>
      <c r="AD87" s="20" t="n"/>
      <c r="AE87" s="52">
        <f>IF(H87="","",HOUR(H87))</f>
        <v/>
      </c>
      <c r="AF87" s="52" t="n"/>
    </row>
    <row r="88" ht="19.5" customHeight="1" s="58">
      <c r="A88" s="62">
        <f>IF(G88="","",IF(G88=G87,"",COUNTIF($G$3:$G$976,G88)))</f>
        <v/>
      </c>
      <c r="B88" s="20" t="n"/>
      <c r="C88" s="63">
        <f>IF(G88="","",DAY(G88))</f>
        <v/>
      </c>
      <c r="D88" s="63">
        <f>IF(G88="","",MONTH(G88))</f>
        <v/>
      </c>
      <c r="E88" s="63">
        <f>IF(G88="","",YEAR(G88))</f>
        <v/>
      </c>
      <c r="F88" s="33">
        <f>IF(G88="","",CHOOSE(MONTH(G88),"Janeiro","Fevereiro","Março","Abril","Maio","Junho","Julho","Agosto","Setembro","Outubro","Novembro","Dezembro"))</f>
        <v/>
      </c>
      <c r="G88" s="64" t="n">
        <v>46056</v>
      </c>
      <c r="H88" s="65" t="n">
        <v>0.03650462962962963</v>
      </c>
      <c r="I88" s="66" t="inlineStr">
        <is>
          <t>https://docs.google.com/spreadsheets/d/1ZiCGoPjLCjuYvujDTXK9Ixbth3tekiLtFBzBrGjPCr4/edit?gid=0#gid=0</t>
        </is>
      </c>
      <c r="J88" s="67" t="inlineStr">
        <is>
          <t>Transferência de LOB (Safety) - [TIST]</t>
        </is>
      </c>
      <c r="K88" s="67" t="inlineStr"/>
      <c r="L88" s="68" t="b">
        <v>0</v>
      </c>
      <c r="M88" s="20" t="n"/>
      <c r="N88" s="69">
        <f>IF($J88="","",IFERROR(INDEX(B!$F$2:$F$61,MATCH($J88,B!$E$2:$E$61,0))&amp;"",""))</f>
        <v/>
      </c>
      <c r="O88" s="69">
        <f>IF($J88="","",IFERROR(INDEX(B!$G$2:$G$61,MATCH($J88,B!$E$2:$E$61,0))&amp;"",""))</f>
        <v/>
      </c>
      <c r="P88" s="69">
        <f>IF($J88="","",IFERROR(INDEX(B!$H$2:$H$61,MATCH($J88,B!$E$2:$E$61,0))&amp;"",""))</f>
        <v/>
      </c>
      <c r="Q88" s="69">
        <f>IF($J88="","",IFERROR(INDEX(B!$I$2:$I$61,MATCH($J88,B!$E$2:$E$61,0))&amp;"",""))</f>
        <v/>
      </c>
      <c r="R88" s="69">
        <f>IF($J88="","",IFERROR(INDEX(B!$J$2:$J$61,MATCH($J88,B!$E$2:$E$61,0))&amp;"",""))</f>
        <v/>
      </c>
      <c r="S88" s="69">
        <f>IF($J88="","",IFERROR(INDEX(B!$K$2:$K$61,MATCH($J88,B!$E$2:$E$61,0))&amp;"",""))</f>
        <v/>
      </c>
      <c r="T88" s="69">
        <f>IF($J88="","",IFERROR(INDEX(B!$L$2:$L$61,MATCH($J88,B!$E$2:$E$61,0))&amp;"",""))</f>
        <v/>
      </c>
      <c r="U88" s="20" t="n"/>
      <c r="V88" s="70">
        <f>IF($J88="","",IFERROR(INDEX(B!$M$2:$M$61,MATCH($J88,B!$E$2:$E$61,0))&amp;"",""))</f>
        <v/>
      </c>
      <c r="W88" s="71">
        <f>IF(I88="","",IFERROR(MID(I88,FIND("/d/",I88)+3,FIND("/edit",I88)-FIND("/d/",I88)-3),I88))</f>
        <v/>
      </c>
      <c r="X88" s="71">
        <f>IF($J88="","",IFERROR(INDEX(B!$C$2:$C$61,MATCH($J88,B!$E$2:$E$61,0))&amp;"",""))</f>
        <v/>
      </c>
      <c r="Y88" s="20" t="n"/>
      <c r="Z88" s="72">
        <f>IF($J88="",FALSE,ISNUMBER(SEARCH("scout",$K88)))</f>
        <v/>
      </c>
      <c r="AA88" s="72">
        <f>IF($J88="",FALSE,IFERROR(INDEX(B!$N$2:$N$61,MATCH($J88,B!$E$2:$E$61,0))="Sim",FALSE))</f>
        <v/>
      </c>
      <c r="AB88" s="72">
        <f>IF($J88="",FALSE,LEFT($X88,2)="XX")</f>
        <v/>
      </c>
      <c r="AC88" s="72">
        <f>IF($J88="",FALSE,IFERROR(INDEX(B!$P$2:$P$61,MATCH($J88,B!$E$2:$E$61,0))="Sim",FALSE))</f>
        <v/>
      </c>
      <c r="AD88" s="20" t="n"/>
      <c r="AE88" s="52">
        <f>IF(H88="","",HOUR(H88))</f>
        <v/>
      </c>
      <c r="AF88" s="52" t="n"/>
    </row>
    <row r="89" ht="19.5" customHeight="1" s="58">
      <c r="A89" s="62">
        <f>IF(G89="","",IF(G89=G88,"",COUNTIF($G$3:$G$976,G89)))</f>
        <v/>
      </c>
      <c r="B89" s="20" t="n"/>
      <c r="C89" s="63">
        <f>IF(G89="","",DAY(G89))</f>
        <v/>
      </c>
      <c r="D89" s="63">
        <f>IF(G89="","",MONTH(G89))</f>
        <v/>
      </c>
      <c r="E89" s="63">
        <f>IF(G89="","",YEAR(G89))</f>
        <v/>
      </c>
      <c r="F89" s="33">
        <f>IF(G89="","",CHOOSE(MONTH(G89),"Janeiro","Fevereiro","Março","Abril","Maio","Junho","Julho","Agosto","Setembro","Outubro","Novembro","Dezembro"))</f>
        <v/>
      </c>
      <c r="G89" s="64" t="n">
        <v>46056</v>
      </c>
      <c r="H89" s="65" t="n">
        <v>0.0434375</v>
      </c>
      <c r="I89" s="66" t="inlineStr">
        <is>
          <t>https://docs.google.com/spreadsheets/d/1ZiCGoPjLCjuYvujDTXK9Ixbth3tekiLtFBzBrGjPCr4/edit?gid=0#gid=0</t>
        </is>
      </c>
      <c r="J89" s="67" t="inlineStr">
        <is>
          <t>Erro de Gps (Problema Técnico) - [GPS]</t>
        </is>
      </c>
      <c r="K89" s="67" t="inlineStr"/>
      <c r="L89" s="68" t="b">
        <v>0</v>
      </c>
      <c r="M89" s="20" t="n"/>
      <c r="N89" s="69">
        <f>IF($J89="","",IFERROR(INDEX(B!$F$2:$F$61,MATCH($J89,B!$E$2:$E$61,0))&amp;"",""))</f>
        <v/>
      </c>
      <c r="O89" s="69">
        <f>IF($J89="","",IFERROR(INDEX(B!$G$2:$G$61,MATCH($J89,B!$E$2:$E$61,0))&amp;"",""))</f>
        <v/>
      </c>
      <c r="P89" s="69">
        <f>IF($J89="","",IFERROR(INDEX(B!$H$2:$H$61,MATCH($J89,B!$E$2:$E$61,0))&amp;"",""))</f>
        <v/>
      </c>
      <c r="Q89" s="69">
        <f>IF($J89="","",IFERROR(INDEX(B!$I$2:$I$61,MATCH($J89,B!$E$2:$E$61,0))&amp;"",""))</f>
        <v/>
      </c>
      <c r="R89" s="69">
        <f>IF($J89="","",IFERROR(INDEX(B!$J$2:$J$61,MATCH($J89,B!$E$2:$E$61,0))&amp;"",""))</f>
        <v/>
      </c>
      <c r="S89" s="69">
        <f>IF($J89="","",IFERROR(INDEX(B!$K$2:$K$61,MATCH($J89,B!$E$2:$E$61,0))&amp;"",""))</f>
        <v/>
      </c>
      <c r="T89" s="69">
        <f>IF($J89="","",IFERROR(INDEX(B!$L$2:$L$61,MATCH($J89,B!$E$2:$E$61,0))&amp;"",""))</f>
        <v/>
      </c>
      <c r="U89" s="20" t="n"/>
      <c r="V89" s="70">
        <f>IF($J89="","",IFERROR(INDEX(B!$M$2:$M$61,MATCH($J89,B!$E$2:$E$61,0))&amp;"",""))</f>
        <v/>
      </c>
      <c r="W89" s="71">
        <f>IF(I89="","",IFERROR(MID(I89,FIND("/d/",I89)+3,FIND("/edit",I89)-FIND("/d/",I89)-3),I89))</f>
        <v/>
      </c>
      <c r="X89" s="71">
        <f>IF($J89="","",IFERROR(INDEX(B!$C$2:$C$61,MATCH($J89,B!$E$2:$E$61,0))&amp;"",""))</f>
        <v/>
      </c>
      <c r="Y89" s="20" t="n"/>
      <c r="Z89" s="72">
        <f>IF($J89="",FALSE,ISNUMBER(SEARCH("scout",$K89)))</f>
        <v/>
      </c>
      <c r="AA89" s="72">
        <f>IF($J89="",FALSE,IFERROR(INDEX(B!$N$2:$N$61,MATCH($J89,B!$E$2:$E$61,0))="Sim",FALSE))</f>
        <v/>
      </c>
      <c r="AB89" s="72">
        <f>IF($J89="",FALSE,LEFT($X89,2)="XX")</f>
        <v/>
      </c>
      <c r="AC89" s="72">
        <f>IF($J89="",FALSE,IFERROR(INDEX(B!$P$2:$P$61,MATCH($J89,B!$E$2:$E$61,0))="Sim",FALSE))</f>
        <v/>
      </c>
      <c r="AD89" s="20" t="n"/>
      <c r="AE89" s="52">
        <f>IF(H89="","",HOUR(H89))</f>
        <v/>
      </c>
      <c r="AF89" s="52" t="n"/>
    </row>
    <row r="90" ht="19.5" customHeight="1" s="58">
      <c r="A90" s="62">
        <f>IF(G90="","",IF(G90=G89,"",COUNTIF($G$3:$G$976,G90)))</f>
        <v/>
      </c>
      <c r="B90" s="20" t="n"/>
      <c r="C90" s="63">
        <f>IF(G90="","",DAY(G90))</f>
        <v/>
      </c>
      <c r="D90" s="63">
        <f>IF(G90="","",MONTH(G90))</f>
        <v/>
      </c>
      <c r="E90" s="63">
        <f>IF(G90="","",YEAR(G90))</f>
        <v/>
      </c>
      <c r="F90" s="33">
        <f>IF(G90="","",CHOOSE(MONTH(G90),"Janeiro","Fevereiro","Março","Abril","Maio","Junho","Julho","Agosto","Setembro","Outubro","Novembro","Dezembro"))</f>
        <v/>
      </c>
      <c r="G90" s="64" t="n">
        <v>46056</v>
      </c>
      <c r="H90" s="65" t="n">
        <v>0.04971064814814815</v>
      </c>
      <c r="I90" s="66" t="inlineStr">
        <is>
          <t>https://docs.google.com/spreadsheets/d/1ZiCGoPjLCjuYvujDTXK9Ixbth3tekiLtFBzBrGjPCr4/edit?gid=0#gid=0</t>
        </is>
      </c>
      <c r="J90" s="67" t="inlineStr">
        <is>
          <t>Trajeto Ruim - [TR]</t>
        </is>
      </c>
      <c r="K90" s="67" t="inlineStr"/>
      <c r="L90" s="68" t="b">
        <v>0</v>
      </c>
      <c r="M90" s="20" t="n"/>
      <c r="N90" s="69">
        <f>IF($J90="","",IFERROR(INDEX(B!$F$2:$F$61,MATCH($J90,B!$E$2:$E$61,0))&amp;"",""))</f>
        <v/>
      </c>
      <c r="O90" s="69">
        <f>IF($J90="","",IFERROR(INDEX(B!$G$2:$G$61,MATCH($J90,B!$E$2:$E$61,0))&amp;"",""))</f>
        <v/>
      </c>
      <c r="P90" s="69">
        <f>IF($J90="","",IFERROR(INDEX(B!$H$2:$H$61,MATCH($J90,B!$E$2:$E$61,0))&amp;"",""))</f>
        <v/>
      </c>
      <c r="Q90" s="69">
        <f>IF($J90="","",IFERROR(INDEX(B!$I$2:$I$61,MATCH($J90,B!$E$2:$E$61,0))&amp;"",""))</f>
        <v/>
      </c>
      <c r="R90" s="69">
        <f>IF($J90="","",IFERROR(INDEX(B!$J$2:$J$61,MATCH($J90,B!$E$2:$E$61,0))&amp;"",""))</f>
        <v/>
      </c>
      <c r="S90" s="69">
        <f>IF($J90="","",IFERROR(INDEX(B!$K$2:$K$61,MATCH($J90,B!$E$2:$E$61,0))&amp;"",""))</f>
        <v/>
      </c>
      <c r="T90" s="69">
        <f>IF($J90="","",IFERROR(INDEX(B!$L$2:$L$61,MATCH($J90,B!$E$2:$E$61,0))&amp;"",""))</f>
        <v/>
      </c>
      <c r="U90" s="20" t="n"/>
      <c r="V90" s="70">
        <f>IF($J90="","",IFERROR(INDEX(B!$M$2:$M$61,MATCH($J90,B!$E$2:$E$61,0))&amp;"",""))</f>
        <v/>
      </c>
      <c r="W90" s="71">
        <f>IF(I90="","",IFERROR(MID(I90,FIND("/d/",I90)+3,FIND("/edit",I90)-FIND("/d/",I90)-3),I90))</f>
        <v/>
      </c>
      <c r="X90" s="71">
        <f>IF($J90="","",IFERROR(INDEX(B!$C$2:$C$61,MATCH($J90,B!$E$2:$E$61,0))&amp;"",""))</f>
        <v/>
      </c>
      <c r="Y90" s="20" t="n"/>
      <c r="Z90" s="72">
        <f>IF($J90="",FALSE,ISNUMBER(SEARCH("scout",$K90)))</f>
        <v/>
      </c>
      <c r="AA90" s="72">
        <f>IF($J90="",FALSE,IFERROR(INDEX(B!$N$2:$N$61,MATCH($J90,B!$E$2:$E$61,0))="Sim",FALSE))</f>
        <v/>
      </c>
      <c r="AB90" s="72">
        <f>IF($J90="",FALSE,LEFT($X90,2)="XX")</f>
        <v/>
      </c>
      <c r="AC90" s="72">
        <f>IF($J90="",FALSE,IFERROR(INDEX(B!$P$2:$P$61,MATCH($J90,B!$E$2:$E$61,0))="Sim",FALSE))</f>
        <v/>
      </c>
      <c r="AD90" s="20" t="n"/>
      <c r="AE90" s="52">
        <f>IF(H90="","",HOUR(H90))</f>
        <v/>
      </c>
      <c r="AF90" s="52" t="n"/>
    </row>
    <row r="91" ht="19.5" customHeight="1" s="58">
      <c r="A91" s="62">
        <f>IF(G91="","",IF(G91=G90,"",COUNTIF($G$3:$G$976,G91)))</f>
        <v/>
      </c>
      <c r="B91" s="20" t="n"/>
      <c r="C91" s="63">
        <f>IF(G91="","",DAY(G91))</f>
        <v/>
      </c>
      <c r="D91" s="63">
        <f>IF(G91="","",MONTH(G91))</f>
        <v/>
      </c>
      <c r="E91" s="63">
        <f>IF(G91="","",YEAR(G91))</f>
        <v/>
      </c>
      <c r="F91" s="33">
        <f>IF(G91="","",CHOOSE(MONTH(G91),"Janeiro","Fevereiro","Março","Abril","Maio","Junho","Julho","Agosto","Setembro","Outubro","Novembro","Dezembro"))</f>
        <v/>
      </c>
      <c r="G91" s="64" t="n">
        <v>46056</v>
      </c>
      <c r="H91" s="65" t="n">
        <v>0.05557870370370371</v>
      </c>
      <c r="I91" s="66" t="inlineStr">
        <is>
          <t>https://docs.google.com/spreadsheets/d/1ZiCGoPjLCjuYvujDTXK9Ixbth3tekiLtFBzBrGjPCr4/edit?gid=0#gid=0</t>
        </is>
      </c>
      <c r="J91" s="67" t="inlineStr">
        <is>
          <t>Transferência de LOB (Profissionalismo) - [TIPR]</t>
        </is>
      </c>
      <c r="K91" s="67" t="inlineStr"/>
      <c r="L91" s="68" t="b">
        <v>0</v>
      </c>
      <c r="M91" s="20" t="n"/>
      <c r="N91" s="69">
        <f>IF($J91="","",IFERROR(INDEX(B!$F$2:$F$61,MATCH($J91,B!$E$2:$E$61,0))&amp;"",""))</f>
        <v/>
      </c>
      <c r="O91" s="69">
        <f>IF($J91="","",IFERROR(INDEX(B!$G$2:$G$61,MATCH($J91,B!$E$2:$E$61,0))&amp;"",""))</f>
        <v/>
      </c>
      <c r="P91" s="69">
        <f>IF($J91="","",IFERROR(INDEX(B!$H$2:$H$61,MATCH($J91,B!$E$2:$E$61,0))&amp;"",""))</f>
        <v/>
      </c>
      <c r="Q91" s="69">
        <f>IF($J91="","",IFERROR(INDEX(B!$I$2:$I$61,MATCH($J91,B!$E$2:$E$61,0))&amp;"",""))</f>
        <v/>
      </c>
      <c r="R91" s="69">
        <f>IF($J91="","",IFERROR(INDEX(B!$J$2:$J$61,MATCH($J91,B!$E$2:$E$61,0))&amp;"",""))</f>
        <v/>
      </c>
      <c r="S91" s="69">
        <f>IF($J91="","",IFERROR(INDEX(B!$K$2:$K$61,MATCH($J91,B!$E$2:$E$61,0))&amp;"",""))</f>
        <v/>
      </c>
      <c r="T91" s="69">
        <f>IF($J91="","",IFERROR(INDEX(B!$L$2:$L$61,MATCH($J91,B!$E$2:$E$61,0))&amp;"",""))</f>
        <v/>
      </c>
      <c r="U91" s="20" t="n"/>
      <c r="V91" s="70">
        <f>IF($J91="","",IFERROR(INDEX(B!$M$2:$M$61,MATCH($J91,B!$E$2:$E$61,0))&amp;"",""))</f>
        <v/>
      </c>
      <c r="W91" s="71">
        <f>IF(I91="","",IFERROR(MID(I91,FIND("/d/",I91)+3,FIND("/edit",I91)-FIND("/d/",I91)-3),I91))</f>
        <v/>
      </c>
      <c r="X91" s="71">
        <f>IF($J91="","",IFERROR(INDEX(B!$C$2:$C$61,MATCH($J91,B!$E$2:$E$61,0))&amp;"",""))</f>
        <v/>
      </c>
      <c r="Y91" s="20" t="n"/>
      <c r="Z91" s="72">
        <f>IF($J91="",FALSE,ISNUMBER(SEARCH("scout",$K91)))</f>
        <v/>
      </c>
      <c r="AA91" s="72">
        <f>IF($J91="",FALSE,IFERROR(INDEX(B!$N$2:$N$61,MATCH($J91,B!$E$2:$E$61,0))="Sim",FALSE))</f>
        <v/>
      </c>
      <c r="AB91" s="72">
        <f>IF($J91="",FALSE,LEFT($X91,2)="XX")</f>
        <v/>
      </c>
      <c r="AC91" s="72">
        <f>IF($J91="",FALSE,IFERROR(INDEX(B!$P$2:$P$61,MATCH($J91,B!$E$2:$E$61,0))="Sim",FALSE))</f>
        <v/>
      </c>
      <c r="AD91" s="20" t="n"/>
      <c r="AE91" s="52">
        <f>IF(H91="","",HOUR(H91))</f>
        <v/>
      </c>
      <c r="AF91" s="52" t="n"/>
    </row>
    <row r="92" ht="19.5" customHeight="1" s="58">
      <c r="A92" s="62">
        <f>IF(G92="","",IF(G92=G91,"",COUNTIF($G$3:$G$976,G92)))</f>
        <v/>
      </c>
      <c r="B92" s="20" t="n"/>
      <c r="C92" s="63">
        <f>IF(G92="","",DAY(G92))</f>
        <v/>
      </c>
      <c r="D92" s="63">
        <f>IF(G92="","",MONTH(G92))</f>
        <v/>
      </c>
      <c r="E92" s="63">
        <f>IF(G92="","",YEAR(G92))</f>
        <v/>
      </c>
      <c r="F92" s="33">
        <f>IF(G92="","",CHOOSE(MONTH(G92),"Janeiro","Fevereiro","Março","Abril","Maio","Junho","Julho","Agosto","Setembro","Outubro","Novembro","Dezembro"))</f>
        <v/>
      </c>
      <c r="G92" s="64" t="n">
        <v>46056</v>
      </c>
      <c r="H92" s="65" t="n">
        <v>0.06136574074074074</v>
      </c>
      <c r="I92" s="66" t="inlineStr">
        <is>
          <t>https://docs.google.com/spreadsheets/d/1ZiCGoPjLCjuYvujDTXK9Ixbth3tekiLtFBzBrGjPCr4/edit?gid=0#gid=0</t>
        </is>
      </c>
      <c r="J92" s="67" t="inlineStr">
        <is>
          <t>Evento Raro - [ER]</t>
        </is>
      </c>
      <c r="K92" s="67" t="inlineStr"/>
      <c r="L92" s="68" t="b">
        <v>0</v>
      </c>
      <c r="M92" s="20" t="n"/>
      <c r="N92" s="69">
        <f>IF($J92="","",IFERROR(INDEX(B!$F$2:$F$61,MATCH($J92,B!$E$2:$E$61,0))&amp;"",""))</f>
        <v/>
      </c>
      <c r="O92" s="69">
        <f>IF($J92="","",IFERROR(INDEX(B!$G$2:$G$61,MATCH($J92,B!$E$2:$E$61,0))&amp;"",""))</f>
        <v/>
      </c>
      <c r="P92" s="69">
        <f>IF($J92="","",IFERROR(INDEX(B!$H$2:$H$61,MATCH($J92,B!$E$2:$E$61,0))&amp;"",""))</f>
        <v/>
      </c>
      <c r="Q92" s="69">
        <f>IF($J92="","",IFERROR(INDEX(B!$I$2:$I$61,MATCH($J92,B!$E$2:$E$61,0))&amp;"",""))</f>
        <v/>
      </c>
      <c r="R92" s="69">
        <f>IF($J92="","",IFERROR(INDEX(B!$J$2:$J$61,MATCH($J92,B!$E$2:$E$61,0))&amp;"",""))</f>
        <v/>
      </c>
      <c r="S92" s="69">
        <f>IF($J92="","",IFERROR(INDEX(B!$K$2:$K$61,MATCH($J92,B!$E$2:$E$61,0))&amp;"",""))</f>
        <v/>
      </c>
      <c r="T92" s="69">
        <f>IF($J92="","",IFERROR(INDEX(B!$L$2:$L$61,MATCH($J92,B!$E$2:$E$61,0))&amp;"",""))</f>
        <v/>
      </c>
      <c r="U92" s="20" t="n"/>
      <c r="V92" s="70">
        <f>IF($J92="","",IFERROR(INDEX(B!$M$2:$M$61,MATCH($J92,B!$E$2:$E$61,0))&amp;"",""))</f>
        <v/>
      </c>
      <c r="W92" s="71">
        <f>IF(I92="","",IFERROR(MID(I92,FIND("/d/",I92)+3,FIND("/edit",I92)-FIND("/d/",I92)-3),I92))</f>
        <v/>
      </c>
      <c r="X92" s="71">
        <f>IF($J92="","",IFERROR(INDEX(B!$C$2:$C$61,MATCH($J92,B!$E$2:$E$61,0))&amp;"",""))</f>
        <v/>
      </c>
      <c r="Y92" s="20" t="n"/>
      <c r="Z92" s="72">
        <f>IF($J92="",FALSE,ISNUMBER(SEARCH("scout",$K92)))</f>
        <v/>
      </c>
      <c r="AA92" s="72">
        <f>IF($J92="",FALSE,IFERROR(INDEX(B!$N$2:$N$61,MATCH($J92,B!$E$2:$E$61,0))="Sim",FALSE))</f>
        <v/>
      </c>
      <c r="AB92" s="72">
        <f>IF($J92="",FALSE,LEFT($X92,2)="XX")</f>
        <v/>
      </c>
      <c r="AC92" s="72">
        <f>IF($J92="",FALSE,IFERROR(INDEX(B!$P$2:$P$61,MATCH($J92,B!$E$2:$E$61,0))="Sim",FALSE))</f>
        <v/>
      </c>
      <c r="AD92" s="20" t="n"/>
      <c r="AE92" s="52">
        <f>IF(H92="","",HOUR(H92))</f>
        <v/>
      </c>
      <c r="AF92" s="52" t="n"/>
    </row>
    <row r="93" ht="19.5" customHeight="1" s="58">
      <c r="A93" s="62">
        <f>IF(G93="","",IF(G93=G92,"",COUNTIF($G$3:$G$976,G93)))</f>
        <v/>
      </c>
      <c r="B93" s="20" t="n"/>
      <c r="C93" s="63">
        <f>IF(G93="","",DAY(G93))</f>
        <v/>
      </c>
      <c r="D93" s="63">
        <f>IF(G93="","",MONTH(G93))</f>
        <v/>
      </c>
      <c r="E93" s="63">
        <f>IF(G93="","",YEAR(G93))</f>
        <v/>
      </c>
      <c r="F93" s="33">
        <f>IF(G93="","",CHOOSE(MONTH(G93),"Janeiro","Fevereiro","Março","Abril","Maio","Junho","Julho","Agosto","Setembro","Outubro","Novembro","Dezembro"))</f>
        <v/>
      </c>
      <c r="G93" s="64" t="n">
        <v>46056</v>
      </c>
      <c r="H93" s="65" t="n">
        <v>0.06403935185185185</v>
      </c>
      <c r="I93" s="66" t="inlineStr">
        <is>
          <t>https://docs.google.com/spreadsheets/d/1ZiCGoPjLCjuYvujDTXK9Ixbth3tekiLtFBzBrGjPCr4/edit?gid=0#gid=0</t>
        </is>
      </c>
      <c r="J93" s="67" t="inlineStr">
        <is>
          <t>Transferência de LOB (Accounts) - [TIAC]</t>
        </is>
      </c>
      <c r="K93" s="67" t="inlineStr">
        <is>
          <t>Scout</t>
        </is>
      </c>
      <c r="L93" s="68" t="b">
        <v>0</v>
      </c>
      <c r="M93" s="20" t="n"/>
      <c r="N93" s="69">
        <f>IF($J93="","",IFERROR(INDEX(B!$F$2:$F$61,MATCH($J93,B!$E$2:$E$61,0))&amp;"",""))</f>
        <v/>
      </c>
      <c r="O93" s="69">
        <f>IF($J93="","",IFERROR(INDEX(B!$G$2:$G$61,MATCH($J93,B!$E$2:$E$61,0))&amp;"",""))</f>
        <v/>
      </c>
      <c r="P93" s="69">
        <f>IF($J93="","",IFERROR(INDEX(B!$H$2:$H$61,MATCH($J93,B!$E$2:$E$61,0))&amp;"",""))</f>
        <v/>
      </c>
      <c r="Q93" s="69">
        <f>IF($J93="","",IFERROR(INDEX(B!$I$2:$I$61,MATCH($J93,B!$E$2:$E$61,0))&amp;"",""))</f>
        <v/>
      </c>
      <c r="R93" s="69">
        <f>IF($J93="","",IFERROR(INDEX(B!$J$2:$J$61,MATCH($J93,B!$E$2:$E$61,0))&amp;"",""))</f>
        <v/>
      </c>
      <c r="S93" s="69">
        <f>IF($J93="","",IFERROR(INDEX(B!$K$2:$K$61,MATCH($J93,B!$E$2:$E$61,0))&amp;"",""))</f>
        <v/>
      </c>
      <c r="T93" s="69">
        <f>IF($J93="","",IFERROR(INDEX(B!$L$2:$L$61,MATCH($J93,B!$E$2:$E$61,0))&amp;"",""))</f>
        <v/>
      </c>
      <c r="U93" s="20" t="n"/>
      <c r="V93" s="70">
        <f>IF($J93="","",IFERROR(INDEX(B!$M$2:$M$61,MATCH($J93,B!$E$2:$E$61,0))&amp;"",""))</f>
        <v/>
      </c>
      <c r="W93" s="71">
        <f>IF(I93="","",IFERROR(MID(I93,FIND("/d/",I93)+3,FIND("/edit",I93)-FIND("/d/",I93)-3),I93))</f>
        <v/>
      </c>
      <c r="X93" s="71">
        <f>IF($J93="","",IFERROR(INDEX(B!$C$2:$C$61,MATCH($J93,B!$E$2:$E$61,0))&amp;"",""))</f>
        <v/>
      </c>
      <c r="Y93" s="20" t="n"/>
      <c r="Z93" s="72">
        <f>IF($J93="",FALSE,ISNUMBER(SEARCH("scout",$K93)))</f>
        <v/>
      </c>
      <c r="AA93" s="72">
        <f>IF($J93="",FALSE,IFERROR(INDEX(B!$N$2:$N$61,MATCH($J93,B!$E$2:$E$61,0))="Sim",FALSE))</f>
        <v/>
      </c>
      <c r="AB93" s="72">
        <f>IF($J93="",FALSE,LEFT($X93,2)="XX")</f>
        <v/>
      </c>
      <c r="AC93" s="72">
        <f>IF($J93="",FALSE,IFERROR(INDEX(B!$P$2:$P$61,MATCH($J93,B!$E$2:$E$61,0))="Sim",FALSE))</f>
        <v/>
      </c>
      <c r="AD93" s="20" t="n"/>
      <c r="AE93" s="52">
        <f>IF(H93="","",HOUR(H93))</f>
        <v/>
      </c>
      <c r="AF93" s="52" t="n"/>
    </row>
    <row r="94" ht="19.5" customHeight="1" s="58">
      <c r="A94" s="62">
        <f>IF(G94="","",IF(G94=G93,"",COUNTIF($G$3:$G$976,G94)))</f>
        <v/>
      </c>
      <c r="B94" s="20" t="n"/>
      <c r="C94" s="63">
        <f>IF(G94="","",DAY(G94))</f>
        <v/>
      </c>
      <c r="D94" s="63">
        <f>IF(G94="","",MONTH(G94))</f>
        <v/>
      </c>
      <c r="E94" s="63">
        <f>IF(G94="","",YEAR(G94))</f>
        <v/>
      </c>
      <c r="F94" s="33">
        <f>IF(G94="","",CHOOSE(MONTH(G94),"Janeiro","Fevereiro","Março","Abril","Maio","Junho","Julho","Agosto","Setembro","Outubro","Novembro","Dezembro"))</f>
        <v/>
      </c>
      <c r="G94" s="64" t="n">
        <v>46056</v>
      </c>
      <c r="H94" s="65" t="n">
        <v>0.06700231481481482</v>
      </c>
      <c r="I94" s="66" t="inlineStr">
        <is>
          <t>https://docs.google.com/spreadsheets/d/1ZiCGoPjLCjuYvujDTXK9Ixbth3tekiLtFBzBrGjPCr4/edit?gid=0#gid=0</t>
        </is>
      </c>
      <c r="J94" s="67" t="inlineStr">
        <is>
          <t>Taxa de Limpeza, Sem ajustes - [TXLO]</t>
        </is>
      </c>
      <c r="K94" s="67" t="inlineStr">
        <is>
          <t>Scout</t>
        </is>
      </c>
      <c r="L94" s="68" t="b">
        <v>0</v>
      </c>
      <c r="M94" s="20" t="n"/>
      <c r="N94" s="69">
        <f>IF($J94="","",IFERROR(INDEX(B!$F$2:$F$61,MATCH($J94,B!$E$2:$E$61,0))&amp;"",""))</f>
        <v/>
      </c>
      <c r="O94" s="69">
        <f>IF($J94="","",IFERROR(INDEX(B!$G$2:$G$61,MATCH($J94,B!$E$2:$E$61,0))&amp;"",""))</f>
        <v/>
      </c>
      <c r="P94" s="69">
        <f>IF($J94="","",IFERROR(INDEX(B!$H$2:$H$61,MATCH($J94,B!$E$2:$E$61,0))&amp;"",""))</f>
        <v/>
      </c>
      <c r="Q94" s="69">
        <f>IF($J94="","",IFERROR(INDEX(B!$I$2:$I$61,MATCH($J94,B!$E$2:$E$61,0))&amp;"",""))</f>
        <v/>
      </c>
      <c r="R94" s="69">
        <f>IF($J94="","",IFERROR(INDEX(B!$J$2:$J$61,MATCH($J94,B!$E$2:$E$61,0))&amp;"",""))</f>
        <v/>
      </c>
      <c r="S94" s="69">
        <f>IF($J94="","",IFERROR(INDEX(B!$K$2:$K$61,MATCH($J94,B!$E$2:$E$61,0))&amp;"",""))</f>
        <v/>
      </c>
      <c r="T94" s="69">
        <f>IF($J94="","",IFERROR(INDEX(B!$L$2:$L$61,MATCH($J94,B!$E$2:$E$61,0))&amp;"",""))</f>
        <v/>
      </c>
      <c r="U94" s="20" t="n"/>
      <c r="V94" s="70">
        <f>IF($J94="","",IFERROR(INDEX(B!$M$2:$M$61,MATCH($J94,B!$E$2:$E$61,0))&amp;"",""))</f>
        <v/>
      </c>
      <c r="W94" s="71">
        <f>IF(I94="","",IFERROR(MID(I94,FIND("/d/",I94)+3,FIND("/edit",I94)-FIND("/d/",I94)-3),I94))</f>
        <v/>
      </c>
      <c r="X94" s="71">
        <f>IF($J94="","",IFERROR(INDEX(B!$C$2:$C$61,MATCH($J94,B!$E$2:$E$61,0))&amp;"",""))</f>
        <v/>
      </c>
      <c r="Y94" s="20" t="n"/>
      <c r="Z94" s="72">
        <f>IF($J94="",FALSE,ISNUMBER(SEARCH("scout",$K94)))</f>
        <v/>
      </c>
      <c r="AA94" s="72">
        <f>IF($J94="",FALSE,IFERROR(INDEX(B!$N$2:$N$61,MATCH($J94,B!$E$2:$E$61,0))="Sim",FALSE))</f>
        <v/>
      </c>
      <c r="AB94" s="72">
        <f>IF($J94="",FALSE,LEFT($X94,2)="XX")</f>
        <v/>
      </c>
      <c r="AC94" s="72">
        <f>IF($J94="",FALSE,IFERROR(INDEX(B!$P$2:$P$61,MATCH($J94,B!$E$2:$E$61,0))="Sim",FALSE))</f>
        <v/>
      </c>
      <c r="AD94" s="20" t="n"/>
      <c r="AE94" s="52">
        <f>IF(H94="","",HOUR(H94))</f>
        <v/>
      </c>
      <c r="AF94" s="52" t="n"/>
    </row>
    <row r="95" ht="19.5" customHeight="1" s="58">
      <c r="A95" s="62">
        <f>IF(G95="","",IF(G95=G94,"",COUNTIF($G$3:$G$976,G95)))</f>
        <v/>
      </c>
      <c r="B95" s="20" t="n"/>
      <c r="C95" s="63">
        <f>IF(G95="","",DAY(G95))</f>
        <v/>
      </c>
      <c r="D95" s="63">
        <f>IF(G95="","",MONTH(G95))</f>
        <v/>
      </c>
      <c r="E95" s="63">
        <f>IF(G95="","",YEAR(G95))</f>
        <v/>
      </c>
      <c r="F95" s="33">
        <f>IF(G95="","",CHOOSE(MONTH(G95),"Janeiro","Fevereiro","Março","Abril","Maio","Junho","Julho","Agosto","Setembro","Outubro","Novembro","Dezembro"))</f>
        <v/>
      </c>
      <c r="G95" s="64" t="n">
        <v>46056</v>
      </c>
      <c r="H95" s="65" t="n">
        <v>0.07168981481481482</v>
      </c>
      <c r="I95" s="66" t="inlineStr">
        <is>
          <t>https://docs.google.com/spreadsheets/d/1ZiCGoPjLCjuYvujDTXK9Ixbth3tekiLtFBzBrGjPCr4/edit?gid=0#gid=0</t>
        </is>
      </c>
      <c r="J95" s="67" t="inlineStr">
        <is>
          <t>Erro de Gps (Problema Técnico) - [GPS]</t>
        </is>
      </c>
      <c r="K95" s="67" t="inlineStr"/>
      <c r="L95" s="68" t="b">
        <v>0</v>
      </c>
      <c r="M95" s="20" t="n"/>
      <c r="N95" s="69">
        <f>IF($J95="","",IFERROR(INDEX(B!$F$2:$F$61,MATCH($J95,B!$E$2:$E$61,0))&amp;"",""))</f>
        <v/>
      </c>
      <c r="O95" s="69">
        <f>IF($J95="","",IFERROR(INDEX(B!$G$2:$G$61,MATCH($J95,B!$E$2:$E$61,0))&amp;"",""))</f>
        <v/>
      </c>
      <c r="P95" s="69">
        <f>IF($J95="","",IFERROR(INDEX(B!$H$2:$H$61,MATCH($J95,B!$E$2:$E$61,0))&amp;"",""))</f>
        <v/>
      </c>
      <c r="Q95" s="69">
        <f>IF($J95="","",IFERROR(INDEX(B!$I$2:$I$61,MATCH($J95,B!$E$2:$E$61,0))&amp;"",""))</f>
        <v/>
      </c>
      <c r="R95" s="69">
        <f>IF($J95="","",IFERROR(INDEX(B!$J$2:$J$61,MATCH($J95,B!$E$2:$E$61,0))&amp;"",""))</f>
        <v/>
      </c>
      <c r="S95" s="69">
        <f>IF($J95="","",IFERROR(INDEX(B!$K$2:$K$61,MATCH($J95,B!$E$2:$E$61,0))&amp;"",""))</f>
        <v/>
      </c>
      <c r="T95" s="69">
        <f>IF($J95="","",IFERROR(INDEX(B!$L$2:$L$61,MATCH($J95,B!$E$2:$E$61,0))&amp;"",""))</f>
        <v/>
      </c>
      <c r="U95" s="20" t="n"/>
      <c r="V95" s="70">
        <f>IF($J95="","",IFERROR(INDEX(B!$M$2:$M$61,MATCH($J95,B!$E$2:$E$61,0))&amp;"",""))</f>
        <v/>
      </c>
      <c r="W95" s="71">
        <f>IF(I95="","",IFERROR(MID(I95,FIND("/d/",I95)+3,FIND("/edit",I95)-FIND("/d/",I95)-3),I95))</f>
        <v/>
      </c>
      <c r="X95" s="71">
        <f>IF($J95="","",IFERROR(INDEX(B!$C$2:$C$61,MATCH($J95,B!$E$2:$E$61,0))&amp;"",""))</f>
        <v/>
      </c>
      <c r="Y95" s="20" t="n"/>
      <c r="Z95" s="72">
        <f>IF($J95="",FALSE,ISNUMBER(SEARCH("scout",$K95)))</f>
        <v/>
      </c>
      <c r="AA95" s="72">
        <f>IF($J95="",FALSE,IFERROR(INDEX(B!$N$2:$N$61,MATCH($J95,B!$E$2:$E$61,0))="Sim",FALSE))</f>
        <v/>
      </c>
      <c r="AB95" s="72">
        <f>IF($J95="",FALSE,LEFT($X95,2)="XX")</f>
        <v/>
      </c>
      <c r="AC95" s="72">
        <f>IF($J95="",FALSE,IFERROR(INDEX(B!$P$2:$P$61,MATCH($J95,B!$E$2:$E$61,0))="Sim",FALSE))</f>
        <v/>
      </c>
      <c r="AD95" s="20" t="n"/>
      <c r="AE95" s="52">
        <f>IF(H95="","",HOUR(H95))</f>
        <v/>
      </c>
      <c r="AF95" s="52" t="n"/>
    </row>
    <row r="96" ht="19.5" customHeight="1" s="58">
      <c r="A96" s="62">
        <f>IF(G96="","",IF(G96=G95,"",COUNTIF($G$3:$G$976,G96)))</f>
        <v/>
      </c>
      <c r="B96" s="20" t="n"/>
      <c r="C96" s="63">
        <f>IF(G96="","",DAY(G96))</f>
        <v/>
      </c>
      <c r="D96" s="63">
        <f>IF(G96="","",MONTH(G96))</f>
        <v/>
      </c>
      <c r="E96" s="63">
        <f>IF(G96="","",YEAR(G96))</f>
        <v/>
      </c>
      <c r="F96" s="33">
        <f>IF(G96="","",CHOOSE(MONTH(G96),"Janeiro","Fevereiro","Março","Abril","Maio","Junho","Julho","Agosto","Setembro","Outubro","Novembro","Dezembro"))</f>
        <v/>
      </c>
      <c r="G96" s="64" t="n">
        <v>46056</v>
      </c>
      <c r="H96" s="65" t="n">
        <v>0.08119212962962963</v>
      </c>
      <c r="I96" s="66" t="inlineStr">
        <is>
          <t>https://docs.google.com/spreadsheets/d/1ZiCGoPjLCjuYvujDTXK9Ixbth3tekiLtFBzBrGjPCr4/edit?gid=0#gid=0</t>
        </is>
      </c>
      <c r="J96" s="67" t="inlineStr">
        <is>
          <t>Não houve Taxa de Cancelamento - [NTX]</t>
        </is>
      </c>
      <c r="K96" s="67" t="inlineStr"/>
      <c r="L96" s="68" t="b">
        <v>0</v>
      </c>
      <c r="M96" s="20" t="n"/>
      <c r="N96" s="69">
        <f>IF($J96="","",IFERROR(INDEX(B!$F$2:$F$61,MATCH($J96,B!$E$2:$E$61,0))&amp;"",""))</f>
        <v/>
      </c>
      <c r="O96" s="69">
        <f>IF($J96="","",IFERROR(INDEX(B!$G$2:$G$61,MATCH($J96,B!$E$2:$E$61,0))&amp;"",""))</f>
        <v/>
      </c>
      <c r="P96" s="69">
        <f>IF($J96="","",IFERROR(INDEX(B!$H$2:$H$61,MATCH($J96,B!$E$2:$E$61,0))&amp;"",""))</f>
        <v/>
      </c>
      <c r="Q96" s="69">
        <f>IF($J96="","",IFERROR(INDEX(B!$I$2:$I$61,MATCH($J96,B!$E$2:$E$61,0))&amp;"",""))</f>
        <v/>
      </c>
      <c r="R96" s="69">
        <f>IF($J96="","",IFERROR(INDEX(B!$J$2:$J$61,MATCH($J96,B!$E$2:$E$61,0))&amp;"",""))</f>
        <v/>
      </c>
      <c r="S96" s="69">
        <f>IF($J96="","",IFERROR(INDEX(B!$K$2:$K$61,MATCH($J96,B!$E$2:$E$61,0))&amp;"",""))</f>
        <v/>
      </c>
      <c r="T96" s="69">
        <f>IF($J96="","",IFERROR(INDEX(B!$L$2:$L$61,MATCH($J96,B!$E$2:$E$61,0))&amp;"",""))</f>
        <v/>
      </c>
      <c r="U96" s="20" t="n"/>
      <c r="V96" s="70">
        <f>IF($J96="","",IFERROR(INDEX(B!$M$2:$M$61,MATCH($J96,B!$E$2:$E$61,0))&amp;"",""))</f>
        <v/>
      </c>
      <c r="W96" s="71">
        <f>IF(I96="","",IFERROR(MID(I96,FIND("/d/",I96)+3,FIND("/edit",I96)-FIND("/d/",I96)-3),I96))</f>
        <v/>
      </c>
      <c r="X96" s="71">
        <f>IF($J96="","",IFERROR(INDEX(B!$C$2:$C$61,MATCH($J96,B!$E$2:$E$61,0))&amp;"",""))</f>
        <v/>
      </c>
      <c r="Y96" s="20" t="n"/>
      <c r="Z96" s="72">
        <f>IF($J96="",FALSE,ISNUMBER(SEARCH("scout",$K96)))</f>
        <v/>
      </c>
      <c r="AA96" s="72">
        <f>IF($J96="",FALSE,IFERROR(INDEX(B!$N$2:$N$61,MATCH($J96,B!$E$2:$E$61,0))="Sim",FALSE))</f>
        <v/>
      </c>
      <c r="AB96" s="72">
        <f>IF($J96="",FALSE,LEFT($X96,2)="XX")</f>
        <v/>
      </c>
      <c r="AC96" s="72">
        <f>IF($J96="",FALSE,IFERROR(INDEX(B!$P$2:$P$61,MATCH($J96,B!$E$2:$E$61,0))="Sim",FALSE))</f>
        <v/>
      </c>
      <c r="AD96" s="20" t="n"/>
      <c r="AE96" s="52">
        <f>IF(H96="","",HOUR(H96))</f>
        <v/>
      </c>
      <c r="AF96" s="52" t="n"/>
    </row>
    <row r="97" ht="19.5" customHeight="1" s="58">
      <c r="A97" s="62">
        <f>IF(G97="","",IF(G97=G96,"",COUNTIF($G$3:$G$976,G97)))</f>
        <v/>
      </c>
      <c r="B97" s="20" t="n"/>
      <c r="C97" s="63">
        <f>IF(G97="","",DAY(G97))</f>
        <v/>
      </c>
      <c r="D97" s="63">
        <f>IF(G97="","",MONTH(G97))</f>
        <v/>
      </c>
      <c r="E97" s="63">
        <f>IF(G97="","",YEAR(G97))</f>
        <v/>
      </c>
      <c r="F97" s="33">
        <f>IF(G97="","",CHOOSE(MONTH(G97),"Janeiro","Fevereiro","Março","Abril","Maio","Junho","Julho","Agosto","Setembro","Outubro","Novembro","Dezembro"))</f>
        <v/>
      </c>
      <c r="G97" s="64" t="n">
        <v>46056</v>
      </c>
      <c r="H97" s="65" t="n">
        <v>0.08186342592592592</v>
      </c>
      <c r="I97" s="66" t="inlineStr">
        <is>
          <t>https://docs.google.com/spreadsheets/d/1ZiCGoPjLCjuYvujDTXK9Ixbth3tekiLtFBzBrGjPCr4/edit?gid=0#gid=0</t>
        </is>
      </c>
      <c r="J97" s="67" t="inlineStr">
        <is>
          <t>Transferência de LOB (Lost Items) - [TILI]</t>
        </is>
      </c>
      <c r="K97" s="67" t="inlineStr">
        <is>
          <t>Scout</t>
        </is>
      </c>
      <c r="L97" s="68" t="b">
        <v>0</v>
      </c>
      <c r="M97" s="20" t="n"/>
      <c r="N97" s="69">
        <f>IF($J97="","",IFERROR(INDEX(B!$F$2:$F$61,MATCH($J97,B!$E$2:$E$61,0))&amp;"",""))</f>
        <v/>
      </c>
      <c r="O97" s="69">
        <f>IF($J97="","",IFERROR(INDEX(B!$G$2:$G$61,MATCH($J97,B!$E$2:$E$61,0))&amp;"",""))</f>
        <v/>
      </c>
      <c r="P97" s="69">
        <f>IF($J97="","",IFERROR(INDEX(B!$H$2:$H$61,MATCH($J97,B!$E$2:$E$61,0))&amp;"",""))</f>
        <v/>
      </c>
      <c r="Q97" s="69">
        <f>IF($J97="","",IFERROR(INDEX(B!$I$2:$I$61,MATCH($J97,B!$E$2:$E$61,0))&amp;"",""))</f>
        <v/>
      </c>
      <c r="R97" s="69">
        <f>IF($J97="","",IFERROR(INDEX(B!$J$2:$J$61,MATCH($J97,B!$E$2:$E$61,0))&amp;"",""))</f>
        <v/>
      </c>
      <c r="S97" s="69">
        <f>IF($J97="","",IFERROR(INDEX(B!$K$2:$K$61,MATCH($J97,B!$E$2:$E$61,0))&amp;"",""))</f>
        <v/>
      </c>
      <c r="T97" s="69">
        <f>IF($J97="","",IFERROR(INDEX(B!$L$2:$L$61,MATCH($J97,B!$E$2:$E$61,0))&amp;"",""))</f>
        <v/>
      </c>
      <c r="U97" s="20" t="n"/>
      <c r="V97" s="70">
        <f>IF($J97="","",IFERROR(INDEX(B!$M$2:$M$61,MATCH($J97,B!$E$2:$E$61,0))&amp;"",""))</f>
        <v/>
      </c>
      <c r="W97" s="71">
        <f>IF(I97="","",IFERROR(MID(I97,FIND("/d/",I97)+3,FIND("/edit",I97)-FIND("/d/",I97)-3),I97))</f>
        <v/>
      </c>
      <c r="X97" s="71">
        <f>IF($J97="","",IFERROR(INDEX(B!$C$2:$C$61,MATCH($J97,B!$E$2:$E$61,0))&amp;"",""))</f>
        <v/>
      </c>
      <c r="Y97" s="20" t="n"/>
      <c r="Z97" s="72">
        <f>IF($J97="",FALSE,ISNUMBER(SEARCH("scout",$K97)))</f>
        <v/>
      </c>
      <c r="AA97" s="72">
        <f>IF($J97="",FALSE,IFERROR(INDEX(B!$N$2:$N$61,MATCH($J97,B!$E$2:$E$61,0))="Sim",FALSE))</f>
        <v/>
      </c>
      <c r="AB97" s="72">
        <f>IF($J97="",FALSE,LEFT($X97,2)="XX")</f>
        <v/>
      </c>
      <c r="AC97" s="72">
        <f>IF($J97="",FALSE,IFERROR(INDEX(B!$P$2:$P$61,MATCH($J97,B!$E$2:$E$61,0))="Sim",FALSE))</f>
        <v/>
      </c>
      <c r="AD97" s="20" t="n"/>
      <c r="AE97" s="52">
        <f>IF(H97="","",HOUR(H97))</f>
        <v/>
      </c>
      <c r="AF97" s="52" t="n"/>
    </row>
    <row r="98" ht="19.5" customHeight="1" s="58">
      <c r="A98" s="62">
        <f>IF(G98="","",IF(G98=G97,"",COUNTIF($G$3:$G$976,G98)))</f>
        <v/>
      </c>
      <c r="B98" s="20" t="n"/>
      <c r="C98" s="63">
        <f>IF(G98="","",DAY(G98))</f>
        <v/>
      </c>
      <c r="D98" s="63">
        <f>IF(G98="","",MONTH(G98))</f>
        <v/>
      </c>
      <c r="E98" s="63">
        <f>IF(G98="","",YEAR(G98))</f>
        <v/>
      </c>
      <c r="F98" s="33">
        <f>IF(G98="","",CHOOSE(MONTH(G98),"Janeiro","Fevereiro","Março","Abril","Maio","Junho","Julho","Agosto","Setembro","Outubro","Novembro","Dezembro"))</f>
        <v/>
      </c>
      <c r="G98" s="64" t="n">
        <v>46056</v>
      </c>
      <c r="H98" s="65" t="n">
        <v>0.08305555555555555</v>
      </c>
      <c r="I98" s="66" t="inlineStr">
        <is>
          <t>https://docs.google.com/spreadsheets/d/1ZiCGoPjLCjuYvujDTXK9Ixbth3tekiLtFBzBrGjPCr4/edit?gid=0#gid=0</t>
        </is>
      </c>
      <c r="J98" s="67" t="inlineStr">
        <is>
          <t>Taxa de Limpeza, Sem ajustes - [TXLO]</t>
        </is>
      </c>
      <c r="K98" s="67" t="inlineStr"/>
      <c r="L98" s="68" t="b">
        <v>0</v>
      </c>
      <c r="M98" s="20" t="n"/>
      <c r="N98" s="69">
        <f>IF($J98="","",IFERROR(INDEX(B!$F$2:$F$61,MATCH($J98,B!$E$2:$E$61,0))&amp;"",""))</f>
        <v/>
      </c>
      <c r="O98" s="69">
        <f>IF($J98="","",IFERROR(INDEX(B!$G$2:$G$61,MATCH($J98,B!$E$2:$E$61,0))&amp;"",""))</f>
        <v/>
      </c>
      <c r="P98" s="69">
        <f>IF($J98="","",IFERROR(INDEX(B!$H$2:$H$61,MATCH($J98,B!$E$2:$E$61,0))&amp;"",""))</f>
        <v/>
      </c>
      <c r="Q98" s="69">
        <f>IF($J98="","",IFERROR(INDEX(B!$I$2:$I$61,MATCH($J98,B!$E$2:$E$61,0))&amp;"",""))</f>
        <v/>
      </c>
      <c r="R98" s="69">
        <f>IF($J98="","",IFERROR(INDEX(B!$J$2:$J$61,MATCH($J98,B!$E$2:$E$61,0))&amp;"",""))</f>
        <v/>
      </c>
      <c r="S98" s="69">
        <f>IF($J98="","",IFERROR(INDEX(B!$K$2:$K$61,MATCH($J98,B!$E$2:$E$61,0))&amp;"",""))</f>
        <v/>
      </c>
      <c r="T98" s="69">
        <f>IF($J98="","",IFERROR(INDEX(B!$L$2:$L$61,MATCH($J98,B!$E$2:$E$61,0))&amp;"",""))</f>
        <v/>
      </c>
      <c r="U98" s="20" t="n"/>
      <c r="V98" s="70">
        <f>IF($J98="","",IFERROR(INDEX(B!$M$2:$M$61,MATCH($J98,B!$E$2:$E$61,0))&amp;"",""))</f>
        <v/>
      </c>
      <c r="W98" s="71">
        <f>IF(I98="","",IFERROR(MID(I98,FIND("/d/",I98)+3,FIND("/edit",I98)-FIND("/d/",I98)-3),I98))</f>
        <v/>
      </c>
      <c r="X98" s="71">
        <f>IF($J98="","",IFERROR(INDEX(B!$C$2:$C$61,MATCH($J98,B!$E$2:$E$61,0))&amp;"",""))</f>
        <v/>
      </c>
      <c r="Y98" s="20" t="n"/>
      <c r="Z98" s="72">
        <f>IF($J98="",FALSE,ISNUMBER(SEARCH("scout",$K98)))</f>
        <v/>
      </c>
      <c r="AA98" s="72">
        <f>IF($J98="",FALSE,IFERROR(INDEX(B!$N$2:$N$61,MATCH($J98,B!$E$2:$E$61,0))="Sim",FALSE))</f>
        <v/>
      </c>
      <c r="AB98" s="72">
        <f>IF($J98="",FALSE,LEFT($X98,2)="XX")</f>
        <v/>
      </c>
      <c r="AC98" s="72">
        <f>IF($J98="",FALSE,IFERROR(INDEX(B!$P$2:$P$61,MATCH($J98,B!$E$2:$E$61,0))="Sim",FALSE))</f>
        <v/>
      </c>
      <c r="AD98" s="20" t="n"/>
      <c r="AE98" s="52">
        <f>IF(H98="","",HOUR(H98))</f>
        <v/>
      </c>
      <c r="AF98" s="52" t="n"/>
    </row>
    <row r="99" ht="19.5" customHeight="1" s="58">
      <c r="A99" s="62">
        <f>IF(G99="","",IF(G99=G98,"",COUNTIF($G$3:$G$976,G99)))</f>
        <v/>
      </c>
      <c r="B99" s="20" t="n"/>
      <c r="C99" s="63">
        <f>IF(G99="","",DAY(G99))</f>
        <v/>
      </c>
      <c r="D99" s="63">
        <f>IF(G99="","",MONTH(G99))</f>
        <v/>
      </c>
      <c r="E99" s="63">
        <f>IF(G99="","",YEAR(G99))</f>
        <v/>
      </c>
      <c r="F99" s="33">
        <f>IF(G99="","",CHOOSE(MONTH(G99),"Janeiro","Fevereiro","Março","Abril","Maio","Junho","Julho","Agosto","Setembro","Outubro","Novembro","Dezembro"))</f>
        <v/>
      </c>
      <c r="G99" s="64" t="n">
        <v>46056</v>
      </c>
      <c r="H99" s="65" t="n">
        <v>0.08679398148148149</v>
      </c>
      <c r="I99" s="66" t="inlineStr">
        <is>
          <t>https://docs.google.com/spreadsheets/d/1ZiCGoPjLCjuYvujDTXK9Ixbth3tekiLtFBzBrGjPCr4/edit?gid=0#gid=0</t>
        </is>
      </c>
      <c r="J99" s="67" t="inlineStr">
        <is>
          <t>Taxa de Limpeza, Sem ajustes - [TXLO]</t>
        </is>
      </c>
      <c r="K99" s="67" t="inlineStr"/>
      <c r="L99" s="68" t="b">
        <v>0</v>
      </c>
      <c r="M99" s="20" t="n"/>
      <c r="N99" s="69">
        <f>IF($J99="","",IFERROR(INDEX(B!$F$2:$F$61,MATCH($J99,B!$E$2:$E$61,0))&amp;"",""))</f>
        <v/>
      </c>
      <c r="O99" s="69">
        <f>IF($J99="","",IFERROR(INDEX(B!$G$2:$G$61,MATCH($J99,B!$E$2:$E$61,0))&amp;"",""))</f>
        <v/>
      </c>
      <c r="P99" s="69">
        <f>IF($J99="","",IFERROR(INDEX(B!$H$2:$H$61,MATCH($J99,B!$E$2:$E$61,0))&amp;"",""))</f>
        <v/>
      </c>
      <c r="Q99" s="69">
        <f>IF($J99="","",IFERROR(INDEX(B!$I$2:$I$61,MATCH($J99,B!$E$2:$E$61,0))&amp;"",""))</f>
        <v/>
      </c>
      <c r="R99" s="69">
        <f>IF($J99="","",IFERROR(INDEX(B!$J$2:$J$61,MATCH($J99,B!$E$2:$E$61,0))&amp;"",""))</f>
        <v/>
      </c>
      <c r="S99" s="69">
        <f>IF($J99="","",IFERROR(INDEX(B!$K$2:$K$61,MATCH($J99,B!$E$2:$E$61,0))&amp;"",""))</f>
        <v/>
      </c>
      <c r="T99" s="69">
        <f>IF($J99="","",IFERROR(INDEX(B!$L$2:$L$61,MATCH($J99,B!$E$2:$E$61,0))&amp;"",""))</f>
        <v/>
      </c>
      <c r="U99" s="20" t="n"/>
      <c r="V99" s="70">
        <f>IF($J99="","",IFERROR(INDEX(B!$M$2:$M$61,MATCH($J99,B!$E$2:$E$61,0))&amp;"",""))</f>
        <v/>
      </c>
      <c r="W99" s="71">
        <f>IF(I99="","",IFERROR(MID(I99,FIND("/d/",I99)+3,FIND("/edit",I99)-FIND("/d/",I99)-3),I99))</f>
        <v/>
      </c>
      <c r="X99" s="71">
        <f>IF($J99="","",IFERROR(INDEX(B!$C$2:$C$61,MATCH($J99,B!$E$2:$E$61,0))&amp;"",""))</f>
        <v/>
      </c>
      <c r="Y99" s="20" t="n"/>
      <c r="Z99" s="72">
        <f>IF($J99="",FALSE,ISNUMBER(SEARCH("scout",$K99)))</f>
        <v/>
      </c>
      <c r="AA99" s="72">
        <f>IF($J99="",FALSE,IFERROR(INDEX(B!$N$2:$N$61,MATCH($J99,B!$E$2:$E$61,0))="Sim",FALSE))</f>
        <v/>
      </c>
      <c r="AB99" s="72">
        <f>IF($J99="",FALSE,LEFT($X99,2)="XX")</f>
        <v/>
      </c>
      <c r="AC99" s="72">
        <f>IF($J99="",FALSE,IFERROR(INDEX(B!$P$2:$P$61,MATCH($J99,B!$E$2:$E$61,0))="Sim",FALSE))</f>
        <v/>
      </c>
      <c r="AD99" s="20" t="n"/>
      <c r="AE99" s="52">
        <f>IF(H99="","",HOUR(H99))</f>
        <v/>
      </c>
      <c r="AF99" s="52" t="n"/>
    </row>
    <row r="100" ht="19.5" customHeight="1" s="58">
      <c r="A100" s="62">
        <f>IF(G100="","",IF(G100=G99,"",COUNTIF($G$3:$G$976,G100)))</f>
        <v/>
      </c>
      <c r="B100" s="20" t="n"/>
      <c r="C100" s="63">
        <f>IF(G100="","",DAY(G100))</f>
        <v/>
      </c>
      <c r="D100" s="63">
        <f>IF(G100="","",MONTH(G100))</f>
        <v/>
      </c>
      <c r="E100" s="63">
        <f>IF(G100="","",YEAR(G100))</f>
        <v/>
      </c>
      <c r="F100" s="33">
        <f>IF(G100="","",CHOOSE(MONTH(G100),"Janeiro","Fevereiro","Março","Abril","Maio","Junho","Julho","Agosto","Setembro","Outubro","Novembro","Dezembro"))</f>
        <v/>
      </c>
      <c r="G100" s="64" t="n">
        <v>46056</v>
      </c>
      <c r="H100" s="65" t="n">
        <v>0.09177083333333333</v>
      </c>
      <c r="I100" s="66" t="inlineStr">
        <is>
          <t>https://docs.google.com/spreadsheets/d/1ZiCGoPjLCjuYvujDTXK9Ixbth3tekiLtFBzBrGjPCr4/edit?gid=0#gid=0</t>
        </is>
      </c>
      <c r="J100" s="67" t="inlineStr">
        <is>
          <t>Erro de Gps (Problema Técnico) - [GPS]</t>
        </is>
      </c>
      <c r="K100" s="67" t="inlineStr"/>
      <c r="L100" s="68" t="b">
        <v>0</v>
      </c>
      <c r="M100" s="20" t="n"/>
      <c r="N100" s="69">
        <f>IF($J100="","",IFERROR(INDEX(B!$F$2:$F$61,MATCH($J100,B!$E$2:$E$61,0))&amp;"",""))</f>
        <v/>
      </c>
      <c r="O100" s="69">
        <f>IF($J100="","",IFERROR(INDEX(B!$G$2:$G$61,MATCH($J100,B!$E$2:$E$61,0))&amp;"",""))</f>
        <v/>
      </c>
      <c r="P100" s="69">
        <f>IF($J100="","",IFERROR(INDEX(B!$H$2:$H$61,MATCH($J100,B!$E$2:$E$61,0))&amp;"",""))</f>
        <v/>
      </c>
      <c r="Q100" s="69">
        <f>IF($J100="","",IFERROR(INDEX(B!$I$2:$I$61,MATCH($J100,B!$E$2:$E$61,0))&amp;"",""))</f>
        <v/>
      </c>
      <c r="R100" s="69">
        <f>IF($J100="","",IFERROR(INDEX(B!$J$2:$J$61,MATCH($J100,B!$E$2:$E$61,0))&amp;"",""))</f>
        <v/>
      </c>
      <c r="S100" s="69">
        <f>IF($J100="","",IFERROR(INDEX(B!$K$2:$K$61,MATCH($J100,B!$E$2:$E$61,0))&amp;"",""))</f>
        <v/>
      </c>
      <c r="T100" s="69">
        <f>IF($J100="","",IFERROR(INDEX(B!$L$2:$L$61,MATCH($J100,B!$E$2:$E$61,0))&amp;"",""))</f>
        <v/>
      </c>
      <c r="U100" s="20" t="n"/>
      <c r="V100" s="70">
        <f>IF($J100="","",IFERROR(INDEX(B!$M$2:$M$61,MATCH($J100,B!$E$2:$E$61,0))&amp;"",""))</f>
        <v/>
      </c>
      <c r="W100" s="71">
        <f>IF(I100="","",IFERROR(MID(I100,FIND("/d/",I100)+3,FIND("/edit",I100)-FIND("/d/",I100)-3),I100))</f>
        <v/>
      </c>
      <c r="X100" s="71">
        <f>IF($J100="","",IFERROR(INDEX(B!$C$2:$C$61,MATCH($J100,B!$E$2:$E$61,0))&amp;"",""))</f>
        <v/>
      </c>
      <c r="Y100" s="20" t="n"/>
      <c r="Z100" s="72">
        <f>IF($J100="",FALSE,ISNUMBER(SEARCH("scout",$K100)))</f>
        <v/>
      </c>
      <c r="AA100" s="72">
        <f>IF($J100="",FALSE,IFERROR(INDEX(B!$N$2:$N$61,MATCH($J100,B!$E$2:$E$61,0))="Sim",FALSE))</f>
        <v/>
      </c>
      <c r="AB100" s="72">
        <f>IF($J100="",FALSE,LEFT($X100,2)="XX")</f>
        <v/>
      </c>
      <c r="AC100" s="72">
        <f>IF($J100="",FALSE,IFERROR(INDEX(B!$P$2:$P$61,MATCH($J100,B!$E$2:$E$61,0))="Sim",FALSE))</f>
        <v/>
      </c>
      <c r="AD100" s="20" t="n"/>
      <c r="AE100" s="52">
        <f>IF(H100="","",HOUR(H100))</f>
        <v/>
      </c>
      <c r="AF100" s="52" t="n"/>
    </row>
    <row r="101" ht="19.5" customHeight="1" s="58">
      <c r="A101" s="62">
        <f>IF(G101="","",IF(G101=G100,"",COUNTIF($G$3:$G$976,G101)))</f>
        <v/>
      </c>
      <c r="B101" s="20" t="n"/>
      <c r="C101" s="63">
        <f>IF(G101="","",DAY(G101))</f>
        <v/>
      </c>
      <c r="D101" s="63">
        <f>IF(G101="","",MONTH(G101))</f>
        <v/>
      </c>
      <c r="E101" s="63">
        <f>IF(G101="","",YEAR(G101))</f>
        <v/>
      </c>
      <c r="F101" s="33">
        <f>IF(G101="","",CHOOSE(MONTH(G101),"Janeiro","Fevereiro","Março","Abril","Maio","Junho","Julho","Agosto","Setembro","Outubro","Novembro","Dezembro"))</f>
        <v/>
      </c>
      <c r="G101" s="64" t="n">
        <v>46056</v>
      </c>
      <c r="H101" s="65" t="n">
        <v>0.09199074074074073</v>
      </c>
      <c r="I101" s="66" t="inlineStr">
        <is>
          <t>https://docs.google.com/spreadsheets/d/1ZiCGoPjLCjuYvujDTXK9Ixbth3tekiLtFBzBrGjPCr4/edit?gid=0#gid=0</t>
        </is>
      </c>
      <c r="J101" s="67" t="inlineStr">
        <is>
          <t>Overpaid, Não excede o limite, Sem comprovante - [OPNN]</t>
        </is>
      </c>
      <c r="K101" s="67" t="inlineStr">
        <is>
          <t>Scout</t>
        </is>
      </c>
      <c r="L101" s="68" t="b">
        <v>0</v>
      </c>
      <c r="M101" s="20" t="n"/>
      <c r="N101" s="69">
        <f>IF($J101="","",IFERROR(INDEX(B!$F$2:$F$61,MATCH($J101,B!$E$2:$E$61,0))&amp;"",""))</f>
        <v/>
      </c>
      <c r="O101" s="69">
        <f>IF($J101="","",IFERROR(INDEX(B!$G$2:$G$61,MATCH($J101,B!$E$2:$E$61,0))&amp;"",""))</f>
        <v/>
      </c>
      <c r="P101" s="69">
        <f>IF($J101="","",IFERROR(INDEX(B!$H$2:$H$61,MATCH($J101,B!$E$2:$E$61,0))&amp;"",""))</f>
        <v/>
      </c>
      <c r="Q101" s="69">
        <f>IF($J101="","",IFERROR(INDEX(B!$I$2:$I$61,MATCH($J101,B!$E$2:$E$61,0))&amp;"",""))</f>
        <v/>
      </c>
      <c r="R101" s="69">
        <f>IF($J101="","",IFERROR(INDEX(B!$J$2:$J$61,MATCH($J101,B!$E$2:$E$61,0))&amp;"",""))</f>
        <v/>
      </c>
      <c r="S101" s="69">
        <f>IF($J101="","",IFERROR(INDEX(B!$K$2:$K$61,MATCH($J101,B!$E$2:$E$61,0))&amp;"",""))</f>
        <v/>
      </c>
      <c r="T101" s="69">
        <f>IF($J101="","",IFERROR(INDEX(B!$L$2:$L$61,MATCH($J101,B!$E$2:$E$61,0))&amp;"",""))</f>
        <v/>
      </c>
      <c r="U101" s="20" t="n"/>
      <c r="V101" s="70">
        <f>IF($J101="","",IFERROR(INDEX(B!$M$2:$M$61,MATCH($J101,B!$E$2:$E$61,0))&amp;"",""))</f>
        <v/>
      </c>
      <c r="W101" s="71">
        <f>IF(I101="","",IFERROR(MID(I101,FIND("/d/",I101)+3,FIND("/edit",I101)-FIND("/d/",I101)-3),I101))</f>
        <v/>
      </c>
      <c r="X101" s="71">
        <f>IF($J101="","",IFERROR(INDEX(B!$C$2:$C$61,MATCH($J101,B!$E$2:$E$61,0))&amp;"",""))</f>
        <v/>
      </c>
      <c r="Y101" s="20" t="n"/>
      <c r="Z101" s="72">
        <f>IF($J101="",FALSE,ISNUMBER(SEARCH("scout",$K101)))</f>
        <v/>
      </c>
      <c r="AA101" s="72">
        <f>IF($J101="",FALSE,IFERROR(INDEX(B!$N$2:$N$61,MATCH($J101,B!$E$2:$E$61,0))="Sim",FALSE))</f>
        <v/>
      </c>
      <c r="AB101" s="72">
        <f>IF($J101="",FALSE,LEFT($X101,2)="XX")</f>
        <v/>
      </c>
      <c r="AC101" s="72">
        <f>IF($J101="",FALSE,IFERROR(INDEX(B!$P$2:$P$61,MATCH($J101,B!$E$2:$E$61,0))="Sim",FALSE))</f>
        <v/>
      </c>
      <c r="AD101" s="20" t="n"/>
      <c r="AE101" s="52">
        <f>IF(H101="","",HOUR(H101))</f>
        <v/>
      </c>
      <c r="AF101" s="52" t="n"/>
    </row>
    <row r="102" ht="19.5" customHeight="1" s="58">
      <c r="A102" s="62">
        <f>IF(G102="","",IF(G102=G101,"",COUNTIF($G$3:$G$976,G102)))</f>
        <v/>
      </c>
      <c r="B102" s="20" t="n"/>
      <c r="C102" s="63">
        <f>IF(G102="","",DAY(G102))</f>
        <v/>
      </c>
      <c r="D102" s="63">
        <f>IF(G102="","",MONTH(G102))</f>
        <v/>
      </c>
      <c r="E102" s="63">
        <f>IF(G102="","",YEAR(G102))</f>
        <v/>
      </c>
      <c r="F102" s="33">
        <f>IF(G102="","",CHOOSE(MONTH(G102),"Janeiro","Fevereiro","Março","Abril","Maio","Junho","Julho","Agosto","Setembro","Outubro","Novembro","Dezembro"))</f>
        <v/>
      </c>
      <c r="G102" s="64" t="n">
        <v>46056</v>
      </c>
      <c r="H102" s="65" t="n">
        <v>0.1066550925925926</v>
      </c>
      <c r="I102" s="66" t="inlineStr">
        <is>
          <t>https://docs.google.com/spreadsheets/d/1ZiCGoPjLCjuYvujDTXK9Ixbth3tekiLtFBzBrGjPCr4/edit?gid=0#gid=0</t>
        </is>
      </c>
      <c r="J102" s="67" t="inlineStr">
        <is>
          <t>Evento Raro - [ER]</t>
        </is>
      </c>
      <c r="K102" s="67" t="inlineStr"/>
      <c r="L102" s="68" t="b">
        <v>0</v>
      </c>
      <c r="M102" s="20" t="n"/>
      <c r="N102" s="69">
        <f>IF($J102="","",IFERROR(INDEX(B!$F$2:$F$61,MATCH($J102,B!$E$2:$E$61,0))&amp;"",""))</f>
        <v/>
      </c>
      <c r="O102" s="69">
        <f>IF($J102="","",IFERROR(INDEX(B!$G$2:$G$61,MATCH($J102,B!$E$2:$E$61,0))&amp;"",""))</f>
        <v/>
      </c>
      <c r="P102" s="69">
        <f>IF($J102="","",IFERROR(INDEX(B!$H$2:$H$61,MATCH($J102,B!$E$2:$E$61,0))&amp;"",""))</f>
        <v/>
      </c>
      <c r="Q102" s="69">
        <f>IF($J102="","",IFERROR(INDEX(B!$I$2:$I$61,MATCH($J102,B!$E$2:$E$61,0))&amp;"",""))</f>
        <v/>
      </c>
      <c r="R102" s="69">
        <f>IF($J102="","",IFERROR(INDEX(B!$J$2:$J$61,MATCH($J102,B!$E$2:$E$61,0))&amp;"",""))</f>
        <v/>
      </c>
      <c r="S102" s="69">
        <f>IF($J102="","",IFERROR(INDEX(B!$K$2:$K$61,MATCH($J102,B!$E$2:$E$61,0))&amp;"",""))</f>
        <v/>
      </c>
      <c r="T102" s="69">
        <f>IF($J102="","",IFERROR(INDEX(B!$L$2:$L$61,MATCH($J102,B!$E$2:$E$61,0))&amp;"",""))</f>
        <v/>
      </c>
      <c r="U102" s="20" t="n"/>
      <c r="V102" s="70">
        <f>IF($J102="","",IFERROR(INDEX(B!$M$2:$M$61,MATCH($J102,B!$E$2:$E$61,0))&amp;"",""))</f>
        <v/>
      </c>
      <c r="W102" s="71">
        <f>IF(I102="","",IFERROR(MID(I102,FIND("/d/",I102)+3,FIND("/edit",I102)-FIND("/d/",I102)-3),I102))</f>
        <v/>
      </c>
      <c r="X102" s="71">
        <f>IF($J102="","",IFERROR(INDEX(B!$C$2:$C$61,MATCH($J102,B!$E$2:$E$61,0))&amp;"",""))</f>
        <v/>
      </c>
      <c r="Y102" s="20" t="n"/>
      <c r="Z102" s="72">
        <f>IF($J102="",FALSE,ISNUMBER(SEARCH("scout",$K102)))</f>
        <v/>
      </c>
      <c r="AA102" s="72">
        <f>IF($J102="",FALSE,IFERROR(INDEX(B!$N$2:$N$61,MATCH($J102,B!$E$2:$E$61,0))="Sim",FALSE))</f>
        <v/>
      </c>
      <c r="AB102" s="72">
        <f>IF($J102="",FALSE,LEFT($X102,2)="XX")</f>
        <v/>
      </c>
      <c r="AC102" s="72">
        <f>IF($J102="",FALSE,IFERROR(INDEX(B!$P$2:$P$61,MATCH($J102,B!$E$2:$E$61,0))="Sim",FALSE))</f>
        <v/>
      </c>
      <c r="AD102" s="20" t="n"/>
      <c r="AE102" s="52">
        <f>IF(H102="","",HOUR(H102))</f>
        <v/>
      </c>
      <c r="AF102" s="52" t="n"/>
    </row>
    <row r="103" ht="19.5" customHeight="1" s="58">
      <c r="A103" s="62">
        <f>IF(G103="","",IF(G103=G102,"",COUNTIF($G$3:$G$976,G103)))</f>
        <v/>
      </c>
      <c r="B103" s="20" t="n"/>
      <c r="C103" s="63">
        <f>IF(G103="","",DAY(G103))</f>
        <v/>
      </c>
      <c r="D103" s="63">
        <f>IF(G103="","",MONTH(G103))</f>
        <v/>
      </c>
      <c r="E103" s="63">
        <f>IF(G103="","",YEAR(G103))</f>
        <v/>
      </c>
      <c r="F103" s="33">
        <f>IF(G103="","",CHOOSE(MONTH(G103),"Janeiro","Fevereiro","Março","Abril","Maio","Junho","Julho","Agosto","Setembro","Outubro","Novembro","Dezembro"))</f>
        <v/>
      </c>
      <c r="G103" s="64" t="n">
        <v>46056</v>
      </c>
      <c r="H103" s="65" t="n">
        <v>0.1105324074074074</v>
      </c>
      <c r="I103" s="66" t="inlineStr">
        <is>
          <t>https://docs.google.com/spreadsheets/d/1ZiCGoPjLCjuYvujDTXK9Ixbth3tekiLtFBzBrGjPCr4/edit?gid=0#gid=0</t>
        </is>
      </c>
      <c r="J103" s="67" t="inlineStr">
        <is>
          <t>Taxa de Limpeza, Sem ajustes - [TXLO]</t>
        </is>
      </c>
      <c r="K103" s="67" t="inlineStr">
        <is>
          <t>Scout</t>
        </is>
      </c>
      <c r="L103" s="68" t="b">
        <v>0</v>
      </c>
      <c r="M103" s="20" t="n"/>
      <c r="N103" s="69">
        <f>IF($J103="","",IFERROR(INDEX(B!$F$2:$F$61,MATCH($J103,B!$E$2:$E$61,0))&amp;"",""))</f>
        <v/>
      </c>
      <c r="O103" s="69">
        <f>IF($J103="","",IFERROR(INDEX(B!$G$2:$G$61,MATCH($J103,B!$E$2:$E$61,0))&amp;"",""))</f>
        <v/>
      </c>
      <c r="P103" s="69">
        <f>IF($J103="","",IFERROR(INDEX(B!$H$2:$H$61,MATCH($J103,B!$E$2:$E$61,0))&amp;"",""))</f>
        <v/>
      </c>
      <c r="Q103" s="69">
        <f>IF($J103="","",IFERROR(INDEX(B!$I$2:$I$61,MATCH($J103,B!$E$2:$E$61,0))&amp;"",""))</f>
        <v/>
      </c>
      <c r="R103" s="69">
        <f>IF($J103="","",IFERROR(INDEX(B!$J$2:$J$61,MATCH($J103,B!$E$2:$E$61,0))&amp;"",""))</f>
        <v/>
      </c>
      <c r="S103" s="69">
        <f>IF($J103="","",IFERROR(INDEX(B!$K$2:$K$61,MATCH($J103,B!$E$2:$E$61,0))&amp;"",""))</f>
        <v/>
      </c>
      <c r="T103" s="69">
        <f>IF($J103="","",IFERROR(INDEX(B!$L$2:$L$61,MATCH($J103,B!$E$2:$E$61,0))&amp;"",""))</f>
        <v/>
      </c>
      <c r="U103" s="20" t="n"/>
      <c r="V103" s="70">
        <f>IF($J103="","",IFERROR(INDEX(B!$M$2:$M$61,MATCH($J103,B!$E$2:$E$61,0))&amp;"",""))</f>
        <v/>
      </c>
      <c r="W103" s="71">
        <f>IF(I103="","",IFERROR(MID(I103,FIND("/d/",I103)+3,FIND("/edit",I103)-FIND("/d/",I103)-3),I103))</f>
        <v/>
      </c>
      <c r="X103" s="71">
        <f>IF($J103="","",IFERROR(INDEX(B!$C$2:$C$61,MATCH($J103,B!$E$2:$E$61,0))&amp;"",""))</f>
        <v/>
      </c>
      <c r="Y103" s="20" t="n"/>
      <c r="Z103" s="72">
        <f>IF($J103="",FALSE,ISNUMBER(SEARCH("scout",$K103)))</f>
        <v/>
      </c>
      <c r="AA103" s="72">
        <f>IF($J103="",FALSE,IFERROR(INDEX(B!$N$2:$N$61,MATCH($J103,B!$E$2:$E$61,0))="Sim",FALSE))</f>
        <v/>
      </c>
      <c r="AB103" s="72">
        <f>IF($J103="",FALSE,LEFT($X103,2)="XX")</f>
        <v/>
      </c>
      <c r="AC103" s="72">
        <f>IF($J103="",FALSE,IFERROR(INDEX(B!$P$2:$P$61,MATCH($J103,B!$E$2:$E$61,0))="Sim",FALSE))</f>
        <v/>
      </c>
      <c r="AD103" s="20" t="n"/>
      <c r="AE103" s="52">
        <f>IF(H103="","",HOUR(H103))</f>
        <v/>
      </c>
      <c r="AF103" s="52" t="n"/>
    </row>
    <row r="104" ht="19.5" customHeight="1" s="58">
      <c r="A104" s="62">
        <f>IF(G104="","",IF(G104=G103,"",COUNTIF($G$3:$G$976,G104)))</f>
        <v/>
      </c>
      <c r="B104" s="20" t="n"/>
      <c r="C104" s="63">
        <f>IF(G104="","",DAY(G104))</f>
        <v/>
      </c>
      <c r="D104" s="63">
        <f>IF(G104="","",MONTH(G104))</f>
        <v/>
      </c>
      <c r="E104" s="63">
        <f>IF(G104="","",YEAR(G104))</f>
        <v/>
      </c>
      <c r="F104" s="33">
        <f>IF(G104="","",CHOOSE(MONTH(G104),"Janeiro","Fevereiro","Março","Abril","Maio","Junho","Julho","Agosto","Setembro","Outubro","Novembro","Dezembro"))</f>
        <v/>
      </c>
      <c r="G104" s="64" t="n">
        <v>46056</v>
      </c>
      <c r="H104" s="65" t="n">
        <v>0.1113541666666667</v>
      </c>
      <c r="I104" s="66" t="inlineStr">
        <is>
          <t>https://docs.google.com/spreadsheets/d/1ZiCGoPjLCjuYvujDTXK9Ixbth3tekiLtFBzBrGjPCr4/edit?gid=0#gid=0</t>
        </is>
      </c>
      <c r="J104" s="67" t="inlineStr">
        <is>
          <t>Transferência de LOB (Accounts) - [TIAC]</t>
        </is>
      </c>
      <c r="K104" s="67" t="inlineStr"/>
      <c r="L104" s="68" t="b">
        <v>0</v>
      </c>
      <c r="M104" s="20" t="n"/>
      <c r="N104" s="69">
        <f>IF($J104="","",IFERROR(INDEX(B!$F$2:$F$61,MATCH($J104,B!$E$2:$E$61,0))&amp;"",""))</f>
        <v/>
      </c>
      <c r="O104" s="69">
        <f>IF($J104="","",IFERROR(INDEX(B!$G$2:$G$61,MATCH($J104,B!$E$2:$E$61,0))&amp;"",""))</f>
        <v/>
      </c>
      <c r="P104" s="69">
        <f>IF($J104="","",IFERROR(INDEX(B!$H$2:$H$61,MATCH($J104,B!$E$2:$E$61,0))&amp;"",""))</f>
        <v/>
      </c>
      <c r="Q104" s="69">
        <f>IF($J104="","",IFERROR(INDEX(B!$I$2:$I$61,MATCH($J104,B!$E$2:$E$61,0))&amp;"",""))</f>
        <v/>
      </c>
      <c r="R104" s="69">
        <f>IF($J104="","",IFERROR(INDEX(B!$J$2:$J$61,MATCH($J104,B!$E$2:$E$61,0))&amp;"",""))</f>
        <v/>
      </c>
      <c r="S104" s="69">
        <f>IF($J104="","",IFERROR(INDEX(B!$K$2:$K$61,MATCH($J104,B!$E$2:$E$61,0))&amp;"",""))</f>
        <v/>
      </c>
      <c r="T104" s="69">
        <f>IF($J104="","",IFERROR(INDEX(B!$L$2:$L$61,MATCH($J104,B!$E$2:$E$61,0))&amp;"",""))</f>
        <v/>
      </c>
      <c r="U104" s="20" t="n"/>
      <c r="V104" s="70">
        <f>IF($J104="","",IFERROR(INDEX(B!$M$2:$M$61,MATCH($J104,B!$E$2:$E$61,0))&amp;"",""))</f>
        <v/>
      </c>
      <c r="W104" s="71">
        <f>IF(I104="","",IFERROR(MID(I104,FIND("/d/",I104)+3,FIND("/edit",I104)-FIND("/d/",I104)-3),I104))</f>
        <v/>
      </c>
      <c r="X104" s="71">
        <f>IF($J104="","",IFERROR(INDEX(B!$C$2:$C$61,MATCH($J104,B!$E$2:$E$61,0))&amp;"",""))</f>
        <v/>
      </c>
      <c r="Y104" s="20" t="n"/>
      <c r="Z104" s="72">
        <f>IF($J104="",FALSE,ISNUMBER(SEARCH("scout",$K104)))</f>
        <v/>
      </c>
      <c r="AA104" s="72">
        <f>IF($J104="",FALSE,IFERROR(INDEX(B!$N$2:$N$61,MATCH($J104,B!$E$2:$E$61,0))="Sim",FALSE))</f>
        <v/>
      </c>
      <c r="AB104" s="72">
        <f>IF($J104="",FALSE,LEFT($X104,2)="XX")</f>
        <v/>
      </c>
      <c r="AC104" s="72">
        <f>IF($J104="",FALSE,IFERROR(INDEX(B!$P$2:$P$61,MATCH($J104,B!$E$2:$E$61,0))="Sim",FALSE))</f>
        <v/>
      </c>
      <c r="AD104" s="20" t="n"/>
      <c r="AE104" s="52">
        <f>IF(H104="","",HOUR(H104))</f>
        <v/>
      </c>
      <c r="AF104" s="52" t="n"/>
    </row>
    <row r="105" ht="19.5" customHeight="1" s="58">
      <c r="A105" s="62">
        <f>IF(G105="","",IF(G105=G104,"",COUNTIF($G$3:$G$976,G105)))</f>
        <v/>
      </c>
      <c r="B105" s="20" t="n"/>
      <c r="C105" s="63">
        <f>IF(G105="","",DAY(G105))</f>
        <v/>
      </c>
      <c r="D105" s="63">
        <f>IF(G105="","",MONTH(G105))</f>
        <v/>
      </c>
      <c r="E105" s="63">
        <f>IF(G105="","",YEAR(G105))</f>
        <v/>
      </c>
      <c r="F105" s="33">
        <f>IF(G105="","",CHOOSE(MONTH(G105),"Janeiro","Fevereiro","Março","Abril","Maio","Junho","Julho","Agosto","Setembro","Outubro","Novembro","Dezembro"))</f>
        <v/>
      </c>
      <c r="G105" s="64" t="n">
        <v>46056</v>
      </c>
      <c r="H105" s="65" t="n">
        <v>0.1146527777777778</v>
      </c>
      <c r="I105" s="66" t="inlineStr">
        <is>
          <t>https://docs.google.com/spreadsheets/d/1ZiCGoPjLCjuYvujDTXK9Ixbth3tekiLtFBzBrGjPCr4/edit?gid=0#gid=0</t>
        </is>
      </c>
      <c r="J105" s="67" t="inlineStr">
        <is>
          <t>Outros Valores Retidos (Pedágio, Cartão, Taxa de Cancelamento...) - [OTV]</t>
        </is>
      </c>
      <c r="K105" s="67" t="inlineStr"/>
      <c r="L105" s="68" t="b">
        <v>0</v>
      </c>
      <c r="M105" s="20" t="n"/>
      <c r="N105" s="69">
        <f>IF($J105="","",IFERROR(INDEX(B!$F$2:$F$61,MATCH($J105,B!$E$2:$E$61,0))&amp;"",""))</f>
        <v/>
      </c>
      <c r="O105" s="69">
        <f>IF($J105="","",IFERROR(INDEX(B!$G$2:$G$61,MATCH($J105,B!$E$2:$E$61,0))&amp;"",""))</f>
        <v/>
      </c>
      <c r="P105" s="69">
        <f>IF($J105="","",IFERROR(INDEX(B!$H$2:$H$61,MATCH($J105,B!$E$2:$E$61,0))&amp;"",""))</f>
        <v/>
      </c>
      <c r="Q105" s="69">
        <f>IF($J105="","",IFERROR(INDEX(B!$I$2:$I$61,MATCH($J105,B!$E$2:$E$61,0))&amp;"",""))</f>
        <v/>
      </c>
      <c r="R105" s="69">
        <f>IF($J105="","",IFERROR(INDEX(B!$J$2:$J$61,MATCH($J105,B!$E$2:$E$61,0))&amp;"",""))</f>
        <v/>
      </c>
      <c r="S105" s="69">
        <f>IF($J105="","",IFERROR(INDEX(B!$K$2:$K$61,MATCH($J105,B!$E$2:$E$61,0))&amp;"",""))</f>
        <v/>
      </c>
      <c r="T105" s="69">
        <f>IF($J105="","",IFERROR(INDEX(B!$L$2:$L$61,MATCH($J105,B!$E$2:$E$61,0))&amp;"",""))</f>
        <v/>
      </c>
      <c r="U105" s="20" t="n"/>
      <c r="V105" s="70">
        <f>IF($J105="","",IFERROR(INDEX(B!$M$2:$M$61,MATCH($J105,B!$E$2:$E$61,0))&amp;"",""))</f>
        <v/>
      </c>
      <c r="W105" s="71">
        <f>IF(I105="","",IFERROR(MID(I105,FIND("/d/",I105)+3,FIND("/edit",I105)-FIND("/d/",I105)-3),I105))</f>
        <v/>
      </c>
      <c r="X105" s="71">
        <f>IF($J105="","",IFERROR(INDEX(B!$C$2:$C$61,MATCH($J105,B!$E$2:$E$61,0))&amp;"",""))</f>
        <v/>
      </c>
      <c r="Y105" s="20" t="n"/>
      <c r="Z105" s="72">
        <f>IF($J105="",FALSE,ISNUMBER(SEARCH("scout",$K105)))</f>
        <v/>
      </c>
      <c r="AA105" s="72">
        <f>IF($J105="",FALSE,IFERROR(INDEX(B!$N$2:$N$61,MATCH($J105,B!$E$2:$E$61,0))="Sim",FALSE))</f>
        <v/>
      </c>
      <c r="AB105" s="72">
        <f>IF($J105="",FALSE,LEFT($X105,2)="XX")</f>
        <v/>
      </c>
      <c r="AC105" s="72">
        <f>IF($J105="",FALSE,IFERROR(INDEX(B!$P$2:$P$61,MATCH($J105,B!$E$2:$E$61,0))="Sim",FALSE))</f>
        <v/>
      </c>
      <c r="AD105" s="20" t="n"/>
      <c r="AE105" s="52">
        <f>IF(H105="","",HOUR(H105))</f>
        <v/>
      </c>
      <c r="AF105" s="52" t="n"/>
    </row>
    <row r="106" ht="19.5" customHeight="1" s="58">
      <c r="A106" s="62">
        <f>IF(G106="","",IF(G106=G105,"",COUNTIF($G$3:$G$976,G106)))</f>
        <v/>
      </c>
      <c r="B106" s="20" t="n"/>
      <c r="C106" s="63">
        <f>IF(G106="","",DAY(G106))</f>
        <v/>
      </c>
      <c r="D106" s="63">
        <f>IF(G106="","",MONTH(G106))</f>
        <v/>
      </c>
      <c r="E106" s="63">
        <f>IF(G106="","",YEAR(G106))</f>
        <v/>
      </c>
      <c r="F106" s="33">
        <f>IF(G106="","",CHOOSE(MONTH(G106),"Janeiro","Fevereiro","Março","Abril","Maio","Junho","Julho","Agosto","Setembro","Outubro","Novembro","Dezembro"))</f>
        <v/>
      </c>
      <c r="G106" s="64" t="n">
        <v>46056</v>
      </c>
      <c r="H106" s="65" t="n">
        <v>0.1163541666666667</v>
      </c>
      <c r="I106" s="66" t="inlineStr">
        <is>
          <t>https://docs.google.com/spreadsheets/d/1ZiCGoPjLCjuYvujDTXK9Ixbth3tekiLtFBzBrGjPCr4/edit?gid=0#gid=0</t>
        </is>
      </c>
      <c r="J106" s="67" t="inlineStr">
        <is>
          <t>Pushback - [XX]</t>
        </is>
      </c>
      <c r="K106" s="67" t="inlineStr"/>
      <c r="L106" s="68" t="b">
        <v>0</v>
      </c>
      <c r="M106" s="20" t="n"/>
      <c r="N106" s="69">
        <f>IF($J106="","",IFERROR(INDEX(B!$F$2:$F$61,MATCH($J106,B!$E$2:$E$61,0))&amp;"",""))</f>
        <v/>
      </c>
      <c r="O106" s="69">
        <f>IF($J106="","",IFERROR(INDEX(B!$G$2:$G$61,MATCH($J106,B!$E$2:$E$61,0))&amp;"",""))</f>
        <v/>
      </c>
      <c r="P106" s="69">
        <f>IF($J106="","",IFERROR(INDEX(B!$H$2:$H$61,MATCH($J106,B!$E$2:$E$61,0))&amp;"",""))</f>
        <v/>
      </c>
      <c r="Q106" s="69">
        <f>IF($J106="","",IFERROR(INDEX(B!$I$2:$I$61,MATCH($J106,B!$E$2:$E$61,0))&amp;"",""))</f>
        <v/>
      </c>
      <c r="R106" s="69">
        <f>IF($J106="","",IFERROR(INDEX(B!$J$2:$J$61,MATCH($J106,B!$E$2:$E$61,0))&amp;"",""))</f>
        <v/>
      </c>
      <c r="S106" s="69">
        <f>IF($J106="","",IFERROR(INDEX(B!$K$2:$K$61,MATCH($J106,B!$E$2:$E$61,0))&amp;"",""))</f>
        <v/>
      </c>
      <c r="T106" s="69">
        <f>IF($J106="","",IFERROR(INDEX(B!$L$2:$L$61,MATCH($J106,B!$E$2:$E$61,0))&amp;"",""))</f>
        <v/>
      </c>
      <c r="U106" s="20" t="n"/>
      <c r="V106" s="70">
        <f>IF($J106="","",IFERROR(INDEX(B!$M$2:$M$61,MATCH($J106,B!$E$2:$E$61,0))&amp;"",""))</f>
        <v/>
      </c>
      <c r="W106" s="71">
        <f>IF(I106="","",IFERROR(MID(I106,FIND("/d/",I106)+3,FIND("/edit",I106)-FIND("/d/",I106)-3),I106))</f>
        <v/>
      </c>
      <c r="X106" s="71">
        <f>IF($J106="","",IFERROR(INDEX(B!$C$2:$C$61,MATCH($J106,B!$E$2:$E$61,0))&amp;"",""))</f>
        <v/>
      </c>
      <c r="Y106" s="20" t="n"/>
      <c r="Z106" s="72">
        <f>IF($J106="",FALSE,ISNUMBER(SEARCH("scout",$K106)))</f>
        <v/>
      </c>
      <c r="AA106" s="72">
        <f>IF($J106="",FALSE,IFERROR(INDEX(B!$N$2:$N$61,MATCH($J106,B!$E$2:$E$61,0))="Sim",FALSE))</f>
        <v/>
      </c>
      <c r="AB106" s="72">
        <f>IF($J106="",FALSE,LEFT($X106,2)="XX")</f>
        <v/>
      </c>
      <c r="AC106" s="72">
        <f>IF($J106="",FALSE,IFERROR(INDEX(B!$P$2:$P$61,MATCH($J106,B!$E$2:$E$61,0))="Sim",FALSE))</f>
        <v/>
      </c>
      <c r="AD106" s="20" t="n"/>
      <c r="AE106" s="52">
        <f>IF(H106="","",HOUR(H106))</f>
        <v/>
      </c>
      <c r="AF106" s="52" t="n"/>
    </row>
    <row r="107" ht="19.5" customHeight="1" s="58">
      <c r="A107" s="62">
        <f>IF(G107="","",IF(G107=G106,"",COUNTIF($G$3:$G$976,G107)))</f>
        <v/>
      </c>
      <c r="B107" s="20" t="n"/>
      <c r="C107" s="63">
        <f>IF(G107="","",DAY(G107))</f>
        <v/>
      </c>
      <c r="D107" s="63">
        <f>IF(G107="","",MONTH(G107))</f>
        <v/>
      </c>
      <c r="E107" s="63">
        <f>IF(G107="","",YEAR(G107))</f>
        <v/>
      </c>
      <c r="F107" s="33">
        <f>IF(G107="","",CHOOSE(MONTH(G107),"Janeiro","Fevereiro","Março","Abril","Maio","Junho","Julho","Agosto","Setembro","Outubro","Novembro","Dezembro"))</f>
        <v/>
      </c>
      <c r="G107" s="64" t="n">
        <v>46056</v>
      </c>
      <c r="H107" s="65" t="n">
        <v>0.1216782407407407</v>
      </c>
      <c r="I107" s="66" t="inlineStr">
        <is>
          <t>https://docs.google.com/spreadsheets/d/1ZiCGoPjLCjuYvujDTXK9Ixbth3tekiLtFBzBrGjPCr4/edit?gid=0#gid=0</t>
        </is>
      </c>
      <c r="J107" s="67" t="inlineStr">
        <is>
          <t>Taxa de Cancelamento Cobrada Corretamente - [TXCO]</t>
        </is>
      </c>
      <c r="K107" s="67" t="inlineStr"/>
      <c r="L107" s="68" t="b">
        <v>0</v>
      </c>
      <c r="M107" s="20" t="n"/>
      <c r="N107" s="69">
        <f>IF($J107="","",IFERROR(INDEX(B!$F$2:$F$61,MATCH($J107,B!$E$2:$E$61,0))&amp;"",""))</f>
        <v/>
      </c>
      <c r="O107" s="69">
        <f>IF($J107="","",IFERROR(INDEX(B!$G$2:$G$61,MATCH($J107,B!$E$2:$E$61,0))&amp;"",""))</f>
        <v/>
      </c>
      <c r="P107" s="69">
        <f>IF($J107="","",IFERROR(INDEX(B!$H$2:$H$61,MATCH($J107,B!$E$2:$E$61,0))&amp;"",""))</f>
        <v/>
      </c>
      <c r="Q107" s="69">
        <f>IF($J107="","",IFERROR(INDEX(B!$I$2:$I$61,MATCH($J107,B!$E$2:$E$61,0))&amp;"",""))</f>
        <v/>
      </c>
      <c r="R107" s="69">
        <f>IF($J107="","",IFERROR(INDEX(B!$J$2:$J$61,MATCH($J107,B!$E$2:$E$61,0))&amp;"",""))</f>
        <v/>
      </c>
      <c r="S107" s="69">
        <f>IF($J107="","",IFERROR(INDEX(B!$K$2:$K$61,MATCH($J107,B!$E$2:$E$61,0))&amp;"",""))</f>
        <v/>
      </c>
      <c r="T107" s="69">
        <f>IF($J107="","",IFERROR(INDEX(B!$L$2:$L$61,MATCH($J107,B!$E$2:$E$61,0))&amp;"",""))</f>
        <v/>
      </c>
      <c r="U107" s="20" t="n"/>
      <c r="V107" s="70">
        <f>IF($J107="","",IFERROR(INDEX(B!$M$2:$M$61,MATCH($J107,B!$E$2:$E$61,0))&amp;"",""))</f>
        <v/>
      </c>
      <c r="W107" s="71">
        <f>IF(I107="","",IFERROR(MID(I107,FIND("/d/",I107)+3,FIND("/edit",I107)-FIND("/d/",I107)-3),I107))</f>
        <v/>
      </c>
      <c r="X107" s="71">
        <f>IF($J107="","",IFERROR(INDEX(B!$C$2:$C$61,MATCH($J107,B!$E$2:$E$61,0))&amp;"",""))</f>
        <v/>
      </c>
      <c r="Y107" s="20" t="n"/>
      <c r="Z107" s="72">
        <f>IF($J107="",FALSE,ISNUMBER(SEARCH("scout",$K107)))</f>
        <v/>
      </c>
      <c r="AA107" s="72">
        <f>IF($J107="",FALSE,IFERROR(INDEX(B!$N$2:$N$61,MATCH($J107,B!$E$2:$E$61,0))="Sim",FALSE))</f>
        <v/>
      </c>
      <c r="AB107" s="72">
        <f>IF($J107="",FALSE,LEFT($X107,2)="XX")</f>
        <v/>
      </c>
      <c r="AC107" s="72">
        <f>IF($J107="",FALSE,IFERROR(INDEX(B!$P$2:$P$61,MATCH($J107,B!$E$2:$E$61,0))="Sim",FALSE))</f>
        <v/>
      </c>
      <c r="AD107" s="20" t="n"/>
      <c r="AE107" s="52">
        <f>IF(H107="","",HOUR(H107))</f>
        <v/>
      </c>
      <c r="AF107" s="52" t="n"/>
    </row>
    <row r="108" ht="19.5" customHeight="1" s="58">
      <c r="A108" s="62">
        <f>IF(G108="","",IF(G108=G107,"",COUNTIF($G$3:$G$976,G108)))</f>
        <v/>
      </c>
      <c r="B108" s="20" t="n"/>
      <c r="C108" s="63">
        <f>IF(G108="","",DAY(G108))</f>
        <v/>
      </c>
      <c r="D108" s="63">
        <f>IF(G108="","",MONTH(G108))</f>
        <v/>
      </c>
      <c r="E108" s="63">
        <f>IF(G108="","",YEAR(G108))</f>
        <v/>
      </c>
      <c r="F108" s="33">
        <f>IF(G108="","",CHOOSE(MONTH(G108),"Janeiro","Fevereiro","Março","Abril","Maio","Junho","Julho","Agosto","Setembro","Outubro","Novembro","Dezembro"))</f>
        <v/>
      </c>
      <c r="G108" s="64" t="n">
        <v>46056</v>
      </c>
      <c r="H108" s="65" t="n">
        <v>0.1230787037037037</v>
      </c>
      <c r="I108" s="66" t="inlineStr">
        <is>
          <t>https://docs.google.com/spreadsheets/d/1ZiCGoPjLCjuYvujDTXK9Ixbth3tekiLtFBzBrGjPCr4/edit?gid=0#gid=0</t>
        </is>
      </c>
      <c r="J108" s="67" t="inlineStr">
        <is>
          <t>Mais informações Gerais - [AA]</t>
        </is>
      </c>
      <c r="K108" s="67" t="inlineStr"/>
      <c r="L108" s="68" t="b">
        <v>0</v>
      </c>
      <c r="M108" s="20" t="n"/>
      <c r="N108" s="69">
        <f>IF($J108="","",IFERROR(INDEX(B!$F$2:$F$61,MATCH($J108,B!$E$2:$E$61,0))&amp;"",""))</f>
        <v/>
      </c>
      <c r="O108" s="69">
        <f>IF($J108="","",IFERROR(INDEX(B!$G$2:$G$61,MATCH($J108,B!$E$2:$E$61,0))&amp;"",""))</f>
        <v/>
      </c>
      <c r="P108" s="69">
        <f>IF($J108="","",IFERROR(INDEX(B!$H$2:$H$61,MATCH($J108,B!$E$2:$E$61,0))&amp;"",""))</f>
        <v/>
      </c>
      <c r="Q108" s="69">
        <f>IF($J108="","",IFERROR(INDEX(B!$I$2:$I$61,MATCH($J108,B!$E$2:$E$61,0))&amp;"",""))</f>
        <v/>
      </c>
      <c r="R108" s="69">
        <f>IF($J108="","",IFERROR(INDEX(B!$J$2:$J$61,MATCH($J108,B!$E$2:$E$61,0))&amp;"",""))</f>
        <v/>
      </c>
      <c r="S108" s="69">
        <f>IF($J108="","",IFERROR(INDEX(B!$K$2:$K$61,MATCH($J108,B!$E$2:$E$61,0))&amp;"",""))</f>
        <v/>
      </c>
      <c r="T108" s="69">
        <f>IF($J108="","",IFERROR(INDEX(B!$L$2:$L$61,MATCH($J108,B!$E$2:$E$61,0))&amp;"",""))</f>
        <v/>
      </c>
      <c r="U108" s="20" t="n"/>
      <c r="V108" s="70">
        <f>IF($J108="","",IFERROR(INDEX(B!$M$2:$M$61,MATCH($J108,B!$E$2:$E$61,0))&amp;"",""))</f>
        <v/>
      </c>
      <c r="W108" s="71">
        <f>IF(I108="","",IFERROR(MID(I108,FIND("/d/",I108)+3,FIND("/edit",I108)-FIND("/d/",I108)-3),I108))</f>
        <v/>
      </c>
      <c r="X108" s="71">
        <f>IF($J108="","",IFERROR(INDEX(B!$C$2:$C$61,MATCH($J108,B!$E$2:$E$61,0))&amp;"",""))</f>
        <v/>
      </c>
      <c r="Y108" s="20" t="n"/>
      <c r="Z108" s="72">
        <f>IF($J108="",FALSE,ISNUMBER(SEARCH("scout",$K108)))</f>
        <v/>
      </c>
      <c r="AA108" s="72">
        <f>IF($J108="",FALSE,IFERROR(INDEX(B!$N$2:$N$61,MATCH($J108,B!$E$2:$E$61,0))="Sim",FALSE))</f>
        <v/>
      </c>
      <c r="AB108" s="72">
        <f>IF($J108="",FALSE,LEFT($X108,2)="XX")</f>
        <v/>
      </c>
      <c r="AC108" s="72">
        <f>IF($J108="",FALSE,IFERROR(INDEX(B!$P$2:$P$61,MATCH($J108,B!$E$2:$E$61,0))="Sim",FALSE))</f>
        <v/>
      </c>
      <c r="AD108" s="20" t="n"/>
      <c r="AE108" s="52">
        <f>IF(H108="","",HOUR(H108))</f>
        <v/>
      </c>
      <c r="AF108" s="52" t="n"/>
    </row>
    <row r="109" ht="19.5" customHeight="1" s="58">
      <c r="A109" s="62">
        <f>IF(G109="","",IF(G109=G108,"",COUNTIF($G$3:$G$976,G109)))</f>
        <v/>
      </c>
      <c r="B109" s="20" t="n"/>
      <c r="C109" s="63">
        <f>IF(G109="","",DAY(G109))</f>
        <v/>
      </c>
      <c r="D109" s="63">
        <f>IF(G109="","",MONTH(G109))</f>
        <v/>
      </c>
      <c r="E109" s="63">
        <f>IF(G109="","",YEAR(G109))</f>
        <v/>
      </c>
      <c r="F109" s="33">
        <f>IF(G109="","",CHOOSE(MONTH(G109),"Janeiro","Fevereiro","Março","Abril","Maio","Junho","Julho","Agosto","Setembro","Outubro","Novembro","Dezembro"))</f>
        <v/>
      </c>
      <c r="G109" s="64" t="n">
        <v>46056</v>
      </c>
      <c r="H109" s="65" t="n">
        <v>0.1304166666666667</v>
      </c>
      <c r="I109" s="66" t="inlineStr">
        <is>
          <t>https://docs.google.com/spreadsheets/d/1ZiCGoPjLCjuYvujDTXK9Ixbth3tekiLtFBzBrGjPCr4/edit?gid=0#gid=0</t>
        </is>
      </c>
      <c r="J109" s="67" t="inlineStr">
        <is>
          <t>Transferência de LOB (Profissionalismo) - [TIPR]</t>
        </is>
      </c>
      <c r="K109" s="67" t="inlineStr">
        <is>
          <t>Scout</t>
        </is>
      </c>
      <c r="L109" s="68" t="b">
        <v>0</v>
      </c>
      <c r="M109" s="20" t="n"/>
      <c r="N109" s="69">
        <f>IF($J109="","",IFERROR(INDEX(B!$F$2:$F$61,MATCH($J109,B!$E$2:$E$61,0))&amp;"",""))</f>
        <v/>
      </c>
      <c r="O109" s="69">
        <f>IF($J109="","",IFERROR(INDEX(B!$G$2:$G$61,MATCH($J109,B!$E$2:$E$61,0))&amp;"",""))</f>
        <v/>
      </c>
      <c r="P109" s="69">
        <f>IF($J109="","",IFERROR(INDEX(B!$H$2:$H$61,MATCH($J109,B!$E$2:$E$61,0))&amp;"",""))</f>
        <v/>
      </c>
      <c r="Q109" s="69">
        <f>IF($J109="","",IFERROR(INDEX(B!$I$2:$I$61,MATCH($J109,B!$E$2:$E$61,0))&amp;"",""))</f>
        <v/>
      </c>
      <c r="R109" s="69">
        <f>IF($J109="","",IFERROR(INDEX(B!$J$2:$J$61,MATCH($J109,B!$E$2:$E$61,0))&amp;"",""))</f>
        <v/>
      </c>
      <c r="S109" s="69">
        <f>IF($J109="","",IFERROR(INDEX(B!$K$2:$K$61,MATCH($J109,B!$E$2:$E$61,0))&amp;"",""))</f>
        <v/>
      </c>
      <c r="T109" s="69">
        <f>IF($J109="","",IFERROR(INDEX(B!$L$2:$L$61,MATCH($J109,B!$E$2:$E$61,0))&amp;"",""))</f>
        <v/>
      </c>
      <c r="U109" s="20" t="n"/>
      <c r="V109" s="70">
        <f>IF($J109="","",IFERROR(INDEX(B!$M$2:$M$61,MATCH($J109,B!$E$2:$E$61,0))&amp;"",""))</f>
        <v/>
      </c>
      <c r="W109" s="71">
        <f>IF(I109="","",IFERROR(MID(I109,FIND("/d/",I109)+3,FIND("/edit",I109)-FIND("/d/",I109)-3),I109))</f>
        <v/>
      </c>
      <c r="X109" s="71">
        <f>IF($J109="","",IFERROR(INDEX(B!$C$2:$C$61,MATCH($J109,B!$E$2:$E$61,0))&amp;"",""))</f>
        <v/>
      </c>
      <c r="Y109" s="20" t="n"/>
      <c r="Z109" s="72">
        <f>IF($J109="",FALSE,ISNUMBER(SEARCH("scout",$K109)))</f>
        <v/>
      </c>
      <c r="AA109" s="72">
        <f>IF($J109="",FALSE,IFERROR(INDEX(B!$N$2:$N$61,MATCH($J109,B!$E$2:$E$61,0))="Sim",FALSE))</f>
        <v/>
      </c>
      <c r="AB109" s="72">
        <f>IF($J109="",FALSE,LEFT($X109,2)="XX")</f>
        <v/>
      </c>
      <c r="AC109" s="72">
        <f>IF($J109="",FALSE,IFERROR(INDEX(B!$P$2:$P$61,MATCH($J109,B!$E$2:$E$61,0))="Sim",FALSE))</f>
        <v/>
      </c>
      <c r="AD109" s="20" t="n"/>
      <c r="AE109" s="52">
        <f>IF(H109="","",HOUR(H109))</f>
        <v/>
      </c>
      <c r="AF109" s="52" t="n"/>
    </row>
    <row r="110" ht="19.5" customHeight="1" s="58">
      <c r="A110" s="62">
        <f>IF(G110="","",IF(G110=G109,"",COUNTIF($G$3:$G$976,G110)))</f>
        <v/>
      </c>
      <c r="B110" s="20" t="n"/>
      <c r="C110" s="63">
        <f>IF(G110="","",DAY(G110))</f>
        <v/>
      </c>
      <c r="D110" s="63">
        <f>IF(G110="","",MONTH(G110))</f>
        <v/>
      </c>
      <c r="E110" s="63">
        <f>IF(G110="","",YEAR(G110))</f>
        <v/>
      </c>
      <c r="F110" s="33">
        <f>IF(G110="","",CHOOSE(MONTH(G110),"Janeiro","Fevereiro","Março","Abril","Maio","Junho","Julho","Agosto","Setembro","Outubro","Novembro","Dezembro"))</f>
        <v/>
      </c>
      <c r="G110" s="64" t="n">
        <v>46056</v>
      </c>
      <c r="H110" s="65" t="n">
        <v>0.1308564814814815</v>
      </c>
      <c r="I110" s="66" t="inlineStr">
        <is>
          <t>https://docs.google.com/spreadsheets/d/1ZiCGoPjLCjuYvujDTXK9Ixbth3tekiLtFBzBrGjPCr4/edit?gid=0#gid=0</t>
        </is>
      </c>
      <c r="J110" s="67" t="inlineStr">
        <is>
          <t>Pushback - [XX]</t>
        </is>
      </c>
      <c r="K110" s="67" t="inlineStr">
        <is>
          <t>Scout</t>
        </is>
      </c>
      <c r="L110" s="68" t="b">
        <v>0</v>
      </c>
      <c r="M110" s="20" t="n"/>
      <c r="N110" s="69">
        <f>IF($J110="","",IFERROR(INDEX(B!$F$2:$F$61,MATCH($J110,B!$E$2:$E$61,0))&amp;"",""))</f>
        <v/>
      </c>
      <c r="O110" s="69">
        <f>IF($J110="","",IFERROR(INDEX(B!$G$2:$G$61,MATCH($J110,B!$E$2:$E$61,0))&amp;"",""))</f>
        <v/>
      </c>
      <c r="P110" s="69">
        <f>IF($J110="","",IFERROR(INDEX(B!$H$2:$H$61,MATCH($J110,B!$E$2:$E$61,0))&amp;"",""))</f>
        <v/>
      </c>
      <c r="Q110" s="69">
        <f>IF($J110="","",IFERROR(INDEX(B!$I$2:$I$61,MATCH($J110,B!$E$2:$E$61,0))&amp;"",""))</f>
        <v/>
      </c>
      <c r="R110" s="69">
        <f>IF($J110="","",IFERROR(INDEX(B!$J$2:$J$61,MATCH($J110,B!$E$2:$E$61,0))&amp;"",""))</f>
        <v/>
      </c>
      <c r="S110" s="69">
        <f>IF($J110="","",IFERROR(INDEX(B!$K$2:$K$61,MATCH($J110,B!$E$2:$E$61,0))&amp;"",""))</f>
        <v/>
      </c>
      <c r="T110" s="69">
        <f>IF($J110="","",IFERROR(INDEX(B!$L$2:$L$61,MATCH($J110,B!$E$2:$E$61,0))&amp;"",""))</f>
        <v/>
      </c>
      <c r="U110" s="20" t="n"/>
      <c r="V110" s="70">
        <f>IF($J110="","",IFERROR(INDEX(B!$M$2:$M$61,MATCH($J110,B!$E$2:$E$61,0))&amp;"",""))</f>
        <v/>
      </c>
      <c r="W110" s="71">
        <f>IF(I110="","",IFERROR(MID(I110,FIND("/d/",I110)+3,FIND("/edit",I110)-FIND("/d/",I110)-3),I110))</f>
        <v/>
      </c>
      <c r="X110" s="71">
        <f>IF($J110="","",IFERROR(INDEX(B!$C$2:$C$61,MATCH($J110,B!$E$2:$E$61,0))&amp;"",""))</f>
        <v/>
      </c>
      <c r="Y110" s="20" t="n"/>
      <c r="Z110" s="72">
        <f>IF($J110="",FALSE,ISNUMBER(SEARCH("scout",$K110)))</f>
        <v/>
      </c>
      <c r="AA110" s="72">
        <f>IF($J110="",FALSE,IFERROR(INDEX(B!$N$2:$N$61,MATCH($J110,B!$E$2:$E$61,0))="Sim",FALSE))</f>
        <v/>
      </c>
      <c r="AB110" s="72">
        <f>IF($J110="",FALSE,LEFT($X110,2)="XX")</f>
        <v/>
      </c>
      <c r="AC110" s="72">
        <f>IF($J110="",FALSE,IFERROR(INDEX(B!$P$2:$P$61,MATCH($J110,B!$E$2:$E$61,0))="Sim",FALSE))</f>
        <v/>
      </c>
      <c r="AD110" s="20" t="n"/>
      <c r="AE110" s="52">
        <f>IF(H110="","",HOUR(H110))</f>
        <v/>
      </c>
      <c r="AF110" s="52" t="n"/>
    </row>
    <row r="111" ht="19.5" customHeight="1" s="58">
      <c r="A111" s="62">
        <f>IF(G111="","",IF(G111=G110,"",COUNTIF($G$3:$G$976,G111)))</f>
        <v/>
      </c>
      <c r="B111" s="20" t="n"/>
      <c r="C111" s="63">
        <f>IF(G111="","",DAY(G111))</f>
        <v/>
      </c>
      <c r="D111" s="63">
        <f>IF(G111="","",MONTH(G111))</f>
        <v/>
      </c>
      <c r="E111" s="63">
        <f>IF(G111="","",YEAR(G111))</f>
        <v/>
      </c>
      <c r="F111" s="33">
        <f>IF(G111="","",CHOOSE(MONTH(G111),"Janeiro","Fevereiro","Março","Abril","Maio","Junho","Julho","Agosto","Setembro","Outubro","Novembro","Dezembro"))</f>
        <v/>
      </c>
      <c r="G111" s="64" t="n">
        <v>46056</v>
      </c>
      <c r="H111" s="65" t="n">
        <v>0.1375</v>
      </c>
      <c r="I111" s="66" t="inlineStr">
        <is>
          <t>https://docs.google.com/spreadsheets/d/1ZiCGoPjLCjuYvujDTXK9Ixbth3tekiLtFBzBrGjPCr4/edit?gid=0#gid=0</t>
        </is>
      </c>
      <c r="J111" s="67" t="inlineStr">
        <is>
          <t>Transferência de LOB (Lost Items) - [TILI]</t>
        </is>
      </c>
      <c r="K111" s="67" t="inlineStr"/>
      <c r="L111" s="68" t="b">
        <v>0</v>
      </c>
      <c r="M111" s="20" t="n"/>
      <c r="N111" s="69">
        <f>IF($J111="","",IFERROR(INDEX(B!$F$2:$F$61,MATCH($J111,B!$E$2:$E$61,0))&amp;"",""))</f>
        <v/>
      </c>
      <c r="O111" s="69">
        <f>IF($J111="","",IFERROR(INDEX(B!$G$2:$G$61,MATCH($J111,B!$E$2:$E$61,0))&amp;"",""))</f>
        <v/>
      </c>
      <c r="P111" s="69">
        <f>IF($J111="","",IFERROR(INDEX(B!$H$2:$H$61,MATCH($J111,B!$E$2:$E$61,0))&amp;"",""))</f>
        <v/>
      </c>
      <c r="Q111" s="69">
        <f>IF($J111="","",IFERROR(INDEX(B!$I$2:$I$61,MATCH($J111,B!$E$2:$E$61,0))&amp;"",""))</f>
        <v/>
      </c>
      <c r="R111" s="69">
        <f>IF($J111="","",IFERROR(INDEX(B!$J$2:$J$61,MATCH($J111,B!$E$2:$E$61,0))&amp;"",""))</f>
        <v/>
      </c>
      <c r="S111" s="69">
        <f>IF($J111="","",IFERROR(INDEX(B!$K$2:$K$61,MATCH($J111,B!$E$2:$E$61,0))&amp;"",""))</f>
        <v/>
      </c>
      <c r="T111" s="69">
        <f>IF($J111="","",IFERROR(INDEX(B!$L$2:$L$61,MATCH($J111,B!$E$2:$E$61,0))&amp;"",""))</f>
        <v/>
      </c>
      <c r="U111" s="20" t="n"/>
      <c r="V111" s="70">
        <f>IF($J111="","",IFERROR(INDEX(B!$M$2:$M$61,MATCH($J111,B!$E$2:$E$61,0))&amp;"",""))</f>
        <v/>
      </c>
      <c r="W111" s="71">
        <f>IF(I111="","",IFERROR(MID(I111,FIND("/d/",I111)+3,FIND("/edit",I111)-FIND("/d/",I111)-3),I111))</f>
        <v/>
      </c>
      <c r="X111" s="71">
        <f>IF($J111="","",IFERROR(INDEX(B!$C$2:$C$61,MATCH($J111,B!$E$2:$E$61,0))&amp;"",""))</f>
        <v/>
      </c>
      <c r="Y111" s="20" t="n"/>
      <c r="Z111" s="72">
        <f>IF($J111="",FALSE,ISNUMBER(SEARCH("scout",$K111)))</f>
        <v/>
      </c>
      <c r="AA111" s="72">
        <f>IF($J111="",FALSE,IFERROR(INDEX(B!$N$2:$N$61,MATCH($J111,B!$E$2:$E$61,0))="Sim",FALSE))</f>
        <v/>
      </c>
      <c r="AB111" s="72">
        <f>IF($J111="",FALSE,LEFT($X111,2)="XX")</f>
        <v/>
      </c>
      <c r="AC111" s="72">
        <f>IF($J111="",FALSE,IFERROR(INDEX(B!$P$2:$P$61,MATCH($J111,B!$E$2:$E$61,0))="Sim",FALSE))</f>
        <v/>
      </c>
      <c r="AD111" s="20" t="n"/>
      <c r="AE111" s="52">
        <f>IF(H111="","",HOUR(H111))</f>
        <v/>
      </c>
      <c r="AF111" s="52" t="n"/>
    </row>
    <row r="112" ht="19.5" customHeight="1" s="58">
      <c r="A112" s="62">
        <f>IF(G112="","",IF(G112=G111,"",COUNTIF($G$3:$G$976,G112)))</f>
        <v/>
      </c>
      <c r="B112" s="20" t="n"/>
      <c r="C112" s="63">
        <f>IF(G112="","",DAY(G112))</f>
        <v/>
      </c>
      <c r="D112" s="63">
        <f>IF(G112="","",MONTH(G112))</f>
        <v/>
      </c>
      <c r="E112" s="63">
        <f>IF(G112="","",YEAR(G112))</f>
        <v/>
      </c>
      <c r="F112" s="33">
        <f>IF(G112="","",CHOOSE(MONTH(G112),"Janeiro","Fevereiro","Março","Abril","Maio","Junho","Julho","Agosto","Setembro","Outubro","Novembro","Dezembro"))</f>
        <v/>
      </c>
      <c r="G112" s="64" t="n">
        <v>46056</v>
      </c>
      <c r="H112" s="65" t="n">
        <v>0.1450231481481482</v>
      </c>
      <c r="I112" s="66" t="inlineStr">
        <is>
          <t>https://docs.google.com/spreadsheets/d/1ZiCGoPjLCjuYvujDTXK9Ixbth3tekiLtFBzBrGjPCr4/edit?gid=0#gid=0</t>
        </is>
      </c>
      <c r="J112" s="67" t="inlineStr">
        <is>
          <t>Mais informações (Quanto Pagou?) - [AAV]</t>
        </is>
      </c>
      <c r="K112" s="67" t="inlineStr"/>
      <c r="L112" s="68" t="b">
        <v>1</v>
      </c>
      <c r="M112" s="20" t="n"/>
      <c r="N112" s="69">
        <f>IF($J112="","",IFERROR(INDEX(B!$F$2:$F$61,MATCH($J112,B!$E$2:$E$61,0))&amp;"",""))</f>
        <v/>
      </c>
      <c r="O112" s="69">
        <f>IF($J112="","",IFERROR(INDEX(B!$G$2:$G$61,MATCH($J112,B!$E$2:$E$61,0))&amp;"",""))</f>
        <v/>
      </c>
      <c r="P112" s="69">
        <f>IF($J112="","",IFERROR(INDEX(B!$H$2:$H$61,MATCH($J112,B!$E$2:$E$61,0))&amp;"",""))</f>
        <v/>
      </c>
      <c r="Q112" s="69">
        <f>IF($J112="","",IFERROR(INDEX(B!$I$2:$I$61,MATCH($J112,B!$E$2:$E$61,0))&amp;"",""))</f>
        <v/>
      </c>
      <c r="R112" s="69">
        <f>IF($J112="","",IFERROR(INDEX(B!$J$2:$J$61,MATCH($J112,B!$E$2:$E$61,0))&amp;"",""))</f>
        <v/>
      </c>
      <c r="S112" s="69">
        <f>IF($J112="","",IFERROR(INDEX(B!$K$2:$K$61,MATCH($J112,B!$E$2:$E$61,0))&amp;"",""))</f>
        <v/>
      </c>
      <c r="T112" s="69">
        <f>IF($J112="","",IFERROR(INDEX(B!$L$2:$L$61,MATCH($J112,B!$E$2:$E$61,0))&amp;"",""))</f>
        <v/>
      </c>
      <c r="U112" s="20" t="n"/>
      <c r="V112" s="70">
        <f>IF($J112="","",IFERROR(INDEX(B!$M$2:$M$61,MATCH($J112,B!$E$2:$E$61,0))&amp;"",""))</f>
        <v/>
      </c>
      <c r="W112" s="71">
        <f>IF(I112="","",IFERROR(MID(I112,FIND("/d/",I112)+3,FIND("/edit",I112)-FIND("/d/",I112)-3),I112))</f>
        <v/>
      </c>
      <c r="X112" s="71">
        <f>IF($J112="","",IFERROR(INDEX(B!$C$2:$C$61,MATCH($J112,B!$E$2:$E$61,0))&amp;"",""))</f>
        <v/>
      </c>
      <c r="Y112" s="20" t="n"/>
      <c r="Z112" s="72">
        <f>IF($J112="",FALSE,ISNUMBER(SEARCH("scout",$K112)))</f>
        <v/>
      </c>
      <c r="AA112" s="72">
        <f>IF($J112="",FALSE,IFERROR(INDEX(B!$N$2:$N$61,MATCH($J112,B!$E$2:$E$61,0))="Sim",FALSE))</f>
        <v/>
      </c>
      <c r="AB112" s="72">
        <f>IF($J112="",FALSE,LEFT($X112,2)="XX")</f>
        <v/>
      </c>
      <c r="AC112" s="72">
        <f>IF($J112="",FALSE,IFERROR(INDEX(B!$P$2:$P$61,MATCH($J112,B!$E$2:$E$61,0))="Sim",FALSE))</f>
        <v/>
      </c>
      <c r="AD112" s="20" t="n"/>
      <c r="AE112" s="52">
        <f>IF(H112="","",HOUR(H112))</f>
        <v/>
      </c>
      <c r="AF112" s="52" t="n"/>
    </row>
    <row r="113" ht="19.5" customHeight="1" s="58">
      <c r="A113" s="62">
        <f>IF(G113="","",IF(G113=G112,"",COUNTIF($G$3:$G$976,G113)))</f>
        <v/>
      </c>
      <c r="B113" s="20" t="n"/>
      <c r="C113" s="63">
        <f>IF(G113="","",DAY(G113))</f>
        <v/>
      </c>
      <c r="D113" s="63">
        <f>IF(G113="","",MONTH(G113))</f>
        <v/>
      </c>
      <c r="E113" s="63">
        <f>IF(G113="","",YEAR(G113))</f>
        <v/>
      </c>
      <c r="F113" s="33">
        <f>IF(G113="","",CHOOSE(MONTH(G113),"Janeiro","Fevereiro","Março","Abril","Maio","Junho","Julho","Agosto","Setembro","Outubro","Novembro","Dezembro"))</f>
        <v/>
      </c>
      <c r="G113" s="64" t="n">
        <v>46056</v>
      </c>
      <c r="H113" s="65" t="n">
        <v>0.1452662037037037</v>
      </c>
      <c r="I113" s="66" t="inlineStr">
        <is>
          <t>https://docs.google.com/spreadsheets/d/1ZiCGoPjLCjuYvujDTXK9Ixbth3tekiLtFBzBrGjPCr4/edit?gid=0#gid=0</t>
        </is>
      </c>
      <c r="J113" s="67" t="inlineStr">
        <is>
          <t>Transferência de LOB (Profissionalismo) - [TIPR]</t>
        </is>
      </c>
      <c r="K113" s="67" t="inlineStr">
        <is>
          <t>Scout</t>
        </is>
      </c>
      <c r="L113" s="68" t="b">
        <v>0</v>
      </c>
      <c r="M113" s="20" t="n"/>
      <c r="N113" s="69">
        <f>IF($J113="","",IFERROR(INDEX(B!$F$2:$F$61,MATCH($J113,B!$E$2:$E$61,0))&amp;"",""))</f>
        <v/>
      </c>
      <c r="O113" s="69">
        <f>IF($J113="","",IFERROR(INDEX(B!$G$2:$G$61,MATCH($J113,B!$E$2:$E$61,0))&amp;"",""))</f>
        <v/>
      </c>
      <c r="P113" s="69">
        <f>IF($J113="","",IFERROR(INDEX(B!$H$2:$H$61,MATCH($J113,B!$E$2:$E$61,0))&amp;"",""))</f>
        <v/>
      </c>
      <c r="Q113" s="69">
        <f>IF($J113="","",IFERROR(INDEX(B!$I$2:$I$61,MATCH($J113,B!$E$2:$E$61,0))&amp;"",""))</f>
        <v/>
      </c>
      <c r="R113" s="69">
        <f>IF($J113="","",IFERROR(INDEX(B!$J$2:$J$61,MATCH($J113,B!$E$2:$E$61,0))&amp;"",""))</f>
        <v/>
      </c>
      <c r="S113" s="69">
        <f>IF($J113="","",IFERROR(INDEX(B!$K$2:$K$61,MATCH($J113,B!$E$2:$E$61,0))&amp;"",""))</f>
        <v/>
      </c>
      <c r="T113" s="69">
        <f>IF($J113="","",IFERROR(INDEX(B!$L$2:$L$61,MATCH($J113,B!$E$2:$E$61,0))&amp;"",""))</f>
        <v/>
      </c>
      <c r="U113" s="20" t="n"/>
      <c r="V113" s="70">
        <f>IF($J113="","",IFERROR(INDEX(B!$M$2:$M$61,MATCH($J113,B!$E$2:$E$61,0))&amp;"",""))</f>
        <v/>
      </c>
      <c r="W113" s="71">
        <f>IF(I113="","",IFERROR(MID(I113,FIND("/d/",I113)+3,FIND("/edit",I113)-FIND("/d/",I113)-3),I113))</f>
        <v/>
      </c>
      <c r="X113" s="71">
        <f>IF($J113="","",IFERROR(INDEX(B!$C$2:$C$61,MATCH($J113,B!$E$2:$E$61,0))&amp;"",""))</f>
        <v/>
      </c>
      <c r="Y113" s="20" t="n"/>
      <c r="Z113" s="72">
        <f>IF($J113="",FALSE,ISNUMBER(SEARCH("scout",$K113)))</f>
        <v/>
      </c>
      <c r="AA113" s="72">
        <f>IF($J113="",FALSE,IFERROR(INDEX(B!$N$2:$N$61,MATCH($J113,B!$E$2:$E$61,0))="Sim",FALSE))</f>
        <v/>
      </c>
      <c r="AB113" s="72">
        <f>IF($J113="",FALSE,LEFT($X113,2)="XX")</f>
        <v/>
      </c>
      <c r="AC113" s="72">
        <f>IF($J113="",FALSE,IFERROR(INDEX(B!$P$2:$P$61,MATCH($J113,B!$E$2:$E$61,0))="Sim",FALSE))</f>
        <v/>
      </c>
      <c r="AD113" s="20" t="n"/>
      <c r="AE113" s="52">
        <f>IF(H113="","",HOUR(H113))</f>
        <v/>
      </c>
      <c r="AF113" s="52" t="n"/>
    </row>
    <row r="114" ht="19.5" customHeight="1" s="58">
      <c r="A114" s="62">
        <f>IF(G114="","",IF(G114=G113,"",COUNTIF($G$3:$G$976,G114)))</f>
        <v/>
      </c>
      <c r="B114" s="20" t="n"/>
      <c r="C114" s="63">
        <f>IF(G114="","",DAY(G114))</f>
        <v/>
      </c>
      <c r="D114" s="63">
        <f>IF(G114="","",MONTH(G114))</f>
        <v/>
      </c>
      <c r="E114" s="63">
        <f>IF(G114="","",YEAR(G114))</f>
        <v/>
      </c>
      <c r="F114" s="33">
        <f>IF(G114="","",CHOOSE(MONTH(G114),"Janeiro","Fevereiro","Março","Abril","Maio","Junho","Julho","Agosto","Setembro","Outubro","Novembro","Dezembro"))</f>
        <v/>
      </c>
      <c r="G114" s="64" t="n">
        <v>46056</v>
      </c>
      <c r="H114" s="65" t="n">
        <v>0.1487731481481482</v>
      </c>
      <c r="I114" s="66" t="inlineStr">
        <is>
          <t>https://docs.google.com/spreadsheets/d/1ZiCGoPjLCjuYvujDTXK9Ixbth3tekiLtFBzBrGjPCr4/edit?gid=0#gid=0</t>
        </is>
      </c>
      <c r="J114" s="67" t="inlineStr">
        <is>
          <t>Não houve Taxa de Cancelamento - [NTX]</t>
        </is>
      </c>
      <c r="K114" s="67" t="inlineStr"/>
      <c r="L114" s="68" t="b">
        <v>1</v>
      </c>
      <c r="M114" s="20" t="n"/>
      <c r="N114" s="69">
        <f>IF($J114="","",IFERROR(INDEX(B!$F$2:$F$61,MATCH($J114,B!$E$2:$E$61,0))&amp;"",""))</f>
        <v/>
      </c>
      <c r="O114" s="69">
        <f>IF($J114="","",IFERROR(INDEX(B!$G$2:$G$61,MATCH($J114,B!$E$2:$E$61,0))&amp;"",""))</f>
        <v/>
      </c>
      <c r="P114" s="69">
        <f>IF($J114="","",IFERROR(INDEX(B!$H$2:$H$61,MATCH($J114,B!$E$2:$E$61,0))&amp;"",""))</f>
        <v/>
      </c>
      <c r="Q114" s="69">
        <f>IF($J114="","",IFERROR(INDEX(B!$I$2:$I$61,MATCH($J114,B!$E$2:$E$61,0))&amp;"",""))</f>
        <v/>
      </c>
      <c r="R114" s="69">
        <f>IF($J114="","",IFERROR(INDEX(B!$J$2:$J$61,MATCH($J114,B!$E$2:$E$61,0))&amp;"",""))</f>
        <v/>
      </c>
      <c r="S114" s="69">
        <f>IF($J114="","",IFERROR(INDEX(B!$K$2:$K$61,MATCH($J114,B!$E$2:$E$61,0))&amp;"",""))</f>
        <v/>
      </c>
      <c r="T114" s="69">
        <f>IF($J114="","",IFERROR(INDEX(B!$L$2:$L$61,MATCH($J114,B!$E$2:$E$61,0))&amp;"",""))</f>
        <v/>
      </c>
      <c r="U114" s="20" t="n"/>
      <c r="V114" s="70">
        <f>IF($J114="","",IFERROR(INDEX(B!$M$2:$M$61,MATCH($J114,B!$E$2:$E$61,0))&amp;"",""))</f>
        <v/>
      </c>
      <c r="W114" s="71">
        <f>IF(I114="","",IFERROR(MID(I114,FIND("/d/",I114)+3,FIND("/edit",I114)-FIND("/d/",I114)-3),I114))</f>
        <v/>
      </c>
      <c r="X114" s="71">
        <f>IF($J114="","",IFERROR(INDEX(B!$C$2:$C$61,MATCH($J114,B!$E$2:$E$61,0))&amp;"",""))</f>
        <v/>
      </c>
      <c r="Y114" s="20" t="n"/>
      <c r="Z114" s="72">
        <f>IF($J114="",FALSE,ISNUMBER(SEARCH("scout",$K114)))</f>
        <v/>
      </c>
      <c r="AA114" s="72">
        <f>IF($J114="",FALSE,IFERROR(INDEX(B!$N$2:$N$61,MATCH($J114,B!$E$2:$E$61,0))="Sim",FALSE))</f>
        <v/>
      </c>
      <c r="AB114" s="72">
        <f>IF($J114="",FALSE,LEFT($X114,2)="XX")</f>
        <v/>
      </c>
      <c r="AC114" s="72">
        <f>IF($J114="",FALSE,IFERROR(INDEX(B!$P$2:$P$61,MATCH($J114,B!$E$2:$E$61,0))="Sim",FALSE))</f>
        <v/>
      </c>
      <c r="AD114" s="20" t="n"/>
      <c r="AE114" s="52">
        <f>IF(H114="","",HOUR(H114))</f>
        <v/>
      </c>
      <c r="AF114" s="52" t="n"/>
    </row>
    <row r="115" ht="19.5" customHeight="1" s="58">
      <c r="A115" s="62">
        <f>IF(G115="","",IF(G115=G114,"",COUNTIF($G$3:$G$976,G115)))</f>
        <v/>
      </c>
      <c r="B115" s="20" t="n"/>
      <c r="C115" s="63">
        <f>IF(G115="","",DAY(G115))</f>
        <v/>
      </c>
      <c r="D115" s="63">
        <f>IF(G115="","",MONTH(G115))</f>
        <v/>
      </c>
      <c r="E115" s="63">
        <f>IF(G115="","",YEAR(G115))</f>
        <v/>
      </c>
      <c r="F115" s="33">
        <f>IF(G115="","",CHOOSE(MONTH(G115),"Janeiro","Fevereiro","Março","Abril","Maio","Junho","Julho","Agosto","Setembro","Outubro","Novembro","Dezembro"))</f>
        <v/>
      </c>
      <c r="G115" s="64" t="n">
        <v>46056</v>
      </c>
      <c r="H115" s="65" t="n">
        <v>0.1492013888888889</v>
      </c>
      <c r="I115" s="66" t="inlineStr">
        <is>
          <t>https://docs.google.com/spreadsheets/d/1ZiCGoPjLCjuYvujDTXK9Ixbth3tekiLtFBzBrGjPCr4/edit?gid=0#gid=0</t>
        </is>
      </c>
      <c r="J115" s="67" t="inlineStr">
        <is>
          <t>Erro de Gps (Problema Técnico) - [GPS]</t>
        </is>
      </c>
      <c r="K115" s="67" t="inlineStr"/>
      <c r="L115" s="68" t="b">
        <v>0</v>
      </c>
      <c r="M115" s="20" t="n"/>
      <c r="N115" s="69">
        <f>IF($J115="","",IFERROR(INDEX(B!$F$2:$F$61,MATCH($J115,B!$E$2:$E$61,0))&amp;"",""))</f>
        <v/>
      </c>
      <c r="O115" s="69">
        <f>IF($J115="","",IFERROR(INDEX(B!$G$2:$G$61,MATCH($J115,B!$E$2:$E$61,0))&amp;"",""))</f>
        <v/>
      </c>
      <c r="P115" s="69">
        <f>IF($J115="","",IFERROR(INDEX(B!$H$2:$H$61,MATCH($J115,B!$E$2:$E$61,0))&amp;"",""))</f>
        <v/>
      </c>
      <c r="Q115" s="69">
        <f>IF($J115="","",IFERROR(INDEX(B!$I$2:$I$61,MATCH($J115,B!$E$2:$E$61,0))&amp;"",""))</f>
        <v/>
      </c>
      <c r="R115" s="69">
        <f>IF($J115="","",IFERROR(INDEX(B!$J$2:$J$61,MATCH($J115,B!$E$2:$E$61,0))&amp;"",""))</f>
        <v/>
      </c>
      <c r="S115" s="69">
        <f>IF($J115="","",IFERROR(INDEX(B!$K$2:$K$61,MATCH($J115,B!$E$2:$E$61,0))&amp;"",""))</f>
        <v/>
      </c>
      <c r="T115" s="69">
        <f>IF($J115="","",IFERROR(INDEX(B!$L$2:$L$61,MATCH($J115,B!$E$2:$E$61,0))&amp;"",""))</f>
        <v/>
      </c>
      <c r="U115" s="20" t="n"/>
      <c r="V115" s="70">
        <f>IF($J115="","",IFERROR(INDEX(B!$M$2:$M$61,MATCH($J115,B!$E$2:$E$61,0))&amp;"",""))</f>
        <v/>
      </c>
      <c r="W115" s="71">
        <f>IF(I115="","",IFERROR(MID(I115,FIND("/d/",I115)+3,FIND("/edit",I115)-FIND("/d/",I115)-3),I115))</f>
        <v/>
      </c>
      <c r="X115" s="71">
        <f>IF($J115="","",IFERROR(INDEX(B!$C$2:$C$61,MATCH($J115,B!$E$2:$E$61,0))&amp;"",""))</f>
        <v/>
      </c>
      <c r="Y115" s="20" t="n"/>
      <c r="Z115" s="72">
        <f>IF($J115="",FALSE,ISNUMBER(SEARCH("scout",$K115)))</f>
        <v/>
      </c>
      <c r="AA115" s="72">
        <f>IF($J115="",FALSE,IFERROR(INDEX(B!$N$2:$N$61,MATCH($J115,B!$E$2:$E$61,0))="Sim",FALSE))</f>
        <v/>
      </c>
      <c r="AB115" s="72">
        <f>IF($J115="",FALSE,LEFT($X115,2)="XX")</f>
        <v/>
      </c>
      <c r="AC115" s="72">
        <f>IF($J115="",FALSE,IFERROR(INDEX(B!$P$2:$P$61,MATCH($J115,B!$E$2:$E$61,0))="Sim",FALSE))</f>
        <v/>
      </c>
      <c r="AD115" s="20" t="n"/>
      <c r="AE115" s="52">
        <f>IF(H115="","",HOUR(H115))</f>
        <v/>
      </c>
      <c r="AF115" s="52" t="n"/>
    </row>
    <row r="116" ht="19.5" customHeight="1" s="58">
      <c r="A116" s="62">
        <f>IF(G116="","",IF(G116=G115,"",COUNTIF($G$3:$G$976,G116)))</f>
        <v/>
      </c>
      <c r="B116" s="20" t="n"/>
      <c r="C116" s="63">
        <f>IF(G116="","",DAY(G116))</f>
        <v/>
      </c>
      <c r="D116" s="63">
        <f>IF(G116="","",MONTH(G116))</f>
        <v/>
      </c>
      <c r="E116" s="63">
        <f>IF(G116="","",YEAR(G116))</f>
        <v/>
      </c>
      <c r="F116" s="33">
        <f>IF(G116="","",CHOOSE(MONTH(G116),"Janeiro","Fevereiro","Março","Abril","Maio","Junho","Julho","Agosto","Setembro","Outubro","Novembro","Dezembro"))</f>
        <v/>
      </c>
      <c r="G116" s="64" t="n">
        <v>46056</v>
      </c>
      <c r="H116" s="65" t="n">
        <v>0.1539236111111111</v>
      </c>
      <c r="I116" s="66" t="inlineStr">
        <is>
          <t>https://docs.google.com/spreadsheets/d/1ZiCGoPjLCjuYvujDTXK9Ixbth3tekiLtFBzBrGjPCr4/edit?gid=0#gid=0</t>
        </is>
      </c>
      <c r="J116" s="67" t="inlineStr">
        <is>
          <t>Transferência de LOB (Geral não especificado) - [TI]</t>
        </is>
      </c>
      <c r="K116" s="67" t="inlineStr"/>
      <c r="L116" s="68" t="b">
        <v>0</v>
      </c>
      <c r="M116" s="20" t="n"/>
      <c r="N116" s="69">
        <f>IF($J116="","",IFERROR(INDEX(B!$F$2:$F$61,MATCH($J116,B!$E$2:$E$61,0))&amp;"",""))</f>
        <v/>
      </c>
      <c r="O116" s="69">
        <f>IF($J116="","",IFERROR(INDEX(B!$G$2:$G$61,MATCH($J116,B!$E$2:$E$61,0))&amp;"",""))</f>
        <v/>
      </c>
      <c r="P116" s="69">
        <f>IF($J116="","",IFERROR(INDEX(B!$H$2:$H$61,MATCH($J116,B!$E$2:$E$61,0))&amp;"",""))</f>
        <v/>
      </c>
      <c r="Q116" s="69">
        <f>IF($J116="","",IFERROR(INDEX(B!$I$2:$I$61,MATCH($J116,B!$E$2:$E$61,0))&amp;"",""))</f>
        <v/>
      </c>
      <c r="R116" s="69">
        <f>IF($J116="","",IFERROR(INDEX(B!$J$2:$J$61,MATCH($J116,B!$E$2:$E$61,0))&amp;"",""))</f>
        <v/>
      </c>
      <c r="S116" s="69">
        <f>IF($J116="","",IFERROR(INDEX(B!$K$2:$K$61,MATCH($J116,B!$E$2:$E$61,0))&amp;"",""))</f>
        <v/>
      </c>
      <c r="T116" s="69">
        <f>IF($J116="","",IFERROR(INDEX(B!$L$2:$L$61,MATCH($J116,B!$E$2:$E$61,0))&amp;"",""))</f>
        <v/>
      </c>
      <c r="U116" s="20" t="n"/>
      <c r="V116" s="70">
        <f>IF($J116="","",IFERROR(INDEX(B!$M$2:$M$61,MATCH($J116,B!$E$2:$E$61,0))&amp;"",""))</f>
        <v/>
      </c>
      <c r="W116" s="71">
        <f>IF(I116="","",IFERROR(MID(I116,FIND("/d/",I116)+3,FIND("/edit",I116)-FIND("/d/",I116)-3),I116))</f>
        <v/>
      </c>
      <c r="X116" s="71">
        <f>IF($J116="","",IFERROR(INDEX(B!$C$2:$C$61,MATCH($J116,B!$E$2:$E$61,0))&amp;"",""))</f>
        <v/>
      </c>
      <c r="Y116" s="20" t="n"/>
      <c r="Z116" s="72">
        <f>IF($J116="",FALSE,ISNUMBER(SEARCH("scout",$K116)))</f>
        <v/>
      </c>
      <c r="AA116" s="72">
        <f>IF($J116="",FALSE,IFERROR(INDEX(B!$N$2:$N$61,MATCH($J116,B!$E$2:$E$61,0))="Sim",FALSE))</f>
        <v/>
      </c>
      <c r="AB116" s="72">
        <f>IF($J116="",FALSE,LEFT($X116,2)="XX")</f>
        <v/>
      </c>
      <c r="AC116" s="72">
        <f>IF($J116="",FALSE,IFERROR(INDEX(B!$P$2:$P$61,MATCH($J116,B!$E$2:$E$61,0))="Sim",FALSE))</f>
        <v/>
      </c>
      <c r="AD116" s="20" t="n"/>
      <c r="AE116" s="52">
        <f>IF(H116="","",HOUR(H116))</f>
        <v/>
      </c>
      <c r="AF116" s="52" t="n"/>
    </row>
    <row r="117" ht="19.5" customHeight="1" s="58">
      <c r="A117" s="62">
        <f>IF(G117="","",IF(G117=G116,"",COUNTIF($G$3:$G$976,G117)))</f>
        <v/>
      </c>
      <c r="B117" s="20" t="n"/>
      <c r="C117" s="63">
        <f>IF(G117="","",DAY(G117))</f>
        <v/>
      </c>
      <c r="D117" s="63">
        <f>IF(G117="","",MONTH(G117))</f>
        <v/>
      </c>
      <c r="E117" s="63">
        <f>IF(G117="","",YEAR(G117))</f>
        <v/>
      </c>
      <c r="F117" s="33">
        <f>IF(G117="","",CHOOSE(MONTH(G117),"Janeiro","Fevereiro","Março","Abril","Maio","Junho","Julho","Agosto","Setembro","Outubro","Novembro","Dezembro"))</f>
        <v/>
      </c>
      <c r="G117" s="64" t="n">
        <v>46056</v>
      </c>
      <c r="H117" s="65" t="n">
        <v>0.1543055555555556</v>
      </c>
      <c r="I117" s="66" t="inlineStr">
        <is>
          <t>https://docs.google.com/spreadsheets/d/1ZiCGoPjLCjuYvujDTXK9Ixbth3tekiLtFBzBrGjPCr4/edit?gid=0#gid=0</t>
        </is>
      </c>
      <c r="J117" s="67" t="inlineStr">
        <is>
          <t>Transferência de LOB (Lost Items) - [TILI]</t>
        </is>
      </c>
      <c r="K117" s="67" t="inlineStr"/>
      <c r="L117" s="68" t="b">
        <v>0</v>
      </c>
      <c r="M117" s="20" t="n"/>
      <c r="N117" s="69">
        <f>IF($J117="","",IFERROR(INDEX(B!$F$2:$F$61,MATCH($J117,B!$E$2:$E$61,0))&amp;"",""))</f>
        <v/>
      </c>
      <c r="O117" s="69">
        <f>IF($J117="","",IFERROR(INDEX(B!$G$2:$G$61,MATCH($J117,B!$E$2:$E$61,0))&amp;"",""))</f>
        <v/>
      </c>
      <c r="P117" s="69">
        <f>IF($J117="","",IFERROR(INDEX(B!$H$2:$H$61,MATCH($J117,B!$E$2:$E$61,0))&amp;"",""))</f>
        <v/>
      </c>
      <c r="Q117" s="69">
        <f>IF($J117="","",IFERROR(INDEX(B!$I$2:$I$61,MATCH($J117,B!$E$2:$E$61,0))&amp;"",""))</f>
        <v/>
      </c>
      <c r="R117" s="69">
        <f>IF($J117="","",IFERROR(INDEX(B!$J$2:$J$61,MATCH($J117,B!$E$2:$E$61,0))&amp;"",""))</f>
        <v/>
      </c>
      <c r="S117" s="69">
        <f>IF($J117="","",IFERROR(INDEX(B!$K$2:$K$61,MATCH($J117,B!$E$2:$E$61,0))&amp;"",""))</f>
        <v/>
      </c>
      <c r="T117" s="69">
        <f>IF($J117="","",IFERROR(INDEX(B!$L$2:$L$61,MATCH($J117,B!$E$2:$E$61,0))&amp;"",""))</f>
        <v/>
      </c>
      <c r="U117" s="20" t="n"/>
      <c r="V117" s="70">
        <f>IF($J117="","",IFERROR(INDEX(B!$M$2:$M$61,MATCH($J117,B!$E$2:$E$61,0))&amp;"",""))</f>
        <v/>
      </c>
      <c r="W117" s="71">
        <f>IF(I117="","",IFERROR(MID(I117,FIND("/d/",I117)+3,FIND("/edit",I117)-FIND("/d/",I117)-3),I117))</f>
        <v/>
      </c>
      <c r="X117" s="71">
        <f>IF($J117="","",IFERROR(INDEX(B!$C$2:$C$61,MATCH($J117,B!$E$2:$E$61,0))&amp;"",""))</f>
        <v/>
      </c>
      <c r="Y117" s="20" t="n"/>
      <c r="Z117" s="72">
        <f>IF($J117="",FALSE,ISNUMBER(SEARCH("scout",$K117)))</f>
        <v/>
      </c>
      <c r="AA117" s="72">
        <f>IF($J117="",FALSE,IFERROR(INDEX(B!$N$2:$N$61,MATCH($J117,B!$E$2:$E$61,0))="Sim",FALSE))</f>
        <v/>
      </c>
      <c r="AB117" s="72">
        <f>IF($J117="",FALSE,LEFT($X117,2)="XX")</f>
        <v/>
      </c>
      <c r="AC117" s="72">
        <f>IF($J117="",FALSE,IFERROR(INDEX(B!$P$2:$P$61,MATCH($J117,B!$E$2:$E$61,0))="Sim",FALSE))</f>
        <v/>
      </c>
      <c r="AD117" s="20" t="n"/>
      <c r="AE117" s="52">
        <f>IF(H117="","",HOUR(H117))</f>
        <v/>
      </c>
      <c r="AF117" s="52" t="n"/>
    </row>
    <row r="118" ht="19.5" customHeight="1" s="58">
      <c r="A118" s="62">
        <f>IF(G118="","",IF(G118=G117,"",COUNTIF($G$3:$G$976,G118)))</f>
        <v/>
      </c>
      <c r="B118" s="20" t="n"/>
      <c r="C118" s="63">
        <f>IF(G118="","",DAY(G118))</f>
        <v/>
      </c>
      <c r="D118" s="63">
        <f>IF(G118="","",MONTH(G118))</f>
        <v/>
      </c>
      <c r="E118" s="63">
        <f>IF(G118="","",YEAR(G118))</f>
        <v/>
      </c>
      <c r="F118" s="33">
        <f>IF(G118="","",CHOOSE(MONTH(G118),"Janeiro","Fevereiro","Março","Abril","Maio","Junho","Julho","Agosto","Setembro","Outubro","Novembro","Dezembro"))</f>
        <v/>
      </c>
      <c r="G118" s="64" t="n">
        <v>46056</v>
      </c>
      <c r="H118" s="65" t="n">
        <v>0.1606828703703704</v>
      </c>
      <c r="I118" s="66" t="inlineStr">
        <is>
          <t>https://docs.google.com/spreadsheets/d/1ZiCGoPjLCjuYvujDTXK9Ixbth3tekiLtFBzBrGjPCr4/edit?gid=0#gid=0</t>
        </is>
      </c>
      <c r="J118" s="67" t="inlineStr">
        <is>
          <t>Overpaid, Não excede o limite, Com comprovante - [OPNC]</t>
        </is>
      </c>
      <c r="K118" s="67" t="inlineStr">
        <is>
          <t>Scout</t>
        </is>
      </c>
      <c r="L118" s="68" t="b">
        <v>0</v>
      </c>
      <c r="M118" s="20" t="n"/>
      <c r="N118" s="69">
        <f>IF($J118="","",IFERROR(INDEX(B!$F$2:$F$61,MATCH($J118,B!$E$2:$E$61,0))&amp;"",""))</f>
        <v/>
      </c>
      <c r="O118" s="69">
        <f>IF($J118="","",IFERROR(INDEX(B!$G$2:$G$61,MATCH($J118,B!$E$2:$E$61,0))&amp;"",""))</f>
        <v/>
      </c>
      <c r="P118" s="69">
        <f>IF($J118="","",IFERROR(INDEX(B!$H$2:$H$61,MATCH($J118,B!$E$2:$E$61,0))&amp;"",""))</f>
        <v/>
      </c>
      <c r="Q118" s="69">
        <f>IF($J118="","",IFERROR(INDEX(B!$I$2:$I$61,MATCH($J118,B!$E$2:$E$61,0))&amp;"",""))</f>
        <v/>
      </c>
      <c r="R118" s="69">
        <f>IF($J118="","",IFERROR(INDEX(B!$J$2:$J$61,MATCH($J118,B!$E$2:$E$61,0))&amp;"",""))</f>
        <v/>
      </c>
      <c r="S118" s="69">
        <f>IF($J118="","",IFERROR(INDEX(B!$K$2:$K$61,MATCH($J118,B!$E$2:$E$61,0))&amp;"",""))</f>
        <v/>
      </c>
      <c r="T118" s="69">
        <f>IF($J118="","",IFERROR(INDEX(B!$L$2:$L$61,MATCH($J118,B!$E$2:$E$61,0))&amp;"",""))</f>
        <v/>
      </c>
      <c r="U118" s="20" t="n"/>
      <c r="V118" s="70">
        <f>IF($J118="","",IFERROR(INDEX(B!$M$2:$M$61,MATCH($J118,B!$E$2:$E$61,0))&amp;"",""))</f>
        <v/>
      </c>
      <c r="W118" s="71">
        <f>IF(I118="","",IFERROR(MID(I118,FIND("/d/",I118)+3,FIND("/edit",I118)-FIND("/d/",I118)-3),I118))</f>
        <v/>
      </c>
      <c r="X118" s="71">
        <f>IF($J118="","",IFERROR(INDEX(B!$C$2:$C$61,MATCH($J118,B!$E$2:$E$61,0))&amp;"",""))</f>
        <v/>
      </c>
      <c r="Y118" s="20" t="n"/>
      <c r="Z118" s="72">
        <f>IF($J118="",FALSE,ISNUMBER(SEARCH("scout",$K118)))</f>
        <v/>
      </c>
      <c r="AA118" s="72">
        <f>IF($J118="",FALSE,IFERROR(INDEX(B!$N$2:$N$61,MATCH($J118,B!$E$2:$E$61,0))="Sim",FALSE))</f>
        <v/>
      </c>
      <c r="AB118" s="72">
        <f>IF($J118="",FALSE,LEFT($X118,2)="XX")</f>
        <v/>
      </c>
      <c r="AC118" s="72">
        <f>IF($J118="",FALSE,IFERROR(INDEX(B!$P$2:$P$61,MATCH($J118,B!$E$2:$E$61,0))="Sim",FALSE))</f>
        <v/>
      </c>
      <c r="AD118" s="20" t="n"/>
      <c r="AE118" s="52">
        <f>IF(H118="","",HOUR(H118))</f>
        <v/>
      </c>
      <c r="AF118" s="52" t="n"/>
    </row>
    <row r="119" ht="19.5" customHeight="1" s="58">
      <c r="A119" s="62">
        <f>IF(G119="","",IF(G119=G118,"",COUNTIF($G$3:$G$976,G119)))</f>
        <v/>
      </c>
      <c r="B119" s="20" t="n"/>
      <c r="C119" s="63">
        <f>IF(G119="","",DAY(G119))</f>
        <v/>
      </c>
      <c r="D119" s="63">
        <f>IF(G119="","",MONTH(G119))</f>
        <v/>
      </c>
      <c r="E119" s="63">
        <f>IF(G119="","",YEAR(G119))</f>
        <v/>
      </c>
      <c r="F119" s="33">
        <f>IF(G119="","",CHOOSE(MONTH(G119),"Janeiro","Fevereiro","Março","Abril","Maio","Junho","Julho","Agosto","Setembro","Outubro","Novembro","Dezembro"))</f>
        <v/>
      </c>
      <c r="G119" s="64" t="n">
        <v>46056</v>
      </c>
      <c r="H119" s="65" t="n">
        <v>0.1664814814814815</v>
      </c>
      <c r="I119" s="66" t="inlineStr">
        <is>
          <t>https://docs.google.com/spreadsheets/d/1ZiCGoPjLCjuYvujDTXK9Ixbth3tekiLtFBzBrGjPCr4/edit?gid=0#gid=0</t>
        </is>
      </c>
      <c r="J119" s="67" t="inlineStr">
        <is>
          <t>Mais informações Gerais - [AA]</t>
        </is>
      </c>
      <c r="K119" s="67" t="inlineStr"/>
      <c r="L119" s="68" t="b">
        <v>1</v>
      </c>
      <c r="M119" s="20" t="n"/>
      <c r="N119" s="69">
        <f>IF($J119="","",IFERROR(INDEX(B!$F$2:$F$61,MATCH($J119,B!$E$2:$E$61,0))&amp;"",""))</f>
        <v/>
      </c>
      <c r="O119" s="69">
        <f>IF($J119="","",IFERROR(INDEX(B!$G$2:$G$61,MATCH($J119,B!$E$2:$E$61,0))&amp;"",""))</f>
        <v/>
      </c>
      <c r="P119" s="69">
        <f>IF($J119="","",IFERROR(INDEX(B!$H$2:$H$61,MATCH($J119,B!$E$2:$E$61,0))&amp;"",""))</f>
        <v/>
      </c>
      <c r="Q119" s="69">
        <f>IF($J119="","",IFERROR(INDEX(B!$I$2:$I$61,MATCH($J119,B!$E$2:$E$61,0))&amp;"",""))</f>
        <v/>
      </c>
      <c r="R119" s="69">
        <f>IF($J119="","",IFERROR(INDEX(B!$J$2:$J$61,MATCH($J119,B!$E$2:$E$61,0))&amp;"",""))</f>
        <v/>
      </c>
      <c r="S119" s="69">
        <f>IF($J119="","",IFERROR(INDEX(B!$K$2:$K$61,MATCH($J119,B!$E$2:$E$61,0))&amp;"",""))</f>
        <v/>
      </c>
      <c r="T119" s="69">
        <f>IF($J119="","",IFERROR(INDEX(B!$L$2:$L$61,MATCH($J119,B!$E$2:$E$61,0))&amp;"",""))</f>
        <v/>
      </c>
      <c r="U119" s="20" t="n"/>
      <c r="V119" s="70">
        <f>IF($J119="","",IFERROR(INDEX(B!$M$2:$M$61,MATCH($J119,B!$E$2:$E$61,0))&amp;"",""))</f>
        <v/>
      </c>
      <c r="W119" s="71">
        <f>IF(I119="","",IFERROR(MID(I119,FIND("/d/",I119)+3,FIND("/edit",I119)-FIND("/d/",I119)-3),I119))</f>
        <v/>
      </c>
      <c r="X119" s="71">
        <f>IF($J119="","",IFERROR(INDEX(B!$C$2:$C$61,MATCH($J119,B!$E$2:$E$61,0))&amp;"",""))</f>
        <v/>
      </c>
      <c r="Y119" s="20" t="n"/>
      <c r="Z119" s="72">
        <f>IF($J119="",FALSE,ISNUMBER(SEARCH("scout",$K119)))</f>
        <v/>
      </c>
      <c r="AA119" s="72">
        <f>IF($J119="",FALSE,IFERROR(INDEX(B!$N$2:$N$61,MATCH($J119,B!$E$2:$E$61,0))="Sim",FALSE))</f>
        <v/>
      </c>
      <c r="AB119" s="72">
        <f>IF($J119="",FALSE,LEFT($X119,2)="XX")</f>
        <v/>
      </c>
      <c r="AC119" s="72">
        <f>IF($J119="",FALSE,IFERROR(INDEX(B!$P$2:$P$61,MATCH($J119,B!$E$2:$E$61,0))="Sim",FALSE))</f>
        <v/>
      </c>
      <c r="AD119" s="20" t="n"/>
      <c r="AE119" s="52">
        <f>IF(H119="","",HOUR(H119))</f>
        <v/>
      </c>
      <c r="AF119" s="52" t="n"/>
    </row>
    <row r="120" ht="19.5" customHeight="1" s="58">
      <c r="A120" s="62">
        <f>IF(G120="","",IF(G120=G119,"",COUNTIF($G$3:$G$976,G120)))</f>
        <v/>
      </c>
      <c r="B120" s="20" t="n"/>
      <c r="C120" s="63">
        <f>IF(G120="","",DAY(G120))</f>
        <v/>
      </c>
      <c r="D120" s="63">
        <f>IF(G120="","",MONTH(G120))</f>
        <v/>
      </c>
      <c r="E120" s="63">
        <f>IF(G120="","",YEAR(G120))</f>
        <v/>
      </c>
      <c r="F120" s="33">
        <f>IF(G120="","",CHOOSE(MONTH(G120),"Janeiro","Fevereiro","Março","Abril","Maio","Junho","Julho","Agosto","Setembro","Outubro","Novembro","Dezembro"))</f>
        <v/>
      </c>
      <c r="G120" s="64" t="n">
        <v>46056</v>
      </c>
      <c r="H120" s="65" t="n">
        <v>0.1692013888888889</v>
      </c>
      <c r="I120" s="66" t="inlineStr">
        <is>
          <t>https://docs.google.com/spreadsheets/d/1ZiCGoPjLCjuYvujDTXK9Ixbth3tekiLtFBzBrGjPCr4/edit?gid=0#gid=0</t>
        </is>
      </c>
      <c r="J120" s="67" t="inlineStr">
        <is>
          <t>Pushback - [XX]</t>
        </is>
      </c>
      <c r="K120" s="67" t="inlineStr"/>
      <c r="L120" s="68" t="b">
        <v>0</v>
      </c>
      <c r="M120" s="20" t="n"/>
      <c r="N120" s="69">
        <f>IF($J120="","",IFERROR(INDEX(B!$F$2:$F$61,MATCH($J120,B!$E$2:$E$61,0))&amp;"",""))</f>
        <v/>
      </c>
      <c r="O120" s="69">
        <f>IF($J120="","",IFERROR(INDEX(B!$G$2:$G$61,MATCH($J120,B!$E$2:$E$61,0))&amp;"",""))</f>
        <v/>
      </c>
      <c r="P120" s="69">
        <f>IF($J120="","",IFERROR(INDEX(B!$H$2:$H$61,MATCH($J120,B!$E$2:$E$61,0))&amp;"",""))</f>
        <v/>
      </c>
      <c r="Q120" s="69">
        <f>IF($J120="","",IFERROR(INDEX(B!$I$2:$I$61,MATCH($J120,B!$E$2:$E$61,0))&amp;"",""))</f>
        <v/>
      </c>
      <c r="R120" s="69">
        <f>IF($J120="","",IFERROR(INDEX(B!$J$2:$J$61,MATCH($J120,B!$E$2:$E$61,0))&amp;"",""))</f>
        <v/>
      </c>
      <c r="S120" s="69">
        <f>IF($J120="","",IFERROR(INDEX(B!$K$2:$K$61,MATCH($J120,B!$E$2:$E$61,0))&amp;"",""))</f>
        <v/>
      </c>
      <c r="T120" s="69">
        <f>IF($J120="","",IFERROR(INDEX(B!$L$2:$L$61,MATCH($J120,B!$E$2:$E$61,0))&amp;"",""))</f>
        <v/>
      </c>
      <c r="U120" s="20" t="n"/>
      <c r="V120" s="70">
        <f>IF($J120="","",IFERROR(INDEX(B!$M$2:$M$61,MATCH($J120,B!$E$2:$E$61,0))&amp;"",""))</f>
        <v/>
      </c>
      <c r="W120" s="71">
        <f>IF(I120="","",IFERROR(MID(I120,FIND("/d/",I120)+3,FIND("/edit",I120)-FIND("/d/",I120)-3),I120))</f>
        <v/>
      </c>
      <c r="X120" s="71">
        <f>IF($J120="","",IFERROR(INDEX(B!$C$2:$C$61,MATCH($J120,B!$E$2:$E$61,0))&amp;"",""))</f>
        <v/>
      </c>
      <c r="Y120" s="20" t="n"/>
      <c r="Z120" s="72">
        <f>IF($J120="",FALSE,ISNUMBER(SEARCH("scout",$K120)))</f>
        <v/>
      </c>
      <c r="AA120" s="72">
        <f>IF($J120="",FALSE,IFERROR(INDEX(B!$N$2:$N$61,MATCH($J120,B!$E$2:$E$61,0))="Sim",FALSE))</f>
        <v/>
      </c>
      <c r="AB120" s="72">
        <f>IF($J120="",FALSE,LEFT($X120,2)="XX")</f>
        <v/>
      </c>
      <c r="AC120" s="72">
        <f>IF($J120="",FALSE,IFERROR(INDEX(B!$P$2:$P$61,MATCH($J120,B!$E$2:$E$61,0))="Sim",FALSE))</f>
        <v/>
      </c>
      <c r="AD120" s="20" t="n"/>
      <c r="AE120" s="52">
        <f>IF(H120="","",HOUR(H120))</f>
        <v/>
      </c>
      <c r="AF120" s="52" t="n"/>
    </row>
    <row r="121" ht="19.5" customHeight="1" s="58">
      <c r="A121" s="62">
        <f>IF(G121="","",IF(G121=G120,"",COUNTIF($G$3:$G$976,G121)))</f>
        <v/>
      </c>
      <c r="B121" s="20" t="n"/>
      <c r="C121" s="63">
        <f>IF(G121="","",DAY(G121))</f>
        <v/>
      </c>
      <c r="D121" s="63">
        <f>IF(G121="","",MONTH(G121))</f>
        <v/>
      </c>
      <c r="E121" s="63">
        <f>IF(G121="","",YEAR(G121))</f>
        <v/>
      </c>
      <c r="F121" s="33">
        <f>IF(G121="","",CHOOSE(MONTH(G121),"Janeiro","Fevereiro","Março","Abril","Maio","Junho","Julho","Agosto","Setembro","Outubro","Novembro","Dezembro"))</f>
        <v/>
      </c>
      <c r="G121" s="64" t="n">
        <v>46056</v>
      </c>
      <c r="H121" s="65" t="n">
        <v>0.176087962962963</v>
      </c>
      <c r="I121" s="66" t="inlineStr">
        <is>
          <t>https://docs.google.com/spreadsheets/d/1ZiCGoPjLCjuYvujDTXK9Ixbth3tekiLtFBzBrGjPCr4/edit?gid=0#gid=0</t>
        </is>
      </c>
      <c r="J121" s="67" t="inlineStr">
        <is>
          <t>No Need Response (Não precisa de resposta) - [NRN]</t>
        </is>
      </c>
      <c r="K121" s="67" t="inlineStr"/>
      <c r="L121" s="68" t="b">
        <v>0</v>
      </c>
      <c r="M121" s="20" t="n"/>
      <c r="N121" s="69">
        <f>IF($J121="","",IFERROR(INDEX(B!$F$2:$F$61,MATCH($J121,B!$E$2:$E$61,0))&amp;"",""))</f>
        <v/>
      </c>
      <c r="O121" s="69">
        <f>IF($J121="","",IFERROR(INDEX(B!$G$2:$G$61,MATCH($J121,B!$E$2:$E$61,0))&amp;"",""))</f>
        <v/>
      </c>
      <c r="P121" s="69">
        <f>IF($J121="","",IFERROR(INDEX(B!$H$2:$H$61,MATCH($J121,B!$E$2:$E$61,0))&amp;"",""))</f>
        <v/>
      </c>
      <c r="Q121" s="69">
        <f>IF($J121="","",IFERROR(INDEX(B!$I$2:$I$61,MATCH($J121,B!$E$2:$E$61,0))&amp;"",""))</f>
        <v/>
      </c>
      <c r="R121" s="69">
        <f>IF($J121="","",IFERROR(INDEX(B!$J$2:$J$61,MATCH($J121,B!$E$2:$E$61,0))&amp;"",""))</f>
        <v/>
      </c>
      <c r="S121" s="69">
        <f>IF($J121="","",IFERROR(INDEX(B!$K$2:$K$61,MATCH($J121,B!$E$2:$E$61,0))&amp;"",""))</f>
        <v/>
      </c>
      <c r="T121" s="69">
        <f>IF($J121="","",IFERROR(INDEX(B!$L$2:$L$61,MATCH($J121,B!$E$2:$E$61,0))&amp;"",""))</f>
        <v/>
      </c>
      <c r="U121" s="20" t="n"/>
      <c r="V121" s="70">
        <f>IF($J121="","",IFERROR(INDEX(B!$M$2:$M$61,MATCH($J121,B!$E$2:$E$61,0))&amp;"",""))</f>
        <v/>
      </c>
      <c r="W121" s="71">
        <f>IF(I121="","",IFERROR(MID(I121,FIND("/d/",I121)+3,FIND("/edit",I121)-FIND("/d/",I121)-3),I121))</f>
        <v/>
      </c>
      <c r="X121" s="71">
        <f>IF($J121="","",IFERROR(INDEX(B!$C$2:$C$61,MATCH($J121,B!$E$2:$E$61,0))&amp;"",""))</f>
        <v/>
      </c>
      <c r="Y121" s="20" t="n"/>
      <c r="Z121" s="72">
        <f>IF($J121="",FALSE,ISNUMBER(SEARCH("scout",$K121)))</f>
        <v/>
      </c>
      <c r="AA121" s="72">
        <f>IF($J121="",FALSE,IFERROR(INDEX(B!$N$2:$N$61,MATCH($J121,B!$E$2:$E$61,0))="Sim",FALSE))</f>
        <v/>
      </c>
      <c r="AB121" s="72">
        <f>IF($J121="",FALSE,LEFT($X121,2)="XX")</f>
        <v/>
      </c>
      <c r="AC121" s="72">
        <f>IF($J121="",FALSE,IFERROR(INDEX(B!$P$2:$P$61,MATCH($J121,B!$E$2:$E$61,0))="Sim",FALSE))</f>
        <v/>
      </c>
      <c r="AD121" s="20" t="n"/>
      <c r="AE121" s="52">
        <f>IF(H121="","",HOUR(H121))</f>
        <v/>
      </c>
      <c r="AF121" s="52" t="n"/>
    </row>
    <row r="122" ht="19.5" customHeight="1" s="58">
      <c r="A122" s="62">
        <f>IF(G122="","",IF(G122=G121,"",COUNTIF($G$3:$G$976,G122)))</f>
        <v/>
      </c>
      <c r="B122" s="20" t="n"/>
      <c r="C122" s="63">
        <f>IF(G122="","",DAY(G122))</f>
        <v/>
      </c>
      <c r="D122" s="63">
        <f>IF(G122="","",MONTH(G122))</f>
        <v/>
      </c>
      <c r="E122" s="63">
        <f>IF(G122="","",YEAR(G122))</f>
        <v/>
      </c>
      <c r="F122" s="33">
        <f>IF(G122="","",CHOOSE(MONTH(G122),"Janeiro","Fevereiro","Março","Abril","Maio","Junho","Julho","Agosto","Setembro","Outubro","Novembro","Dezembro"))</f>
        <v/>
      </c>
      <c r="G122" s="64" t="n">
        <v>46056</v>
      </c>
      <c r="H122" s="65" t="n">
        <v>0.1782291666666667</v>
      </c>
      <c r="I122" s="66" t="inlineStr">
        <is>
          <t>https://docs.google.com/spreadsheets/d/1ZiCGoPjLCjuYvujDTXK9Ixbth3tekiLtFBzBrGjPCr4/edit?gid=0#gid=0</t>
        </is>
      </c>
      <c r="J122" s="67" t="inlineStr">
        <is>
          <t>Não houve Taxa de Cancelamento - [NTX]</t>
        </is>
      </c>
      <c r="K122" s="67" t="inlineStr"/>
      <c r="L122" s="68" t="b">
        <v>0</v>
      </c>
      <c r="M122" s="20" t="n"/>
      <c r="N122" s="69">
        <f>IF($J122="","",IFERROR(INDEX(B!$F$2:$F$61,MATCH($J122,B!$E$2:$E$61,0))&amp;"",""))</f>
        <v/>
      </c>
      <c r="O122" s="69">
        <f>IF($J122="","",IFERROR(INDEX(B!$G$2:$G$61,MATCH($J122,B!$E$2:$E$61,0))&amp;"",""))</f>
        <v/>
      </c>
      <c r="P122" s="69">
        <f>IF($J122="","",IFERROR(INDEX(B!$H$2:$H$61,MATCH($J122,B!$E$2:$E$61,0))&amp;"",""))</f>
        <v/>
      </c>
      <c r="Q122" s="69">
        <f>IF($J122="","",IFERROR(INDEX(B!$I$2:$I$61,MATCH($J122,B!$E$2:$E$61,0))&amp;"",""))</f>
        <v/>
      </c>
      <c r="R122" s="69">
        <f>IF($J122="","",IFERROR(INDEX(B!$J$2:$J$61,MATCH($J122,B!$E$2:$E$61,0))&amp;"",""))</f>
        <v/>
      </c>
      <c r="S122" s="69">
        <f>IF($J122="","",IFERROR(INDEX(B!$K$2:$K$61,MATCH($J122,B!$E$2:$E$61,0))&amp;"",""))</f>
        <v/>
      </c>
      <c r="T122" s="69">
        <f>IF($J122="","",IFERROR(INDEX(B!$L$2:$L$61,MATCH($J122,B!$E$2:$E$61,0))&amp;"",""))</f>
        <v/>
      </c>
      <c r="U122" s="20" t="n"/>
      <c r="V122" s="70">
        <f>IF($J122="","",IFERROR(INDEX(B!$M$2:$M$61,MATCH($J122,B!$E$2:$E$61,0))&amp;"",""))</f>
        <v/>
      </c>
      <c r="W122" s="71">
        <f>IF(I122="","",IFERROR(MID(I122,FIND("/d/",I122)+3,FIND("/edit",I122)-FIND("/d/",I122)-3),I122))</f>
        <v/>
      </c>
      <c r="X122" s="71">
        <f>IF($J122="","",IFERROR(INDEX(B!$C$2:$C$61,MATCH($J122,B!$E$2:$E$61,0))&amp;"",""))</f>
        <v/>
      </c>
      <c r="Y122" s="20" t="n"/>
      <c r="Z122" s="72">
        <f>IF($J122="",FALSE,ISNUMBER(SEARCH("scout",$K122)))</f>
        <v/>
      </c>
      <c r="AA122" s="72">
        <f>IF($J122="",FALSE,IFERROR(INDEX(B!$N$2:$N$61,MATCH($J122,B!$E$2:$E$61,0))="Sim",FALSE))</f>
        <v/>
      </c>
      <c r="AB122" s="72">
        <f>IF($J122="",FALSE,LEFT($X122,2)="XX")</f>
        <v/>
      </c>
      <c r="AC122" s="72">
        <f>IF($J122="",FALSE,IFERROR(INDEX(B!$P$2:$P$61,MATCH($J122,B!$E$2:$E$61,0))="Sim",FALSE))</f>
        <v/>
      </c>
      <c r="AD122" s="20" t="n"/>
      <c r="AE122" s="52">
        <f>IF(H122="","",HOUR(H122))</f>
        <v/>
      </c>
      <c r="AF122" s="52" t="n"/>
    </row>
    <row r="123" ht="19.5" customHeight="1" s="58">
      <c r="A123" s="62">
        <f>IF(G123="","",IF(G123=G122,"",COUNTIF($G$3:$G$976,G123)))</f>
        <v/>
      </c>
      <c r="B123" s="20" t="n"/>
      <c r="C123" s="63">
        <f>IF(G123="","",DAY(G123))</f>
        <v/>
      </c>
      <c r="D123" s="63">
        <f>IF(G123="","",MONTH(G123))</f>
        <v/>
      </c>
      <c r="E123" s="63">
        <f>IF(G123="","",YEAR(G123))</f>
        <v/>
      </c>
      <c r="F123" s="33">
        <f>IF(G123="","",CHOOSE(MONTH(G123),"Janeiro","Fevereiro","Março","Abril","Maio","Junho","Julho","Agosto","Setembro","Outubro","Novembro","Dezembro"))</f>
        <v/>
      </c>
      <c r="G123" s="64" t="n">
        <v>46056</v>
      </c>
      <c r="H123" s="65" t="n">
        <v>0.1831481481481481</v>
      </c>
      <c r="I123" s="66" t="inlineStr">
        <is>
          <t>https://docs.google.com/spreadsheets/d/1ZiCGoPjLCjuYvujDTXK9Ixbth3tekiLtFBzBrGjPCr4/edit?gid=0#gid=0</t>
        </is>
      </c>
      <c r="J123" s="67" t="inlineStr">
        <is>
          <t>Transferência de LOB (Driver) - [TIDV]</t>
        </is>
      </c>
      <c r="K123" s="67" t="inlineStr"/>
      <c r="L123" s="68" t="b">
        <v>0</v>
      </c>
      <c r="M123" s="20" t="n"/>
      <c r="N123" s="69">
        <f>IF($J123="","",IFERROR(INDEX(B!$F$2:$F$61,MATCH($J123,B!$E$2:$E$61,0))&amp;"",""))</f>
        <v/>
      </c>
      <c r="O123" s="69">
        <f>IF($J123="","",IFERROR(INDEX(B!$G$2:$G$61,MATCH($J123,B!$E$2:$E$61,0))&amp;"",""))</f>
        <v/>
      </c>
      <c r="P123" s="69">
        <f>IF($J123="","",IFERROR(INDEX(B!$H$2:$H$61,MATCH($J123,B!$E$2:$E$61,0))&amp;"",""))</f>
        <v/>
      </c>
      <c r="Q123" s="69">
        <f>IF($J123="","",IFERROR(INDEX(B!$I$2:$I$61,MATCH($J123,B!$E$2:$E$61,0))&amp;"",""))</f>
        <v/>
      </c>
      <c r="R123" s="69">
        <f>IF($J123="","",IFERROR(INDEX(B!$J$2:$J$61,MATCH($J123,B!$E$2:$E$61,0))&amp;"",""))</f>
        <v/>
      </c>
      <c r="S123" s="69">
        <f>IF($J123="","",IFERROR(INDEX(B!$K$2:$K$61,MATCH($J123,B!$E$2:$E$61,0))&amp;"",""))</f>
        <v/>
      </c>
      <c r="T123" s="69">
        <f>IF($J123="","",IFERROR(INDEX(B!$L$2:$L$61,MATCH($J123,B!$E$2:$E$61,0))&amp;"",""))</f>
        <v/>
      </c>
      <c r="U123" s="20" t="n"/>
      <c r="V123" s="70">
        <f>IF($J123="","",IFERROR(INDEX(B!$M$2:$M$61,MATCH($J123,B!$E$2:$E$61,0))&amp;"",""))</f>
        <v/>
      </c>
      <c r="W123" s="71">
        <f>IF(I123="","",IFERROR(MID(I123,FIND("/d/",I123)+3,FIND("/edit",I123)-FIND("/d/",I123)-3),I123))</f>
        <v/>
      </c>
      <c r="X123" s="71">
        <f>IF($J123="","",IFERROR(INDEX(B!$C$2:$C$61,MATCH($J123,B!$E$2:$E$61,0))&amp;"",""))</f>
        <v/>
      </c>
      <c r="Y123" s="20" t="n"/>
      <c r="Z123" s="72">
        <f>IF($J123="",FALSE,ISNUMBER(SEARCH("scout",$K123)))</f>
        <v/>
      </c>
      <c r="AA123" s="72">
        <f>IF($J123="",FALSE,IFERROR(INDEX(B!$N$2:$N$61,MATCH($J123,B!$E$2:$E$61,0))="Sim",FALSE))</f>
        <v/>
      </c>
      <c r="AB123" s="72">
        <f>IF($J123="",FALSE,LEFT($X123,2)="XX")</f>
        <v/>
      </c>
      <c r="AC123" s="72">
        <f>IF($J123="",FALSE,IFERROR(INDEX(B!$P$2:$P$61,MATCH($J123,B!$E$2:$E$61,0))="Sim",FALSE))</f>
        <v/>
      </c>
      <c r="AD123" s="20" t="n"/>
      <c r="AE123" s="52">
        <f>IF(H123="","",HOUR(H123))</f>
        <v/>
      </c>
      <c r="AF123" s="52" t="n"/>
    </row>
    <row r="124" ht="19.5" customHeight="1" s="58">
      <c r="A124" s="62">
        <f>IF(G124="","",IF(G124=G123,"",COUNTIF($G$3:$G$976,G124)))</f>
        <v/>
      </c>
      <c r="B124" s="20" t="n"/>
      <c r="C124" s="63">
        <f>IF(G124="","",DAY(G124))</f>
        <v/>
      </c>
      <c r="D124" s="63">
        <f>IF(G124="","",MONTH(G124))</f>
        <v/>
      </c>
      <c r="E124" s="63">
        <f>IF(G124="","",YEAR(G124))</f>
        <v/>
      </c>
      <c r="F124" s="33">
        <f>IF(G124="","",CHOOSE(MONTH(G124),"Janeiro","Fevereiro","Março","Abril","Maio","Junho","Julho","Agosto","Setembro","Outubro","Novembro","Dezembro"))</f>
        <v/>
      </c>
      <c r="G124" s="64" t="n">
        <v>46056</v>
      </c>
      <c r="H124" s="65" t="n">
        <v>0.1871180555555556</v>
      </c>
      <c r="I124" s="66" t="inlineStr">
        <is>
          <t>https://docs.google.com/spreadsheets/d/1ZiCGoPjLCjuYvujDTXK9Ixbth3tekiLtFBzBrGjPCr4/edit?gid=0#gid=0</t>
        </is>
      </c>
      <c r="J124" s="67" t="inlineStr">
        <is>
          <t>Pushback (Agradecimento) - [XXA]</t>
        </is>
      </c>
      <c r="K124" s="67" t="inlineStr"/>
      <c r="L124" s="68" t="b">
        <v>0</v>
      </c>
      <c r="M124" s="20" t="n"/>
      <c r="N124" s="69">
        <f>IF($J124="","",IFERROR(INDEX(B!$F$2:$F$61,MATCH($J124,B!$E$2:$E$61,0))&amp;"",""))</f>
        <v/>
      </c>
      <c r="O124" s="69">
        <f>IF($J124="","",IFERROR(INDEX(B!$G$2:$G$61,MATCH($J124,B!$E$2:$E$61,0))&amp;"",""))</f>
        <v/>
      </c>
      <c r="P124" s="69">
        <f>IF($J124="","",IFERROR(INDEX(B!$H$2:$H$61,MATCH($J124,B!$E$2:$E$61,0))&amp;"",""))</f>
        <v/>
      </c>
      <c r="Q124" s="69">
        <f>IF($J124="","",IFERROR(INDEX(B!$I$2:$I$61,MATCH($J124,B!$E$2:$E$61,0))&amp;"",""))</f>
        <v/>
      </c>
      <c r="R124" s="69">
        <f>IF($J124="","",IFERROR(INDEX(B!$J$2:$J$61,MATCH($J124,B!$E$2:$E$61,0))&amp;"",""))</f>
        <v/>
      </c>
      <c r="S124" s="69">
        <f>IF($J124="","",IFERROR(INDEX(B!$K$2:$K$61,MATCH($J124,B!$E$2:$E$61,0))&amp;"",""))</f>
        <v/>
      </c>
      <c r="T124" s="69">
        <f>IF($J124="","",IFERROR(INDEX(B!$L$2:$L$61,MATCH($J124,B!$E$2:$E$61,0))&amp;"",""))</f>
        <v/>
      </c>
      <c r="U124" s="20" t="n"/>
      <c r="V124" s="70">
        <f>IF($J124="","",IFERROR(INDEX(B!$M$2:$M$61,MATCH($J124,B!$E$2:$E$61,0))&amp;"",""))</f>
        <v/>
      </c>
      <c r="W124" s="71">
        <f>IF(I124="","",IFERROR(MID(I124,FIND("/d/",I124)+3,FIND("/edit",I124)-FIND("/d/",I124)-3),I124))</f>
        <v/>
      </c>
      <c r="X124" s="71">
        <f>IF($J124="","",IFERROR(INDEX(B!$C$2:$C$61,MATCH($J124,B!$E$2:$E$61,0))&amp;"",""))</f>
        <v/>
      </c>
      <c r="Y124" s="20" t="n"/>
      <c r="Z124" s="72">
        <f>IF($J124="",FALSE,ISNUMBER(SEARCH("scout",$K124)))</f>
        <v/>
      </c>
      <c r="AA124" s="72">
        <f>IF($J124="",FALSE,IFERROR(INDEX(B!$N$2:$N$61,MATCH($J124,B!$E$2:$E$61,0))="Sim",FALSE))</f>
        <v/>
      </c>
      <c r="AB124" s="72">
        <f>IF($J124="",FALSE,LEFT($X124,2)="XX")</f>
        <v/>
      </c>
      <c r="AC124" s="72">
        <f>IF($J124="",FALSE,IFERROR(INDEX(B!$P$2:$P$61,MATCH($J124,B!$E$2:$E$61,0))="Sim",FALSE))</f>
        <v/>
      </c>
      <c r="AD124" s="20" t="n"/>
      <c r="AE124" s="52">
        <f>IF(H124="","",HOUR(H124))</f>
        <v/>
      </c>
      <c r="AF124" s="52" t="n"/>
    </row>
    <row r="125" ht="19.5" customHeight="1" s="58">
      <c r="A125" s="62">
        <f>IF(G125="","",IF(G125=G124,"",COUNTIF($G$3:$G$976,G125)))</f>
        <v/>
      </c>
      <c r="B125" s="20" t="n"/>
      <c r="C125" s="63">
        <f>IF(G125="","",DAY(G125))</f>
        <v/>
      </c>
      <c r="D125" s="63">
        <f>IF(G125="","",MONTH(G125))</f>
        <v/>
      </c>
      <c r="E125" s="63">
        <f>IF(G125="","",YEAR(G125))</f>
        <v/>
      </c>
      <c r="F125" s="33">
        <f>IF(G125="","",CHOOSE(MONTH(G125),"Janeiro","Fevereiro","Março","Abril","Maio","Junho","Julho","Agosto","Setembro","Outubro","Novembro","Dezembro"))</f>
        <v/>
      </c>
      <c r="G125" s="64" t="n">
        <v>46056</v>
      </c>
      <c r="H125" s="65" t="n">
        <v>0.1882986111111111</v>
      </c>
      <c r="I125" s="66" t="inlineStr">
        <is>
          <t>https://docs.google.com/spreadsheets/d/1ZiCGoPjLCjuYvujDTXK9Ixbth3tekiLtFBzBrGjPCr4/edit?gid=0#gid=0</t>
        </is>
      </c>
      <c r="J125" s="67" t="inlineStr">
        <is>
          <t>Pushback - [XX]</t>
        </is>
      </c>
      <c r="K125" s="67" t="inlineStr"/>
      <c r="L125" s="68" t="b">
        <v>0</v>
      </c>
      <c r="M125" s="20" t="n"/>
      <c r="N125" s="69">
        <f>IF($J125="","",IFERROR(INDEX(B!$F$2:$F$61,MATCH($J125,B!$E$2:$E$61,0))&amp;"",""))</f>
        <v/>
      </c>
      <c r="O125" s="69">
        <f>IF($J125="","",IFERROR(INDEX(B!$G$2:$G$61,MATCH($J125,B!$E$2:$E$61,0))&amp;"",""))</f>
        <v/>
      </c>
      <c r="P125" s="69">
        <f>IF($J125="","",IFERROR(INDEX(B!$H$2:$H$61,MATCH($J125,B!$E$2:$E$61,0))&amp;"",""))</f>
        <v/>
      </c>
      <c r="Q125" s="69">
        <f>IF($J125="","",IFERROR(INDEX(B!$I$2:$I$61,MATCH($J125,B!$E$2:$E$61,0))&amp;"",""))</f>
        <v/>
      </c>
      <c r="R125" s="69">
        <f>IF($J125="","",IFERROR(INDEX(B!$J$2:$J$61,MATCH($J125,B!$E$2:$E$61,0))&amp;"",""))</f>
        <v/>
      </c>
      <c r="S125" s="69">
        <f>IF($J125="","",IFERROR(INDEX(B!$K$2:$K$61,MATCH($J125,B!$E$2:$E$61,0))&amp;"",""))</f>
        <v/>
      </c>
      <c r="T125" s="69">
        <f>IF($J125="","",IFERROR(INDEX(B!$L$2:$L$61,MATCH($J125,B!$E$2:$E$61,0))&amp;"",""))</f>
        <v/>
      </c>
      <c r="U125" s="20" t="n"/>
      <c r="V125" s="70">
        <f>IF($J125="","",IFERROR(INDEX(B!$M$2:$M$61,MATCH($J125,B!$E$2:$E$61,0))&amp;"",""))</f>
        <v/>
      </c>
      <c r="W125" s="71">
        <f>IF(I125="","",IFERROR(MID(I125,FIND("/d/",I125)+3,FIND("/edit",I125)-FIND("/d/",I125)-3),I125))</f>
        <v/>
      </c>
      <c r="X125" s="71">
        <f>IF($J125="","",IFERROR(INDEX(B!$C$2:$C$61,MATCH($J125,B!$E$2:$E$61,0))&amp;"",""))</f>
        <v/>
      </c>
      <c r="Y125" s="20" t="n"/>
      <c r="Z125" s="72">
        <f>IF($J125="",FALSE,ISNUMBER(SEARCH("scout",$K125)))</f>
        <v/>
      </c>
      <c r="AA125" s="72">
        <f>IF($J125="",FALSE,IFERROR(INDEX(B!$N$2:$N$61,MATCH($J125,B!$E$2:$E$61,0))="Sim",FALSE))</f>
        <v/>
      </c>
      <c r="AB125" s="72">
        <f>IF($J125="",FALSE,LEFT($X125,2)="XX")</f>
        <v/>
      </c>
      <c r="AC125" s="72">
        <f>IF($J125="",FALSE,IFERROR(INDEX(B!$P$2:$P$61,MATCH($J125,B!$E$2:$E$61,0))="Sim",FALSE))</f>
        <v/>
      </c>
      <c r="AD125" s="20" t="n"/>
      <c r="AE125" s="52">
        <f>IF(H125="","",HOUR(H125))</f>
        <v/>
      </c>
      <c r="AF125" s="52" t="n"/>
    </row>
    <row r="126" ht="19.5" customHeight="1" s="58">
      <c r="A126" s="62">
        <f>IF(G126="","",IF(G126=G125,"",COUNTIF($G$3:$G$976,G126)))</f>
        <v/>
      </c>
      <c r="B126" s="20" t="n"/>
      <c r="C126" s="63">
        <f>IF(G126="","",DAY(G126))</f>
        <v/>
      </c>
      <c r="D126" s="63">
        <f>IF(G126="","",MONTH(G126))</f>
        <v/>
      </c>
      <c r="E126" s="63">
        <f>IF(G126="","",YEAR(G126))</f>
        <v/>
      </c>
      <c r="F126" s="33">
        <f>IF(G126="","",CHOOSE(MONTH(G126),"Janeiro","Fevereiro","Março","Abril","Maio","Junho","Julho","Agosto","Setembro","Outubro","Novembro","Dezembro"))</f>
        <v/>
      </c>
      <c r="G126" s="64" t="n">
        <v>46056</v>
      </c>
      <c r="H126" s="65" t="n">
        <v>0.1962962962962963</v>
      </c>
      <c r="I126" s="66" t="inlineStr">
        <is>
          <t>https://docs.google.com/spreadsheets/d/1ZiCGoPjLCjuYvujDTXK9Ixbth3tekiLtFBzBrGjPCr4/edit?gid=0#gid=0</t>
        </is>
      </c>
      <c r="J126" s="67" t="inlineStr">
        <is>
          <t>Outros Valores Retidos (Pedágio, Cartão, Taxa de Cancelamento...) - [OTV]</t>
        </is>
      </c>
      <c r="K126" s="67" t="inlineStr">
        <is>
          <t>Scout</t>
        </is>
      </c>
      <c r="L126" s="68" t="b">
        <v>0</v>
      </c>
      <c r="M126" s="20" t="n"/>
      <c r="N126" s="69">
        <f>IF($J126="","",IFERROR(INDEX(B!$F$2:$F$61,MATCH($J126,B!$E$2:$E$61,0))&amp;"",""))</f>
        <v/>
      </c>
      <c r="O126" s="69">
        <f>IF($J126="","",IFERROR(INDEX(B!$G$2:$G$61,MATCH($J126,B!$E$2:$E$61,0))&amp;"",""))</f>
        <v/>
      </c>
      <c r="P126" s="69">
        <f>IF($J126="","",IFERROR(INDEX(B!$H$2:$H$61,MATCH($J126,B!$E$2:$E$61,0))&amp;"",""))</f>
        <v/>
      </c>
      <c r="Q126" s="69">
        <f>IF($J126="","",IFERROR(INDEX(B!$I$2:$I$61,MATCH($J126,B!$E$2:$E$61,0))&amp;"",""))</f>
        <v/>
      </c>
      <c r="R126" s="69">
        <f>IF($J126="","",IFERROR(INDEX(B!$J$2:$J$61,MATCH($J126,B!$E$2:$E$61,0))&amp;"",""))</f>
        <v/>
      </c>
      <c r="S126" s="69">
        <f>IF($J126="","",IFERROR(INDEX(B!$K$2:$K$61,MATCH($J126,B!$E$2:$E$61,0))&amp;"",""))</f>
        <v/>
      </c>
      <c r="T126" s="69">
        <f>IF($J126="","",IFERROR(INDEX(B!$L$2:$L$61,MATCH($J126,B!$E$2:$E$61,0))&amp;"",""))</f>
        <v/>
      </c>
      <c r="U126" s="20" t="n"/>
      <c r="V126" s="70">
        <f>IF($J126="","",IFERROR(INDEX(B!$M$2:$M$61,MATCH($J126,B!$E$2:$E$61,0))&amp;"",""))</f>
        <v/>
      </c>
      <c r="W126" s="71">
        <f>IF(I126="","",IFERROR(MID(I126,FIND("/d/",I126)+3,FIND("/edit",I126)-FIND("/d/",I126)-3),I126))</f>
        <v/>
      </c>
      <c r="X126" s="71">
        <f>IF($J126="","",IFERROR(INDEX(B!$C$2:$C$61,MATCH($J126,B!$E$2:$E$61,0))&amp;"",""))</f>
        <v/>
      </c>
      <c r="Y126" s="20" t="n"/>
      <c r="Z126" s="72">
        <f>IF($J126="",FALSE,ISNUMBER(SEARCH("scout",$K126)))</f>
        <v/>
      </c>
      <c r="AA126" s="72">
        <f>IF($J126="",FALSE,IFERROR(INDEX(B!$N$2:$N$61,MATCH($J126,B!$E$2:$E$61,0))="Sim",FALSE))</f>
        <v/>
      </c>
      <c r="AB126" s="72">
        <f>IF($J126="",FALSE,LEFT($X126,2)="XX")</f>
        <v/>
      </c>
      <c r="AC126" s="72">
        <f>IF($J126="",FALSE,IFERROR(INDEX(B!$P$2:$P$61,MATCH($J126,B!$E$2:$E$61,0))="Sim",FALSE))</f>
        <v/>
      </c>
      <c r="AD126" s="20" t="n"/>
      <c r="AE126" s="52">
        <f>IF(H126="","",HOUR(H126))</f>
        <v/>
      </c>
      <c r="AF126" s="52" t="n"/>
    </row>
    <row r="127" ht="19.5" customHeight="1" s="58">
      <c r="A127" s="62">
        <f>IF(G127="","",IF(G127=G126,"",COUNTIF($G$3:$G$976,G127)))</f>
        <v/>
      </c>
      <c r="B127" s="20" t="n"/>
      <c r="C127" s="63">
        <f>IF(G127="","",DAY(G127))</f>
        <v/>
      </c>
      <c r="D127" s="63">
        <f>IF(G127="","",MONTH(G127))</f>
        <v/>
      </c>
      <c r="E127" s="63">
        <f>IF(G127="","",YEAR(G127))</f>
        <v/>
      </c>
      <c r="F127" s="33">
        <f>IF(G127="","",CHOOSE(MONTH(G127),"Janeiro","Fevereiro","Março","Abril","Maio","Junho","Julho","Agosto","Setembro","Outubro","Novembro","Dezembro"))</f>
        <v/>
      </c>
      <c r="G127" s="64" t="n">
        <v>46056</v>
      </c>
      <c r="H127" s="65" t="n">
        <v>0.1999768518518519</v>
      </c>
      <c r="I127" s="66" t="inlineStr">
        <is>
          <t>https://docs.google.com/spreadsheets/d/1ZiCGoPjLCjuYvujDTXK9Ixbth3tekiLtFBzBrGjPCr4/edit?gid=0#gid=0</t>
        </is>
      </c>
      <c r="J127" s="67" t="inlineStr">
        <is>
          <t>Transferência de LOB (Accounts) - [TIAC]</t>
        </is>
      </c>
      <c r="K127" s="67" t="inlineStr"/>
      <c r="L127" s="68" t="b">
        <v>0</v>
      </c>
      <c r="M127" s="20" t="n"/>
      <c r="N127" s="69">
        <f>IF($J127="","",IFERROR(INDEX(B!$F$2:$F$61,MATCH($J127,B!$E$2:$E$61,0))&amp;"",""))</f>
        <v/>
      </c>
      <c r="O127" s="69">
        <f>IF($J127="","",IFERROR(INDEX(B!$G$2:$G$61,MATCH($J127,B!$E$2:$E$61,0))&amp;"",""))</f>
        <v/>
      </c>
      <c r="P127" s="69">
        <f>IF($J127="","",IFERROR(INDEX(B!$H$2:$H$61,MATCH($J127,B!$E$2:$E$61,0))&amp;"",""))</f>
        <v/>
      </c>
      <c r="Q127" s="69">
        <f>IF($J127="","",IFERROR(INDEX(B!$I$2:$I$61,MATCH($J127,B!$E$2:$E$61,0))&amp;"",""))</f>
        <v/>
      </c>
      <c r="R127" s="69">
        <f>IF($J127="","",IFERROR(INDEX(B!$J$2:$J$61,MATCH($J127,B!$E$2:$E$61,0))&amp;"",""))</f>
        <v/>
      </c>
      <c r="S127" s="69">
        <f>IF($J127="","",IFERROR(INDEX(B!$K$2:$K$61,MATCH($J127,B!$E$2:$E$61,0))&amp;"",""))</f>
        <v/>
      </c>
      <c r="T127" s="69">
        <f>IF($J127="","",IFERROR(INDEX(B!$L$2:$L$61,MATCH($J127,B!$E$2:$E$61,0))&amp;"",""))</f>
        <v/>
      </c>
      <c r="U127" s="20" t="n"/>
      <c r="V127" s="70">
        <f>IF($J127="","",IFERROR(INDEX(B!$M$2:$M$61,MATCH($J127,B!$E$2:$E$61,0))&amp;"",""))</f>
        <v/>
      </c>
      <c r="W127" s="71">
        <f>IF(I127="","",IFERROR(MID(I127,FIND("/d/",I127)+3,FIND("/edit",I127)-FIND("/d/",I127)-3),I127))</f>
        <v/>
      </c>
      <c r="X127" s="71">
        <f>IF($J127="","",IFERROR(INDEX(B!$C$2:$C$61,MATCH($J127,B!$E$2:$E$61,0))&amp;"",""))</f>
        <v/>
      </c>
      <c r="Y127" s="20" t="n"/>
      <c r="Z127" s="72">
        <f>IF($J127="",FALSE,ISNUMBER(SEARCH("scout",$K127)))</f>
        <v/>
      </c>
      <c r="AA127" s="72">
        <f>IF($J127="",FALSE,IFERROR(INDEX(B!$N$2:$N$61,MATCH($J127,B!$E$2:$E$61,0))="Sim",FALSE))</f>
        <v/>
      </c>
      <c r="AB127" s="72">
        <f>IF($J127="",FALSE,LEFT($X127,2)="XX")</f>
        <v/>
      </c>
      <c r="AC127" s="72">
        <f>IF($J127="",FALSE,IFERROR(INDEX(B!$P$2:$P$61,MATCH($J127,B!$E$2:$E$61,0))="Sim",FALSE))</f>
        <v/>
      </c>
      <c r="AD127" s="20" t="n"/>
      <c r="AE127" s="52">
        <f>IF(H127="","",HOUR(H127))</f>
        <v/>
      </c>
      <c r="AF127" s="52" t="n"/>
    </row>
    <row r="128" ht="19.5" customHeight="1" s="58">
      <c r="A128" s="62">
        <f>IF(G128="","",IF(G128=G127,"",COUNTIF($G$3:$G$976,G128)))</f>
        <v/>
      </c>
      <c r="B128" s="20" t="n"/>
      <c r="C128" s="63">
        <f>IF(G128="","",DAY(G128))</f>
        <v/>
      </c>
      <c r="D128" s="63">
        <f>IF(G128="","",MONTH(G128))</f>
        <v/>
      </c>
      <c r="E128" s="63">
        <f>IF(G128="","",YEAR(G128))</f>
        <v/>
      </c>
      <c r="F128" s="33">
        <f>IF(G128="","",CHOOSE(MONTH(G128),"Janeiro","Fevereiro","Março","Abril","Maio","Junho","Julho","Agosto","Setembro","Outubro","Novembro","Dezembro"))</f>
        <v/>
      </c>
      <c r="G128" s="64" t="n">
        <v>46056</v>
      </c>
      <c r="H128" s="65" t="n">
        <v>0.2054513888888889</v>
      </c>
      <c r="I128" s="66" t="inlineStr">
        <is>
          <t>https://docs.google.com/spreadsheets/d/1ZiCGoPjLCjuYvujDTXK9Ixbth3tekiLtFBzBrGjPCr4/edit?gid=0#gid=0</t>
        </is>
      </c>
      <c r="J128" s="67" t="inlineStr">
        <is>
          <t>Outros Valores Retidos (Pedágio, Cartão, Taxa de Cancelamento...) - [OTV]</t>
        </is>
      </c>
      <c r="K128" s="67" t="inlineStr">
        <is>
          <t>Scout</t>
        </is>
      </c>
      <c r="L128" s="68" t="b">
        <v>0</v>
      </c>
      <c r="M128" s="20" t="n"/>
      <c r="N128" s="69">
        <f>IF($J128="","",IFERROR(INDEX(B!$F$2:$F$61,MATCH($J128,B!$E$2:$E$61,0))&amp;"",""))</f>
        <v/>
      </c>
      <c r="O128" s="69">
        <f>IF($J128="","",IFERROR(INDEX(B!$G$2:$G$61,MATCH($J128,B!$E$2:$E$61,0))&amp;"",""))</f>
        <v/>
      </c>
      <c r="P128" s="69">
        <f>IF($J128="","",IFERROR(INDEX(B!$H$2:$H$61,MATCH($J128,B!$E$2:$E$61,0))&amp;"",""))</f>
        <v/>
      </c>
      <c r="Q128" s="69">
        <f>IF($J128="","",IFERROR(INDEX(B!$I$2:$I$61,MATCH($J128,B!$E$2:$E$61,0))&amp;"",""))</f>
        <v/>
      </c>
      <c r="R128" s="69">
        <f>IF($J128="","",IFERROR(INDEX(B!$J$2:$J$61,MATCH($J128,B!$E$2:$E$61,0))&amp;"",""))</f>
        <v/>
      </c>
      <c r="S128" s="69">
        <f>IF($J128="","",IFERROR(INDEX(B!$K$2:$K$61,MATCH($J128,B!$E$2:$E$61,0))&amp;"",""))</f>
        <v/>
      </c>
      <c r="T128" s="69">
        <f>IF($J128="","",IFERROR(INDEX(B!$L$2:$L$61,MATCH($J128,B!$E$2:$E$61,0))&amp;"",""))</f>
        <v/>
      </c>
      <c r="U128" s="20" t="n"/>
      <c r="V128" s="70">
        <f>IF($J128="","",IFERROR(INDEX(B!$M$2:$M$61,MATCH($J128,B!$E$2:$E$61,0))&amp;"",""))</f>
        <v/>
      </c>
      <c r="W128" s="71">
        <f>IF(I128="","",IFERROR(MID(I128,FIND("/d/",I128)+3,FIND("/edit",I128)-FIND("/d/",I128)-3),I128))</f>
        <v/>
      </c>
      <c r="X128" s="71">
        <f>IF($J128="","",IFERROR(INDEX(B!$C$2:$C$61,MATCH($J128,B!$E$2:$E$61,0))&amp;"",""))</f>
        <v/>
      </c>
      <c r="Y128" s="20" t="n"/>
      <c r="Z128" s="72">
        <f>IF($J128="",FALSE,ISNUMBER(SEARCH("scout",$K128)))</f>
        <v/>
      </c>
      <c r="AA128" s="72">
        <f>IF($J128="",FALSE,IFERROR(INDEX(B!$N$2:$N$61,MATCH($J128,B!$E$2:$E$61,0))="Sim",FALSE))</f>
        <v/>
      </c>
      <c r="AB128" s="72">
        <f>IF($J128="",FALSE,LEFT($X128,2)="XX")</f>
        <v/>
      </c>
      <c r="AC128" s="72">
        <f>IF($J128="",FALSE,IFERROR(INDEX(B!$P$2:$P$61,MATCH($J128,B!$E$2:$E$61,0))="Sim",FALSE))</f>
        <v/>
      </c>
      <c r="AD128" s="20" t="n"/>
      <c r="AE128" s="52">
        <f>IF(H128="","",HOUR(H128))</f>
        <v/>
      </c>
      <c r="AF128" s="52" t="n"/>
    </row>
    <row r="129" ht="19.5" customHeight="1" s="58">
      <c r="A129" s="62">
        <f>IF(G129="","",IF(G129=G128,"",COUNTIF($G$3:$G$976,G129)))</f>
        <v/>
      </c>
      <c r="B129" s="20" t="n"/>
      <c r="C129" s="63">
        <f>IF(G129="","",DAY(G129))</f>
        <v/>
      </c>
      <c r="D129" s="63">
        <f>IF(G129="","",MONTH(G129))</f>
        <v/>
      </c>
      <c r="E129" s="63">
        <f>IF(G129="","",YEAR(G129))</f>
        <v/>
      </c>
      <c r="F129" s="33">
        <f>IF(G129="","",CHOOSE(MONTH(G129),"Janeiro","Fevereiro","Março","Abril","Maio","Junho","Julho","Agosto","Setembro","Outubro","Novembro","Dezembro"))</f>
        <v/>
      </c>
      <c r="G129" s="64" t="n">
        <v>46056</v>
      </c>
      <c r="H129" s="65" t="n">
        <v>0.2059953703703704</v>
      </c>
      <c r="I129" s="66" t="inlineStr">
        <is>
          <t>https://docs.google.com/spreadsheets/d/1ZiCGoPjLCjuYvujDTXK9Ixbth3tekiLtFBzBrGjPCr4/edit?gid=0#gid=0</t>
        </is>
      </c>
      <c r="J129" s="67" t="inlineStr">
        <is>
          <t>Overpaid, Excede o limite, Sem comprovante - [OPEN]</t>
        </is>
      </c>
      <c r="K129" s="67" t="inlineStr"/>
      <c r="L129" s="68" t="b">
        <v>0</v>
      </c>
      <c r="M129" s="20" t="n"/>
      <c r="N129" s="69">
        <f>IF($J129="","",IFERROR(INDEX(B!$F$2:$F$61,MATCH($J129,B!$E$2:$E$61,0))&amp;"",""))</f>
        <v/>
      </c>
      <c r="O129" s="69">
        <f>IF($J129="","",IFERROR(INDEX(B!$G$2:$G$61,MATCH($J129,B!$E$2:$E$61,0))&amp;"",""))</f>
        <v/>
      </c>
      <c r="P129" s="69">
        <f>IF($J129="","",IFERROR(INDEX(B!$H$2:$H$61,MATCH($J129,B!$E$2:$E$61,0))&amp;"",""))</f>
        <v/>
      </c>
      <c r="Q129" s="69">
        <f>IF($J129="","",IFERROR(INDEX(B!$I$2:$I$61,MATCH($J129,B!$E$2:$E$61,0))&amp;"",""))</f>
        <v/>
      </c>
      <c r="R129" s="69">
        <f>IF($J129="","",IFERROR(INDEX(B!$J$2:$J$61,MATCH($J129,B!$E$2:$E$61,0))&amp;"",""))</f>
        <v/>
      </c>
      <c r="S129" s="69">
        <f>IF($J129="","",IFERROR(INDEX(B!$K$2:$K$61,MATCH($J129,B!$E$2:$E$61,0))&amp;"",""))</f>
        <v/>
      </c>
      <c r="T129" s="69">
        <f>IF($J129="","",IFERROR(INDEX(B!$L$2:$L$61,MATCH($J129,B!$E$2:$E$61,0))&amp;"",""))</f>
        <v/>
      </c>
      <c r="U129" s="20" t="n"/>
      <c r="V129" s="70">
        <f>IF($J129="","",IFERROR(INDEX(B!$M$2:$M$61,MATCH($J129,B!$E$2:$E$61,0))&amp;"",""))</f>
        <v/>
      </c>
      <c r="W129" s="71">
        <f>IF(I129="","",IFERROR(MID(I129,FIND("/d/",I129)+3,FIND("/edit",I129)-FIND("/d/",I129)-3),I129))</f>
        <v/>
      </c>
      <c r="X129" s="71">
        <f>IF($J129="","",IFERROR(INDEX(B!$C$2:$C$61,MATCH($J129,B!$E$2:$E$61,0))&amp;"",""))</f>
        <v/>
      </c>
      <c r="Y129" s="20" t="n"/>
      <c r="Z129" s="72">
        <f>IF($J129="",FALSE,ISNUMBER(SEARCH("scout",$K129)))</f>
        <v/>
      </c>
      <c r="AA129" s="72">
        <f>IF($J129="",FALSE,IFERROR(INDEX(B!$N$2:$N$61,MATCH($J129,B!$E$2:$E$61,0))="Sim",FALSE))</f>
        <v/>
      </c>
      <c r="AB129" s="72">
        <f>IF($J129="",FALSE,LEFT($X129,2)="XX")</f>
        <v/>
      </c>
      <c r="AC129" s="72">
        <f>IF($J129="",FALSE,IFERROR(INDEX(B!$P$2:$P$61,MATCH($J129,B!$E$2:$E$61,0))="Sim",FALSE))</f>
        <v/>
      </c>
      <c r="AD129" s="20" t="n"/>
      <c r="AE129" s="52">
        <f>IF(H129="","",HOUR(H129))</f>
        <v/>
      </c>
      <c r="AF129" s="52" t="n"/>
    </row>
    <row r="130" ht="19.5" customHeight="1" s="58">
      <c r="A130" s="62">
        <f>IF(G130="","",IF(G130=G129,"",COUNTIF($G$3:$G$976,G130)))</f>
        <v/>
      </c>
      <c r="B130" s="20" t="n"/>
      <c r="C130" s="63">
        <f>IF(G130="","",DAY(G130))</f>
        <v/>
      </c>
      <c r="D130" s="63">
        <f>IF(G130="","",MONTH(G130))</f>
        <v/>
      </c>
      <c r="E130" s="63">
        <f>IF(G130="","",YEAR(G130))</f>
        <v/>
      </c>
      <c r="F130" s="33">
        <f>IF(G130="","",CHOOSE(MONTH(G130),"Janeiro","Fevereiro","Março","Abril","Maio","Junho","Julho","Agosto","Setembro","Outubro","Novembro","Dezembro"))</f>
        <v/>
      </c>
      <c r="G130" s="64" t="n">
        <v>46056</v>
      </c>
      <c r="H130" s="65" t="n">
        <v>0.2101388888888889</v>
      </c>
      <c r="I130" s="66" t="inlineStr">
        <is>
          <t>https://docs.google.com/spreadsheets/d/1ZiCGoPjLCjuYvujDTXK9Ixbth3tekiLtFBzBrGjPCr4/edit?gid=0#gid=0</t>
        </is>
      </c>
      <c r="J130" s="67" t="inlineStr">
        <is>
          <t>Evento Raro - [ER]</t>
        </is>
      </c>
      <c r="K130" s="67" t="inlineStr"/>
      <c r="L130" s="68" t="b">
        <v>0</v>
      </c>
      <c r="M130" s="20" t="n"/>
      <c r="N130" s="69">
        <f>IF($J130="","",IFERROR(INDEX(B!$F$2:$F$61,MATCH($J130,B!$E$2:$E$61,0))&amp;"",""))</f>
        <v/>
      </c>
      <c r="O130" s="69">
        <f>IF($J130="","",IFERROR(INDEX(B!$G$2:$G$61,MATCH($J130,B!$E$2:$E$61,0))&amp;"",""))</f>
        <v/>
      </c>
      <c r="P130" s="69">
        <f>IF($J130="","",IFERROR(INDEX(B!$H$2:$H$61,MATCH($J130,B!$E$2:$E$61,0))&amp;"",""))</f>
        <v/>
      </c>
      <c r="Q130" s="69">
        <f>IF($J130="","",IFERROR(INDEX(B!$I$2:$I$61,MATCH($J130,B!$E$2:$E$61,0))&amp;"",""))</f>
        <v/>
      </c>
      <c r="R130" s="69">
        <f>IF($J130="","",IFERROR(INDEX(B!$J$2:$J$61,MATCH($J130,B!$E$2:$E$61,0))&amp;"",""))</f>
        <v/>
      </c>
      <c r="S130" s="69">
        <f>IF($J130="","",IFERROR(INDEX(B!$K$2:$K$61,MATCH($J130,B!$E$2:$E$61,0))&amp;"",""))</f>
        <v/>
      </c>
      <c r="T130" s="69">
        <f>IF($J130="","",IFERROR(INDEX(B!$L$2:$L$61,MATCH($J130,B!$E$2:$E$61,0))&amp;"",""))</f>
        <v/>
      </c>
      <c r="U130" s="20" t="n"/>
      <c r="V130" s="70">
        <f>IF($J130="","",IFERROR(INDEX(B!$M$2:$M$61,MATCH($J130,B!$E$2:$E$61,0))&amp;"",""))</f>
        <v/>
      </c>
      <c r="W130" s="71">
        <f>IF(I130="","",IFERROR(MID(I130,FIND("/d/",I130)+3,FIND("/edit",I130)-FIND("/d/",I130)-3),I130))</f>
        <v/>
      </c>
      <c r="X130" s="71">
        <f>IF($J130="","",IFERROR(INDEX(B!$C$2:$C$61,MATCH($J130,B!$E$2:$E$61,0))&amp;"",""))</f>
        <v/>
      </c>
      <c r="Y130" s="20" t="n"/>
      <c r="Z130" s="72">
        <f>IF($J130="",FALSE,ISNUMBER(SEARCH("scout",$K130)))</f>
        <v/>
      </c>
      <c r="AA130" s="72">
        <f>IF($J130="",FALSE,IFERROR(INDEX(B!$N$2:$N$61,MATCH($J130,B!$E$2:$E$61,0))="Sim",FALSE))</f>
        <v/>
      </c>
      <c r="AB130" s="72">
        <f>IF($J130="",FALSE,LEFT($X130,2)="XX")</f>
        <v/>
      </c>
      <c r="AC130" s="72">
        <f>IF($J130="",FALSE,IFERROR(INDEX(B!$P$2:$P$61,MATCH($J130,B!$E$2:$E$61,0))="Sim",FALSE))</f>
        <v/>
      </c>
      <c r="AD130" s="20" t="n"/>
      <c r="AE130" s="52">
        <f>IF(H130="","",HOUR(H130))</f>
        <v/>
      </c>
      <c r="AF130" s="52" t="n"/>
    </row>
    <row r="131" ht="19.5" customHeight="1" s="58">
      <c r="A131" s="62">
        <f>IF(G131="","",IF(G131=G130,"",COUNTIF($G$3:$G$976,G131)))</f>
        <v/>
      </c>
      <c r="B131" s="20" t="n"/>
      <c r="C131" s="63">
        <f>IF(G131="","",DAY(G131))</f>
        <v/>
      </c>
      <c r="D131" s="63">
        <f>IF(G131="","",MONTH(G131))</f>
        <v/>
      </c>
      <c r="E131" s="63">
        <f>IF(G131="","",YEAR(G131))</f>
        <v/>
      </c>
      <c r="F131" s="33">
        <f>IF(G131="","",CHOOSE(MONTH(G131),"Janeiro","Fevereiro","Março","Abril","Maio","Junho","Julho","Agosto","Setembro","Outubro","Novembro","Dezembro"))</f>
        <v/>
      </c>
      <c r="G131" s="64" t="n">
        <v>46056</v>
      </c>
      <c r="H131" s="65" t="n">
        <v>0.2214351851851852</v>
      </c>
      <c r="I131" s="66" t="inlineStr">
        <is>
          <t>https://docs.google.com/spreadsheets/d/1ZiCGoPjLCjuYvujDTXK9Ixbth3tekiLtFBzBrGjPCr4/edit?gid=0#gid=0</t>
        </is>
      </c>
      <c r="J131" s="67" t="inlineStr">
        <is>
          <t>Transferência de LOB (Profissionalismo) - [TIPR]</t>
        </is>
      </c>
      <c r="K131" s="67" t="inlineStr">
        <is>
          <t>Scout</t>
        </is>
      </c>
      <c r="L131" s="68" t="b">
        <v>0</v>
      </c>
      <c r="M131" s="20" t="n"/>
      <c r="N131" s="69">
        <f>IF($J131="","",IFERROR(INDEX(B!$F$2:$F$61,MATCH($J131,B!$E$2:$E$61,0))&amp;"",""))</f>
        <v/>
      </c>
      <c r="O131" s="69">
        <f>IF($J131="","",IFERROR(INDEX(B!$G$2:$G$61,MATCH($J131,B!$E$2:$E$61,0))&amp;"",""))</f>
        <v/>
      </c>
      <c r="P131" s="69">
        <f>IF($J131="","",IFERROR(INDEX(B!$H$2:$H$61,MATCH($J131,B!$E$2:$E$61,0))&amp;"",""))</f>
        <v/>
      </c>
      <c r="Q131" s="69">
        <f>IF($J131="","",IFERROR(INDEX(B!$I$2:$I$61,MATCH($J131,B!$E$2:$E$61,0))&amp;"",""))</f>
        <v/>
      </c>
      <c r="R131" s="69">
        <f>IF($J131="","",IFERROR(INDEX(B!$J$2:$J$61,MATCH($J131,B!$E$2:$E$61,0))&amp;"",""))</f>
        <v/>
      </c>
      <c r="S131" s="69">
        <f>IF($J131="","",IFERROR(INDEX(B!$K$2:$K$61,MATCH($J131,B!$E$2:$E$61,0))&amp;"",""))</f>
        <v/>
      </c>
      <c r="T131" s="69">
        <f>IF($J131="","",IFERROR(INDEX(B!$L$2:$L$61,MATCH($J131,B!$E$2:$E$61,0))&amp;"",""))</f>
        <v/>
      </c>
      <c r="U131" s="20" t="n"/>
      <c r="V131" s="70">
        <f>IF($J131="","",IFERROR(INDEX(B!$M$2:$M$61,MATCH($J131,B!$E$2:$E$61,0))&amp;"",""))</f>
        <v/>
      </c>
      <c r="W131" s="71">
        <f>IF(I131="","",IFERROR(MID(I131,FIND("/d/",I131)+3,FIND("/edit",I131)-FIND("/d/",I131)-3),I131))</f>
        <v/>
      </c>
      <c r="X131" s="71">
        <f>IF($J131="","",IFERROR(INDEX(B!$C$2:$C$61,MATCH($J131,B!$E$2:$E$61,0))&amp;"",""))</f>
        <v/>
      </c>
      <c r="Y131" s="20" t="n"/>
      <c r="Z131" s="72">
        <f>IF($J131="",FALSE,ISNUMBER(SEARCH("scout",$K131)))</f>
        <v/>
      </c>
      <c r="AA131" s="72">
        <f>IF($J131="",FALSE,IFERROR(INDEX(B!$N$2:$N$61,MATCH($J131,B!$E$2:$E$61,0))="Sim",FALSE))</f>
        <v/>
      </c>
      <c r="AB131" s="72">
        <f>IF($J131="",FALSE,LEFT($X131,2)="XX")</f>
        <v/>
      </c>
      <c r="AC131" s="72">
        <f>IF($J131="",FALSE,IFERROR(INDEX(B!$P$2:$P$61,MATCH($J131,B!$E$2:$E$61,0))="Sim",FALSE))</f>
        <v/>
      </c>
      <c r="AD131" s="20" t="n"/>
      <c r="AE131" s="52">
        <f>IF(H131="","",HOUR(H131))</f>
        <v/>
      </c>
      <c r="AF131" s="52" t="n"/>
    </row>
    <row r="132" ht="19.5" customHeight="1" s="58">
      <c r="A132" s="62">
        <f>IF(G132="","",IF(G132=G131,"",COUNTIF($G$3:$G$976,G132)))</f>
        <v/>
      </c>
      <c r="B132" s="20" t="n"/>
      <c r="C132" s="63">
        <f>IF(G132="","",DAY(G132))</f>
        <v/>
      </c>
      <c r="D132" s="63">
        <f>IF(G132="","",MONTH(G132))</f>
        <v/>
      </c>
      <c r="E132" s="63">
        <f>IF(G132="","",YEAR(G132))</f>
        <v/>
      </c>
      <c r="F132" s="33">
        <f>IF(G132="","",CHOOSE(MONTH(G132),"Janeiro","Fevereiro","Março","Abril","Maio","Junho","Julho","Agosto","Setembro","Outubro","Novembro","Dezembro"))</f>
        <v/>
      </c>
      <c r="G132" s="64" t="n">
        <v>46056</v>
      </c>
      <c r="H132" s="65" t="n">
        <v>0.222337962962963</v>
      </c>
      <c r="I132" s="66" t="inlineStr">
        <is>
          <t>https://docs.google.com/spreadsheets/d/1ZiCGoPjLCjuYvujDTXK9Ixbth3tekiLtFBzBrGjPCr4/edit?gid=0#gid=0</t>
        </is>
      </c>
      <c r="J132" s="67" t="inlineStr">
        <is>
          <t>Evento Raro - [ER]</t>
        </is>
      </c>
      <c r="K132" s="67" t="inlineStr"/>
      <c r="L132" s="68" t="b">
        <v>0</v>
      </c>
      <c r="M132" s="20" t="n"/>
      <c r="N132" s="69">
        <f>IF($J132="","",IFERROR(INDEX(B!$F$2:$F$61,MATCH($J132,B!$E$2:$E$61,0))&amp;"",""))</f>
        <v/>
      </c>
      <c r="O132" s="69">
        <f>IF($J132="","",IFERROR(INDEX(B!$G$2:$G$61,MATCH($J132,B!$E$2:$E$61,0))&amp;"",""))</f>
        <v/>
      </c>
      <c r="P132" s="69">
        <f>IF($J132="","",IFERROR(INDEX(B!$H$2:$H$61,MATCH($J132,B!$E$2:$E$61,0))&amp;"",""))</f>
        <v/>
      </c>
      <c r="Q132" s="69">
        <f>IF($J132="","",IFERROR(INDEX(B!$I$2:$I$61,MATCH($J132,B!$E$2:$E$61,0))&amp;"",""))</f>
        <v/>
      </c>
      <c r="R132" s="69">
        <f>IF($J132="","",IFERROR(INDEX(B!$J$2:$J$61,MATCH($J132,B!$E$2:$E$61,0))&amp;"",""))</f>
        <v/>
      </c>
      <c r="S132" s="69">
        <f>IF($J132="","",IFERROR(INDEX(B!$K$2:$K$61,MATCH($J132,B!$E$2:$E$61,0))&amp;"",""))</f>
        <v/>
      </c>
      <c r="T132" s="69">
        <f>IF($J132="","",IFERROR(INDEX(B!$L$2:$L$61,MATCH($J132,B!$E$2:$E$61,0))&amp;"",""))</f>
        <v/>
      </c>
      <c r="U132" s="20" t="n"/>
      <c r="V132" s="70">
        <f>IF($J132="","",IFERROR(INDEX(B!$M$2:$M$61,MATCH($J132,B!$E$2:$E$61,0))&amp;"",""))</f>
        <v/>
      </c>
      <c r="W132" s="71">
        <f>IF(I132="","",IFERROR(MID(I132,FIND("/d/",I132)+3,FIND("/edit",I132)-FIND("/d/",I132)-3),I132))</f>
        <v/>
      </c>
      <c r="X132" s="71">
        <f>IF($J132="","",IFERROR(INDEX(B!$C$2:$C$61,MATCH($J132,B!$E$2:$E$61,0))&amp;"",""))</f>
        <v/>
      </c>
      <c r="Y132" s="20" t="n"/>
      <c r="Z132" s="72">
        <f>IF($J132="",FALSE,ISNUMBER(SEARCH("scout",$K132)))</f>
        <v/>
      </c>
      <c r="AA132" s="72">
        <f>IF($J132="",FALSE,IFERROR(INDEX(B!$N$2:$N$61,MATCH($J132,B!$E$2:$E$61,0))="Sim",FALSE))</f>
        <v/>
      </c>
      <c r="AB132" s="72">
        <f>IF($J132="",FALSE,LEFT($X132,2)="XX")</f>
        <v/>
      </c>
      <c r="AC132" s="72">
        <f>IF($J132="",FALSE,IFERROR(INDEX(B!$P$2:$P$61,MATCH($J132,B!$E$2:$E$61,0))="Sim",FALSE))</f>
        <v/>
      </c>
      <c r="AD132" s="20" t="n"/>
      <c r="AE132" s="52">
        <f>IF(H132="","",HOUR(H132))</f>
        <v/>
      </c>
      <c r="AF132" s="52" t="n"/>
    </row>
    <row r="133" ht="19.5" customHeight="1" s="58">
      <c r="A133" s="62">
        <f>IF(G133="","",IF(G133=G132,"",COUNTIF($G$3:$G$976,G133)))</f>
        <v/>
      </c>
      <c r="B133" s="20" t="n"/>
      <c r="C133" s="63">
        <f>IF(G133="","",DAY(G133))</f>
        <v/>
      </c>
      <c r="D133" s="63">
        <f>IF(G133="","",MONTH(G133))</f>
        <v/>
      </c>
      <c r="E133" s="63">
        <f>IF(G133="","",YEAR(G133))</f>
        <v/>
      </c>
      <c r="F133" s="33">
        <f>IF(G133="","",CHOOSE(MONTH(G133),"Janeiro","Fevereiro","Março","Abril","Maio","Junho","Julho","Agosto","Setembro","Outubro","Novembro","Dezembro"))</f>
        <v/>
      </c>
      <c r="G133" s="64" t="n">
        <v>46056</v>
      </c>
      <c r="H133" s="65" t="n">
        <v>0.2371759259259259</v>
      </c>
      <c r="I133" s="66" t="inlineStr">
        <is>
          <t>https://docs.google.com/spreadsheets/d/1ZiCGoPjLCjuYvujDTXK9Ixbth3tekiLtFBzBrGjPCr4/edit?gid=0#gid=0</t>
        </is>
      </c>
      <c r="J133" s="67" t="inlineStr">
        <is>
          <t>Evento Raro - [ER]</t>
        </is>
      </c>
      <c r="K133" s="67" t="inlineStr"/>
      <c r="L133" s="68" t="b">
        <v>0</v>
      </c>
      <c r="M133" s="20" t="n"/>
      <c r="N133" s="69">
        <f>IF($J133="","",IFERROR(INDEX(B!$F$2:$F$61,MATCH($J133,B!$E$2:$E$61,0))&amp;"",""))</f>
        <v/>
      </c>
      <c r="O133" s="69">
        <f>IF($J133="","",IFERROR(INDEX(B!$G$2:$G$61,MATCH($J133,B!$E$2:$E$61,0))&amp;"",""))</f>
        <v/>
      </c>
      <c r="P133" s="69">
        <f>IF($J133="","",IFERROR(INDEX(B!$H$2:$H$61,MATCH($J133,B!$E$2:$E$61,0))&amp;"",""))</f>
        <v/>
      </c>
      <c r="Q133" s="69">
        <f>IF($J133="","",IFERROR(INDEX(B!$I$2:$I$61,MATCH($J133,B!$E$2:$E$61,0))&amp;"",""))</f>
        <v/>
      </c>
      <c r="R133" s="69">
        <f>IF($J133="","",IFERROR(INDEX(B!$J$2:$J$61,MATCH($J133,B!$E$2:$E$61,0))&amp;"",""))</f>
        <v/>
      </c>
      <c r="S133" s="69">
        <f>IF($J133="","",IFERROR(INDEX(B!$K$2:$K$61,MATCH($J133,B!$E$2:$E$61,0))&amp;"",""))</f>
        <v/>
      </c>
      <c r="T133" s="69">
        <f>IF($J133="","",IFERROR(INDEX(B!$L$2:$L$61,MATCH($J133,B!$E$2:$E$61,0))&amp;"",""))</f>
        <v/>
      </c>
      <c r="U133" s="20" t="n"/>
      <c r="V133" s="70">
        <f>IF($J133="","",IFERROR(INDEX(B!$M$2:$M$61,MATCH($J133,B!$E$2:$E$61,0))&amp;"",""))</f>
        <v/>
      </c>
      <c r="W133" s="71">
        <f>IF(I133="","",IFERROR(MID(I133,FIND("/d/",I133)+3,FIND("/edit",I133)-FIND("/d/",I133)-3),I133))</f>
        <v/>
      </c>
      <c r="X133" s="71">
        <f>IF($J133="","",IFERROR(INDEX(B!$C$2:$C$61,MATCH($J133,B!$E$2:$E$61,0))&amp;"",""))</f>
        <v/>
      </c>
      <c r="Y133" s="20" t="n"/>
      <c r="Z133" s="72">
        <f>IF($J133="",FALSE,ISNUMBER(SEARCH("scout",$K133)))</f>
        <v/>
      </c>
      <c r="AA133" s="72">
        <f>IF($J133="",FALSE,IFERROR(INDEX(B!$N$2:$N$61,MATCH($J133,B!$E$2:$E$61,0))="Sim",FALSE))</f>
        <v/>
      </c>
      <c r="AB133" s="72">
        <f>IF($J133="",FALSE,LEFT($X133,2)="XX")</f>
        <v/>
      </c>
      <c r="AC133" s="72">
        <f>IF($J133="",FALSE,IFERROR(INDEX(B!$P$2:$P$61,MATCH($J133,B!$E$2:$E$61,0))="Sim",FALSE))</f>
        <v/>
      </c>
      <c r="AD133" s="20" t="n"/>
      <c r="AE133" s="52">
        <f>IF(H133="","",HOUR(H133))</f>
        <v/>
      </c>
      <c r="AF133" s="52" t="n"/>
    </row>
    <row r="134" ht="19.5" customHeight="1" s="58">
      <c r="A134" s="62">
        <f>IF(G134="","",IF(G134=G133,"",COUNTIF($G$3:$G$976,G134)))</f>
        <v/>
      </c>
      <c r="B134" s="20" t="n"/>
      <c r="C134" s="63">
        <f>IF(G134="","",DAY(G134))</f>
        <v/>
      </c>
      <c r="D134" s="63">
        <f>IF(G134="","",MONTH(G134))</f>
        <v/>
      </c>
      <c r="E134" s="63">
        <f>IF(G134="","",YEAR(G134))</f>
        <v/>
      </c>
      <c r="F134" s="33">
        <f>IF(G134="","",CHOOSE(MONTH(G134),"Janeiro","Fevereiro","Março","Abril","Maio","Junho","Julho","Agosto","Setembro","Outubro","Novembro","Dezembro"))</f>
        <v/>
      </c>
      <c r="G134" s="64" t="n">
        <v>46057</v>
      </c>
      <c r="H134" s="65" t="n">
        <v>0.007743055555555556</v>
      </c>
      <c r="I134" s="66" t="inlineStr">
        <is>
          <t>https://docs.google.com/spreadsheets/d/1ZiCGoPjLCjuYvujDTXK9Ixbth3tekiLtFBzBrGjPCr4/edit?gid=0#gid=0</t>
        </is>
      </c>
      <c r="J134" s="67" t="inlineStr">
        <is>
          <t>Transferência de LOB (Driver) - [TIDV]</t>
        </is>
      </c>
      <c r="K134" s="67" t="inlineStr">
        <is>
          <t>Scout</t>
        </is>
      </c>
      <c r="L134" s="68" t="b">
        <v>0</v>
      </c>
      <c r="M134" s="20" t="n"/>
      <c r="N134" s="69">
        <f>IF($J134="","",IFERROR(INDEX(B!$F$2:$F$61,MATCH($J134,B!$E$2:$E$61,0))&amp;"",""))</f>
        <v/>
      </c>
      <c r="O134" s="69">
        <f>IF($J134="","",IFERROR(INDEX(B!$G$2:$G$61,MATCH($J134,B!$E$2:$E$61,0))&amp;"",""))</f>
        <v/>
      </c>
      <c r="P134" s="69">
        <f>IF($J134="","",IFERROR(INDEX(B!$H$2:$H$61,MATCH($J134,B!$E$2:$E$61,0))&amp;"",""))</f>
        <v/>
      </c>
      <c r="Q134" s="69">
        <f>IF($J134="","",IFERROR(INDEX(B!$I$2:$I$61,MATCH($J134,B!$E$2:$E$61,0))&amp;"",""))</f>
        <v/>
      </c>
      <c r="R134" s="69">
        <f>IF($J134="","",IFERROR(INDEX(B!$J$2:$J$61,MATCH($J134,B!$E$2:$E$61,0))&amp;"",""))</f>
        <v/>
      </c>
      <c r="S134" s="69">
        <f>IF($J134="","",IFERROR(INDEX(B!$K$2:$K$61,MATCH($J134,B!$E$2:$E$61,0))&amp;"",""))</f>
        <v/>
      </c>
      <c r="T134" s="69">
        <f>IF($J134="","",IFERROR(INDEX(B!$L$2:$L$61,MATCH($J134,B!$E$2:$E$61,0))&amp;"",""))</f>
        <v/>
      </c>
      <c r="U134" s="20" t="n"/>
      <c r="V134" s="70">
        <f>IF($J134="","",IFERROR(INDEX(B!$M$2:$M$61,MATCH($J134,B!$E$2:$E$61,0))&amp;"",""))</f>
        <v/>
      </c>
      <c r="W134" s="71">
        <f>IF(I134="","",IFERROR(MID(I134,FIND("/d/",I134)+3,FIND("/edit",I134)-FIND("/d/",I134)-3),I134))</f>
        <v/>
      </c>
      <c r="X134" s="71">
        <f>IF($J134="","",IFERROR(INDEX(B!$C$2:$C$61,MATCH($J134,B!$E$2:$E$61,0))&amp;"",""))</f>
        <v/>
      </c>
      <c r="Y134" s="20" t="n"/>
      <c r="Z134" s="72">
        <f>IF($J134="",FALSE,ISNUMBER(SEARCH("scout",$K134)))</f>
        <v/>
      </c>
      <c r="AA134" s="72">
        <f>IF($J134="",FALSE,IFERROR(INDEX(B!$N$2:$N$61,MATCH($J134,B!$E$2:$E$61,0))="Sim",FALSE))</f>
        <v/>
      </c>
      <c r="AB134" s="72">
        <f>IF($J134="",FALSE,LEFT($X134,2)="XX")</f>
        <v/>
      </c>
      <c r="AC134" s="72">
        <f>IF($J134="",FALSE,IFERROR(INDEX(B!$P$2:$P$61,MATCH($J134,B!$E$2:$E$61,0))="Sim",FALSE))</f>
        <v/>
      </c>
      <c r="AD134" s="20" t="n"/>
      <c r="AE134" s="52">
        <f>IF(H134="","",HOUR(H134))</f>
        <v/>
      </c>
      <c r="AF134" s="52" t="n"/>
    </row>
    <row r="135" ht="19.5" customHeight="1" s="58">
      <c r="A135" s="62">
        <f>IF(G135="","",IF(G135=G134,"",COUNTIF($G$3:$G$976,G135)))</f>
        <v/>
      </c>
      <c r="B135" s="20" t="n"/>
      <c r="C135" s="63">
        <f>IF(G135="","",DAY(G135))</f>
        <v/>
      </c>
      <c r="D135" s="63">
        <f>IF(G135="","",MONTH(G135))</f>
        <v/>
      </c>
      <c r="E135" s="63">
        <f>IF(G135="","",YEAR(G135))</f>
        <v/>
      </c>
      <c r="F135" s="33">
        <f>IF(G135="","",CHOOSE(MONTH(G135),"Janeiro","Fevereiro","Março","Abril","Maio","Junho","Julho","Agosto","Setembro","Outubro","Novembro","Dezembro"))</f>
        <v/>
      </c>
      <c r="G135" s="64" t="n">
        <v>46057</v>
      </c>
      <c r="H135" s="65" t="n">
        <v>0.01122685185185185</v>
      </c>
      <c r="I135" s="66" t="inlineStr">
        <is>
          <t>https://docs.google.com/spreadsheets/d/1ZiCGoPjLCjuYvujDTXK9Ixbth3tekiLtFBzBrGjPCr4/edit?gid=0#gid=0</t>
        </is>
      </c>
      <c r="J135" s="67" t="inlineStr">
        <is>
          <t>Pushback - [XX]</t>
        </is>
      </c>
      <c r="K135" s="67" t="inlineStr"/>
      <c r="L135" s="68" t="b">
        <v>0</v>
      </c>
      <c r="M135" s="20" t="n"/>
      <c r="N135" s="69">
        <f>IF($J135="","",IFERROR(INDEX(B!$F$2:$F$61,MATCH($J135,B!$E$2:$E$61,0))&amp;"",""))</f>
        <v/>
      </c>
      <c r="O135" s="69">
        <f>IF($J135="","",IFERROR(INDEX(B!$G$2:$G$61,MATCH($J135,B!$E$2:$E$61,0))&amp;"",""))</f>
        <v/>
      </c>
      <c r="P135" s="69">
        <f>IF($J135="","",IFERROR(INDEX(B!$H$2:$H$61,MATCH($J135,B!$E$2:$E$61,0))&amp;"",""))</f>
        <v/>
      </c>
      <c r="Q135" s="69">
        <f>IF($J135="","",IFERROR(INDEX(B!$I$2:$I$61,MATCH($J135,B!$E$2:$E$61,0))&amp;"",""))</f>
        <v/>
      </c>
      <c r="R135" s="69">
        <f>IF($J135="","",IFERROR(INDEX(B!$J$2:$J$61,MATCH($J135,B!$E$2:$E$61,0))&amp;"",""))</f>
        <v/>
      </c>
      <c r="S135" s="69">
        <f>IF($J135="","",IFERROR(INDEX(B!$K$2:$K$61,MATCH($J135,B!$E$2:$E$61,0))&amp;"",""))</f>
        <v/>
      </c>
      <c r="T135" s="69">
        <f>IF($J135="","",IFERROR(INDEX(B!$L$2:$L$61,MATCH($J135,B!$E$2:$E$61,0))&amp;"",""))</f>
        <v/>
      </c>
      <c r="U135" s="20" t="n"/>
      <c r="V135" s="70">
        <f>IF($J135="","",IFERROR(INDEX(B!$M$2:$M$61,MATCH($J135,B!$E$2:$E$61,0))&amp;"",""))</f>
        <v/>
      </c>
      <c r="W135" s="71">
        <f>IF(I135="","",IFERROR(MID(I135,FIND("/d/",I135)+3,FIND("/edit",I135)-FIND("/d/",I135)-3),I135))</f>
        <v/>
      </c>
      <c r="X135" s="71">
        <f>IF($J135="","",IFERROR(INDEX(B!$C$2:$C$61,MATCH($J135,B!$E$2:$E$61,0))&amp;"",""))</f>
        <v/>
      </c>
      <c r="Y135" s="20" t="n"/>
      <c r="Z135" s="72">
        <f>IF($J135="",FALSE,ISNUMBER(SEARCH("scout",$K135)))</f>
        <v/>
      </c>
      <c r="AA135" s="72">
        <f>IF($J135="",FALSE,IFERROR(INDEX(B!$N$2:$N$61,MATCH($J135,B!$E$2:$E$61,0))="Sim",FALSE))</f>
        <v/>
      </c>
      <c r="AB135" s="72">
        <f>IF($J135="",FALSE,LEFT($X135,2)="XX")</f>
        <v/>
      </c>
      <c r="AC135" s="72">
        <f>IF($J135="",FALSE,IFERROR(INDEX(B!$P$2:$P$61,MATCH($J135,B!$E$2:$E$61,0))="Sim",FALSE))</f>
        <v/>
      </c>
      <c r="AD135" s="20" t="n"/>
      <c r="AE135" s="52">
        <f>IF(H135="","",HOUR(H135))</f>
        <v/>
      </c>
      <c r="AF135" s="52" t="n"/>
    </row>
    <row r="136" ht="19.5" customHeight="1" s="58">
      <c r="A136" s="62">
        <f>IF(G136="","",IF(G136=G135,"",COUNTIF($G$3:$G$976,G136)))</f>
        <v/>
      </c>
      <c r="B136" s="20" t="n"/>
      <c r="C136" s="63">
        <f>IF(G136="","",DAY(G136))</f>
        <v/>
      </c>
      <c r="D136" s="63">
        <f>IF(G136="","",MONTH(G136))</f>
        <v/>
      </c>
      <c r="E136" s="63">
        <f>IF(G136="","",YEAR(G136))</f>
        <v/>
      </c>
      <c r="F136" s="33">
        <f>IF(G136="","",CHOOSE(MONTH(G136),"Janeiro","Fevereiro","Março","Abril","Maio","Junho","Julho","Agosto","Setembro","Outubro","Novembro","Dezembro"))</f>
        <v/>
      </c>
      <c r="G136" s="64" t="n">
        <v>46057</v>
      </c>
      <c r="H136" s="65" t="n">
        <v>0.01165509259259259</v>
      </c>
      <c r="I136" s="66" t="inlineStr">
        <is>
          <t>https://docs.google.com/spreadsheets/d/1ZiCGoPjLCjuYvujDTXK9Ixbth3tekiLtFBzBrGjPCr4/edit?gid=0#gid=0</t>
        </is>
      </c>
      <c r="J136" s="67" t="inlineStr">
        <is>
          <t>No Need Response (Não precisa de resposta) - [NRN]</t>
        </is>
      </c>
      <c r="K136" s="67" t="inlineStr"/>
      <c r="L136" s="68" t="b">
        <v>0</v>
      </c>
      <c r="M136" s="20" t="n"/>
      <c r="N136" s="69">
        <f>IF($J136="","",IFERROR(INDEX(B!$F$2:$F$61,MATCH($J136,B!$E$2:$E$61,0))&amp;"",""))</f>
        <v/>
      </c>
      <c r="O136" s="69">
        <f>IF($J136="","",IFERROR(INDEX(B!$G$2:$G$61,MATCH($J136,B!$E$2:$E$61,0))&amp;"",""))</f>
        <v/>
      </c>
      <c r="P136" s="69">
        <f>IF($J136="","",IFERROR(INDEX(B!$H$2:$H$61,MATCH($J136,B!$E$2:$E$61,0))&amp;"",""))</f>
        <v/>
      </c>
      <c r="Q136" s="69">
        <f>IF($J136="","",IFERROR(INDEX(B!$I$2:$I$61,MATCH($J136,B!$E$2:$E$61,0))&amp;"",""))</f>
        <v/>
      </c>
      <c r="R136" s="69">
        <f>IF($J136="","",IFERROR(INDEX(B!$J$2:$J$61,MATCH($J136,B!$E$2:$E$61,0))&amp;"",""))</f>
        <v/>
      </c>
      <c r="S136" s="69">
        <f>IF($J136="","",IFERROR(INDEX(B!$K$2:$K$61,MATCH($J136,B!$E$2:$E$61,0))&amp;"",""))</f>
        <v/>
      </c>
      <c r="T136" s="69">
        <f>IF($J136="","",IFERROR(INDEX(B!$L$2:$L$61,MATCH($J136,B!$E$2:$E$61,0))&amp;"",""))</f>
        <v/>
      </c>
      <c r="U136" s="20" t="n"/>
      <c r="V136" s="70">
        <f>IF($J136="","",IFERROR(INDEX(B!$M$2:$M$61,MATCH($J136,B!$E$2:$E$61,0))&amp;"",""))</f>
        <v/>
      </c>
      <c r="W136" s="71">
        <f>IF(I136="","",IFERROR(MID(I136,FIND("/d/",I136)+3,FIND("/edit",I136)-FIND("/d/",I136)-3),I136))</f>
        <v/>
      </c>
      <c r="X136" s="71">
        <f>IF($J136="","",IFERROR(INDEX(B!$C$2:$C$61,MATCH($J136,B!$E$2:$E$61,0))&amp;"",""))</f>
        <v/>
      </c>
      <c r="Y136" s="20" t="n"/>
      <c r="Z136" s="72">
        <f>IF($J136="",FALSE,ISNUMBER(SEARCH("scout",$K136)))</f>
        <v/>
      </c>
      <c r="AA136" s="72">
        <f>IF($J136="",FALSE,IFERROR(INDEX(B!$N$2:$N$61,MATCH($J136,B!$E$2:$E$61,0))="Sim",FALSE))</f>
        <v/>
      </c>
      <c r="AB136" s="72">
        <f>IF($J136="",FALSE,LEFT($X136,2)="XX")</f>
        <v/>
      </c>
      <c r="AC136" s="72">
        <f>IF($J136="",FALSE,IFERROR(INDEX(B!$P$2:$P$61,MATCH($J136,B!$E$2:$E$61,0))="Sim",FALSE))</f>
        <v/>
      </c>
      <c r="AD136" s="20" t="n"/>
      <c r="AE136" s="52">
        <f>IF(H136="","",HOUR(H136))</f>
        <v/>
      </c>
      <c r="AF136" s="52" t="n"/>
    </row>
    <row r="137" ht="19.5" customHeight="1" s="58">
      <c r="A137" s="62">
        <f>IF(G137="","",IF(G137=G136,"",COUNTIF($G$3:$G$976,G137)))</f>
        <v/>
      </c>
      <c r="B137" s="20" t="n"/>
      <c r="C137" s="63">
        <f>IF(G137="","",DAY(G137))</f>
        <v/>
      </c>
      <c r="D137" s="63">
        <f>IF(G137="","",MONTH(G137))</f>
        <v/>
      </c>
      <c r="E137" s="63">
        <f>IF(G137="","",YEAR(G137))</f>
        <v/>
      </c>
      <c r="F137" s="33">
        <f>IF(G137="","",CHOOSE(MONTH(G137),"Janeiro","Fevereiro","Março","Abril","Maio","Junho","Julho","Agosto","Setembro","Outubro","Novembro","Dezembro"))</f>
        <v/>
      </c>
      <c r="G137" s="64" t="n">
        <v>46057</v>
      </c>
      <c r="H137" s="65" t="n">
        <v>0.01200231481481481</v>
      </c>
      <c r="I137" s="66" t="inlineStr">
        <is>
          <t>https://docs.google.com/spreadsheets/d/1ZiCGoPjLCjuYvujDTXK9Ixbth3tekiLtFBzBrGjPCr4/edit?gid=0#gid=0</t>
        </is>
      </c>
      <c r="J137" s="67" t="inlineStr">
        <is>
          <t>Comprovante de Pagamento - [CP]</t>
        </is>
      </c>
      <c r="K137" s="67" t="inlineStr"/>
      <c r="L137" s="68" t="b">
        <v>0</v>
      </c>
      <c r="M137" s="20" t="n"/>
      <c r="N137" s="69">
        <f>IF($J137="","",IFERROR(INDEX(B!$F$2:$F$61,MATCH($J137,B!$E$2:$E$61,0))&amp;"",""))</f>
        <v/>
      </c>
      <c r="O137" s="69">
        <f>IF($J137="","",IFERROR(INDEX(B!$G$2:$G$61,MATCH($J137,B!$E$2:$E$61,0))&amp;"",""))</f>
        <v/>
      </c>
      <c r="P137" s="69">
        <f>IF($J137="","",IFERROR(INDEX(B!$H$2:$H$61,MATCH($J137,B!$E$2:$E$61,0))&amp;"",""))</f>
        <v/>
      </c>
      <c r="Q137" s="69">
        <f>IF($J137="","",IFERROR(INDEX(B!$I$2:$I$61,MATCH($J137,B!$E$2:$E$61,0))&amp;"",""))</f>
        <v/>
      </c>
      <c r="R137" s="69">
        <f>IF($J137="","",IFERROR(INDEX(B!$J$2:$J$61,MATCH($J137,B!$E$2:$E$61,0))&amp;"",""))</f>
        <v/>
      </c>
      <c r="S137" s="69">
        <f>IF($J137="","",IFERROR(INDEX(B!$K$2:$K$61,MATCH($J137,B!$E$2:$E$61,0))&amp;"",""))</f>
        <v/>
      </c>
      <c r="T137" s="69">
        <f>IF($J137="","",IFERROR(INDEX(B!$L$2:$L$61,MATCH($J137,B!$E$2:$E$61,0))&amp;"",""))</f>
        <v/>
      </c>
      <c r="U137" s="20" t="n"/>
      <c r="V137" s="70">
        <f>IF($J137="","",IFERROR(INDEX(B!$M$2:$M$61,MATCH($J137,B!$E$2:$E$61,0))&amp;"",""))</f>
        <v/>
      </c>
      <c r="W137" s="71">
        <f>IF(I137="","",IFERROR(MID(I137,FIND("/d/",I137)+3,FIND("/edit",I137)-FIND("/d/",I137)-3),I137))</f>
        <v/>
      </c>
      <c r="X137" s="71">
        <f>IF($J137="","",IFERROR(INDEX(B!$C$2:$C$61,MATCH($J137,B!$E$2:$E$61,0))&amp;"",""))</f>
        <v/>
      </c>
      <c r="Y137" s="20" t="n"/>
      <c r="Z137" s="72">
        <f>IF($J137="",FALSE,ISNUMBER(SEARCH("scout",$K137)))</f>
        <v/>
      </c>
      <c r="AA137" s="72">
        <f>IF($J137="",FALSE,IFERROR(INDEX(B!$N$2:$N$61,MATCH($J137,B!$E$2:$E$61,0))="Sim",FALSE))</f>
        <v/>
      </c>
      <c r="AB137" s="72">
        <f>IF($J137="",FALSE,LEFT($X137,2)="XX")</f>
        <v/>
      </c>
      <c r="AC137" s="72">
        <f>IF($J137="",FALSE,IFERROR(INDEX(B!$P$2:$P$61,MATCH($J137,B!$E$2:$E$61,0))="Sim",FALSE))</f>
        <v/>
      </c>
      <c r="AD137" s="20" t="n"/>
      <c r="AE137" s="52">
        <f>IF(H137="","",HOUR(H137))</f>
        <v/>
      </c>
      <c r="AF137" s="52" t="n"/>
    </row>
    <row r="138" ht="19.5" customHeight="1" s="58">
      <c r="A138" s="62">
        <f>IF(G138="","",IF(G138=G137,"",COUNTIF($G$3:$G$976,G138)))</f>
        <v/>
      </c>
      <c r="B138" s="20" t="n"/>
      <c r="C138" s="63">
        <f>IF(G138="","",DAY(G138))</f>
        <v/>
      </c>
      <c r="D138" s="63">
        <f>IF(G138="","",MONTH(G138))</f>
        <v/>
      </c>
      <c r="E138" s="63">
        <f>IF(G138="","",YEAR(G138))</f>
        <v/>
      </c>
      <c r="F138" s="33">
        <f>IF(G138="","",CHOOSE(MONTH(G138),"Janeiro","Fevereiro","Março","Abril","Maio","Junho","Julho","Agosto","Setembro","Outubro","Novembro","Dezembro"))</f>
        <v/>
      </c>
      <c r="G138" s="64" t="n">
        <v>46057</v>
      </c>
      <c r="H138" s="65" t="n">
        <v>0.01207175925925926</v>
      </c>
      <c r="I138" s="66" t="inlineStr">
        <is>
          <t>https://docs.google.com/spreadsheets/d/1ZiCGoPjLCjuYvujDTXK9Ixbth3tekiLtFBzBrGjPCr4/edit?gid=0#gid=0</t>
        </is>
      </c>
      <c r="J138" s="67" t="inlineStr">
        <is>
          <t>Pushback (Agradecimento) - [XXA]</t>
        </is>
      </c>
      <c r="K138" s="67" t="inlineStr"/>
      <c r="L138" s="68" t="b">
        <v>1</v>
      </c>
      <c r="M138" s="20" t="n"/>
      <c r="N138" s="69">
        <f>IF($J138="","",IFERROR(INDEX(B!$F$2:$F$61,MATCH($J138,B!$E$2:$E$61,0))&amp;"",""))</f>
        <v/>
      </c>
      <c r="O138" s="69">
        <f>IF($J138="","",IFERROR(INDEX(B!$G$2:$G$61,MATCH($J138,B!$E$2:$E$61,0))&amp;"",""))</f>
        <v/>
      </c>
      <c r="P138" s="69">
        <f>IF($J138="","",IFERROR(INDEX(B!$H$2:$H$61,MATCH($J138,B!$E$2:$E$61,0))&amp;"",""))</f>
        <v/>
      </c>
      <c r="Q138" s="69">
        <f>IF($J138="","",IFERROR(INDEX(B!$I$2:$I$61,MATCH($J138,B!$E$2:$E$61,0))&amp;"",""))</f>
        <v/>
      </c>
      <c r="R138" s="69">
        <f>IF($J138="","",IFERROR(INDEX(B!$J$2:$J$61,MATCH($J138,B!$E$2:$E$61,0))&amp;"",""))</f>
        <v/>
      </c>
      <c r="S138" s="69">
        <f>IF($J138="","",IFERROR(INDEX(B!$K$2:$K$61,MATCH($J138,B!$E$2:$E$61,0))&amp;"",""))</f>
        <v/>
      </c>
      <c r="T138" s="69">
        <f>IF($J138="","",IFERROR(INDEX(B!$L$2:$L$61,MATCH($J138,B!$E$2:$E$61,0))&amp;"",""))</f>
        <v/>
      </c>
      <c r="U138" s="20" t="n"/>
      <c r="V138" s="70">
        <f>IF($J138="","",IFERROR(INDEX(B!$M$2:$M$61,MATCH($J138,B!$E$2:$E$61,0))&amp;"",""))</f>
        <v/>
      </c>
      <c r="W138" s="71">
        <f>IF(I138="","",IFERROR(MID(I138,FIND("/d/",I138)+3,FIND("/edit",I138)-FIND("/d/",I138)-3),I138))</f>
        <v/>
      </c>
      <c r="X138" s="71">
        <f>IF($J138="","",IFERROR(INDEX(B!$C$2:$C$61,MATCH($J138,B!$E$2:$E$61,0))&amp;"",""))</f>
        <v/>
      </c>
      <c r="Y138" s="20" t="n"/>
      <c r="Z138" s="72">
        <f>IF($J138="",FALSE,ISNUMBER(SEARCH("scout",$K138)))</f>
        <v/>
      </c>
      <c r="AA138" s="72">
        <f>IF($J138="",FALSE,IFERROR(INDEX(B!$N$2:$N$61,MATCH($J138,B!$E$2:$E$61,0))="Sim",FALSE))</f>
        <v/>
      </c>
      <c r="AB138" s="72">
        <f>IF($J138="",FALSE,LEFT($X138,2)="XX")</f>
        <v/>
      </c>
      <c r="AC138" s="72">
        <f>IF($J138="",FALSE,IFERROR(INDEX(B!$P$2:$P$61,MATCH($J138,B!$E$2:$E$61,0))="Sim",FALSE))</f>
        <v/>
      </c>
      <c r="AD138" s="20" t="n"/>
      <c r="AE138" s="52">
        <f>IF(H138="","",HOUR(H138))</f>
        <v/>
      </c>
      <c r="AF138" s="52" t="n"/>
    </row>
    <row r="139" ht="19.5" customHeight="1" s="58">
      <c r="A139" s="62">
        <f>IF(G139="","",IF(G139=G138,"",COUNTIF($G$3:$G$976,G139)))</f>
        <v/>
      </c>
      <c r="B139" s="20" t="n"/>
      <c r="C139" s="63">
        <f>IF(G139="","",DAY(G139))</f>
        <v/>
      </c>
      <c r="D139" s="63">
        <f>IF(G139="","",MONTH(G139))</f>
        <v/>
      </c>
      <c r="E139" s="63">
        <f>IF(G139="","",YEAR(G139))</f>
        <v/>
      </c>
      <c r="F139" s="33">
        <f>IF(G139="","",CHOOSE(MONTH(G139),"Janeiro","Fevereiro","Março","Abril","Maio","Junho","Julho","Agosto","Setembro","Outubro","Novembro","Dezembro"))</f>
        <v/>
      </c>
      <c r="G139" s="64" t="n">
        <v>46057</v>
      </c>
      <c r="H139" s="65" t="n">
        <v>0.01967592592592593</v>
      </c>
      <c r="I139" s="66" t="inlineStr">
        <is>
          <t>https://docs.google.com/spreadsheets/d/1ZiCGoPjLCjuYvujDTXK9Ixbth3tekiLtFBzBrGjPCr4/edit?gid=0#gid=0</t>
        </is>
      </c>
      <c r="J139" s="67" t="inlineStr">
        <is>
          <t>Transferência de LOB (Profissionalismo) - [TIPR]</t>
        </is>
      </c>
      <c r="K139" s="67" t="inlineStr"/>
      <c r="L139" s="68" t="b">
        <v>0</v>
      </c>
      <c r="M139" s="20" t="n"/>
      <c r="N139" s="69">
        <f>IF($J139="","",IFERROR(INDEX(B!$F$2:$F$61,MATCH($J139,B!$E$2:$E$61,0))&amp;"",""))</f>
        <v/>
      </c>
      <c r="O139" s="69">
        <f>IF($J139="","",IFERROR(INDEX(B!$G$2:$G$61,MATCH($J139,B!$E$2:$E$61,0))&amp;"",""))</f>
        <v/>
      </c>
      <c r="P139" s="69">
        <f>IF($J139="","",IFERROR(INDEX(B!$H$2:$H$61,MATCH($J139,B!$E$2:$E$61,0))&amp;"",""))</f>
        <v/>
      </c>
      <c r="Q139" s="69">
        <f>IF($J139="","",IFERROR(INDEX(B!$I$2:$I$61,MATCH($J139,B!$E$2:$E$61,0))&amp;"",""))</f>
        <v/>
      </c>
      <c r="R139" s="69">
        <f>IF($J139="","",IFERROR(INDEX(B!$J$2:$J$61,MATCH($J139,B!$E$2:$E$61,0))&amp;"",""))</f>
        <v/>
      </c>
      <c r="S139" s="69">
        <f>IF($J139="","",IFERROR(INDEX(B!$K$2:$K$61,MATCH($J139,B!$E$2:$E$61,0))&amp;"",""))</f>
        <v/>
      </c>
      <c r="T139" s="69">
        <f>IF($J139="","",IFERROR(INDEX(B!$L$2:$L$61,MATCH($J139,B!$E$2:$E$61,0))&amp;"",""))</f>
        <v/>
      </c>
      <c r="U139" s="20" t="n"/>
      <c r="V139" s="70">
        <f>IF($J139="","",IFERROR(INDEX(B!$M$2:$M$61,MATCH($J139,B!$E$2:$E$61,0))&amp;"",""))</f>
        <v/>
      </c>
      <c r="W139" s="71">
        <f>IF(I139="","",IFERROR(MID(I139,FIND("/d/",I139)+3,FIND("/edit",I139)-FIND("/d/",I139)-3),I139))</f>
        <v/>
      </c>
      <c r="X139" s="71">
        <f>IF($J139="","",IFERROR(INDEX(B!$C$2:$C$61,MATCH($J139,B!$E$2:$E$61,0))&amp;"",""))</f>
        <v/>
      </c>
      <c r="Y139" s="20" t="n"/>
      <c r="Z139" s="72">
        <f>IF($J139="",FALSE,ISNUMBER(SEARCH("scout",$K139)))</f>
        <v/>
      </c>
      <c r="AA139" s="72">
        <f>IF($J139="",FALSE,IFERROR(INDEX(B!$N$2:$N$61,MATCH($J139,B!$E$2:$E$61,0))="Sim",FALSE))</f>
        <v/>
      </c>
      <c r="AB139" s="72">
        <f>IF($J139="",FALSE,LEFT($X139,2)="XX")</f>
        <v/>
      </c>
      <c r="AC139" s="72">
        <f>IF($J139="",FALSE,IFERROR(INDEX(B!$P$2:$P$61,MATCH($J139,B!$E$2:$E$61,0))="Sim",FALSE))</f>
        <v/>
      </c>
      <c r="AD139" s="20" t="n"/>
      <c r="AE139" s="52">
        <f>IF(H139="","",HOUR(H139))</f>
        <v/>
      </c>
      <c r="AF139" s="52" t="n"/>
    </row>
    <row r="140" ht="19.5" customHeight="1" s="58">
      <c r="A140" s="62">
        <f>IF(G140="","",IF(G140=G139,"",COUNTIF($G$3:$G$976,G140)))</f>
        <v/>
      </c>
      <c r="B140" s="20" t="n"/>
      <c r="C140" s="63">
        <f>IF(G140="","",DAY(G140))</f>
        <v/>
      </c>
      <c r="D140" s="63">
        <f>IF(G140="","",MONTH(G140))</f>
        <v/>
      </c>
      <c r="E140" s="63">
        <f>IF(G140="","",YEAR(G140))</f>
        <v/>
      </c>
      <c r="F140" s="33">
        <f>IF(G140="","",CHOOSE(MONTH(G140),"Janeiro","Fevereiro","Março","Abril","Maio","Junho","Julho","Agosto","Setembro","Outubro","Novembro","Dezembro"))</f>
        <v/>
      </c>
      <c r="G140" s="64" t="n">
        <v>46057</v>
      </c>
      <c r="H140" s="65" t="n">
        <v>0.02490740740740741</v>
      </c>
      <c r="I140" s="66" t="inlineStr">
        <is>
          <t>https://docs.google.com/spreadsheets/d/1ZiCGoPjLCjuYvujDTXK9Ixbth3tekiLtFBzBrGjPCr4/edit?gid=0#gid=0</t>
        </is>
      </c>
      <c r="J140" s="67" t="inlineStr">
        <is>
          <t>Comprovante de Pagamento - [CP]</t>
        </is>
      </c>
      <c r="K140" s="67" t="inlineStr"/>
      <c r="L140" s="68" t="b">
        <v>0</v>
      </c>
      <c r="M140" s="20" t="n"/>
      <c r="N140" s="69">
        <f>IF($J140="","",IFERROR(INDEX(B!$F$2:$F$61,MATCH($J140,B!$E$2:$E$61,0))&amp;"",""))</f>
        <v/>
      </c>
      <c r="O140" s="69">
        <f>IF($J140="","",IFERROR(INDEX(B!$G$2:$G$61,MATCH($J140,B!$E$2:$E$61,0))&amp;"",""))</f>
        <v/>
      </c>
      <c r="P140" s="69">
        <f>IF($J140="","",IFERROR(INDEX(B!$H$2:$H$61,MATCH($J140,B!$E$2:$E$61,0))&amp;"",""))</f>
        <v/>
      </c>
      <c r="Q140" s="69">
        <f>IF($J140="","",IFERROR(INDEX(B!$I$2:$I$61,MATCH($J140,B!$E$2:$E$61,0))&amp;"",""))</f>
        <v/>
      </c>
      <c r="R140" s="69">
        <f>IF($J140="","",IFERROR(INDEX(B!$J$2:$J$61,MATCH($J140,B!$E$2:$E$61,0))&amp;"",""))</f>
        <v/>
      </c>
      <c r="S140" s="69">
        <f>IF($J140="","",IFERROR(INDEX(B!$K$2:$K$61,MATCH($J140,B!$E$2:$E$61,0))&amp;"",""))</f>
        <v/>
      </c>
      <c r="T140" s="69">
        <f>IF($J140="","",IFERROR(INDEX(B!$L$2:$L$61,MATCH($J140,B!$E$2:$E$61,0))&amp;"",""))</f>
        <v/>
      </c>
      <c r="U140" s="20" t="n"/>
      <c r="V140" s="70">
        <f>IF($J140="","",IFERROR(INDEX(B!$M$2:$M$61,MATCH($J140,B!$E$2:$E$61,0))&amp;"",""))</f>
        <v/>
      </c>
      <c r="W140" s="71">
        <f>IF(I140="","",IFERROR(MID(I140,FIND("/d/",I140)+3,FIND("/edit",I140)-FIND("/d/",I140)-3),I140))</f>
        <v/>
      </c>
      <c r="X140" s="71">
        <f>IF($J140="","",IFERROR(INDEX(B!$C$2:$C$61,MATCH($J140,B!$E$2:$E$61,0))&amp;"",""))</f>
        <v/>
      </c>
      <c r="Y140" s="20" t="n"/>
      <c r="Z140" s="72">
        <f>IF($J140="",FALSE,ISNUMBER(SEARCH("scout",$K140)))</f>
        <v/>
      </c>
      <c r="AA140" s="72">
        <f>IF($J140="",FALSE,IFERROR(INDEX(B!$N$2:$N$61,MATCH($J140,B!$E$2:$E$61,0))="Sim",FALSE))</f>
        <v/>
      </c>
      <c r="AB140" s="72">
        <f>IF($J140="",FALSE,LEFT($X140,2)="XX")</f>
        <v/>
      </c>
      <c r="AC140" s="72">
        <f>IF($J140="",FALSE,IFERROR(INDEX(B!$P$2:$P$61,MATCH($J140,B!$E$2:$E$61,0))="Sim",FALSE))</f>
        <v/>
      </c>
      <c r="AD140" s="20" t="n"/>
      <c r="AE140" s="52">
        <f>IF(H140="","",HOUR(H140))</f>
        <v/>
      </c>
      <c r="AF140" s="52" t="n"/>
    </row>
    <row r="141" ht="19.5" customHeight="1" s="58">
      <c r="A141" s="62">
        <f>IF(G141="","",IF(G141=G140,"",COUNTIF($G$3:$G$976,G141)))</f>
        <v/>
      </c>
      <c r="B141" s="20" t="n"/>
      <c r="C141" s="63">
        <f>IF(G141="","",DAY(G141))</f>
        <v/>
      </c>
      <c r="D141" s="63">
        <f>IF(G141="","",MONTH(G141))</f>
        <v/>
      </c>
      <c r="E141" s="63">
        <f>IF(G141="","",YEAR(G141))</f>
        <v/>
      </c>
      <c r="F141" s="33">
        <f>IF(G141="","",CHOOSE(MONTH(G141),"Janeiro","Fevereiro","Março","Abril","Maio","Junho","Julho","Agosto","Setembro","Outubro","Novembro","Dezembro"))</f>
        <v/>
      </c>
      <c r="G141" s="64" t="n">
        <v>46057</v>
      </c>
      <c r="H141" s="65" t="n">
        <v>0.02612268518518519</v>
      </c>
      <c r="I141" s="66" t="inlineStr">
        <is>
          <t>https://docs.google.com/spreadsheets/d/1ZiCGoPjLCjuYvujDTXK9Ixbth3tekiLtFBzBrGjPCr4/edit?gid=0#gid=0</t>
        </is>
      </c>
      <c r="J141" s="67" t="inlineStr">
        <is>
          <t>Trajeto Ruim - [TR]</t>
        </is>
      </c>
      <c r="K141" s="67" t="inlineStr"/>
      <c r="L141" s="68" t="b">
        <v>0</v>
      </c>
      <c r="M141" s="20" t="n"/>
      <c r="N141" s="69">
        <f>IF($J141="","",IFERROR(INDEX(B!$F$2:$F$61,MATCH($J141,B!$E$2:$E$61,0))&amp;"",""))</f>
        <v/>
      </c>
      <c r="O141" s="69">
        <f>IF($J141="","",IFERROR(INDEX(B!$G$2:$G$61,MATCH($J141,B!$E$2:$E$61,0))&amp;"",""))</f>
        <v/>
      </c>
      <c r="P141" s="69">
        <f>IF($J141="","",IFERROR(INDEX(B!$H$2:$H$61,MATCH($J141,B!$E$2:$E$61,0))&amp;"",""))</f>
        <v/>
      </c>
      <c r="Q141" s="69">
        <f>IF($J141="","",IFERROR(INDEX(B!$I$2:$I$61,MATCH($J141,B!$E$2:$E$61,0))&amp;"",""))</f>
        <v/>
      </c>
      <c r="R141" s="69">
        <f>IF($J141="","",IFERROR(INDEX(B!$J$2:$J$61,MATCH($J141,B!$E$2:$E$61,0))&amp;"",""))</f>
        <v/>
      </c>
      <c r="S141" s="69">
        <f>IF($J141="","",IFERROR(INDEX(B!$K$2:$K$61,MATCH($J141,B!$E$2:$E$61,0))&amp;"",""))</f>
        <v/>
      </c>
      <c r="T141" s="69">
        <f>IF($J141="","",IFERROR(INDEX(B!$L$2:$L$61,MATCH($J141,B!$E$2:$E$61,0))&amp;"",""))</f>
        <v/>
      </c>
      <c r="U141" s="20" t="n"/>
      <c r="V141" s="70">
        <f>IF($J141="","",IFERROR(INDEX(B!$M$2:$M$61,MATCH($J141,B!$E$2:$E$61,0))&amp;"",""))</f>
        <v/>
      </c>
      <c r="W141" s="71">
        <f>IF(I141="","",IFERROR(MID(I141,FIND("/d/",I141)+3,FIND("/edit",I141)-FIND("/d/",I141)-3),I141))</f>
        <v/>
      </c>
      <c r="X141" s="71">
        <f>IF($J141="","",IFERROR(INDEX(B!$C$2:$C$61,MATCH($J141,B!$E$2:$E$61,0))&amp;"",""))</f>
        <v/>
      </c>
      <c r="Y141" s="20" t="n"/>
      <c r="Z141" s="72">
        <f>IF($J141="",FALSE,ISNUMBER(SEARCH("scout",$K141)))</f>
        <v/>
      </c>
      <c r="AA141" s="72">
        <f>IF($J141="",FALSE,IFERROR(INDEX(B!$N$2:$N$61,MATCH($J141,B!$E$2:$E$61,0))="Sim",FALSE))</f>
        <v/>
      </c>
      <c r="AB141" s="72">
        <f>IF($J141="",FALSE,LEFT($X141,2)="XX")</f>
        <v/>
      </c>
      <c r="AC141" s="72">
        <f>IF($J141="",FALSE,IFERROR(INDEX(B!$P$2:$P$61,MATCH($J141,B!$E$2:$E$61,0))="Sim",FALSE))</f>
        <v/>
      </c>
      <c r="AD141" s="20" t="n"/>
      <c r="AE141" s="52">
        <f>IF(H141="","",HOUR(H141))</f>
        <v/>
      </c>
      <c r="AF141" s="52" t="n"/>
    </row>
    <row r="142" ht="19.5" customHeight="1" s="58">
      <c r="A142" s="62">
        <f>IF(G142="","",IF(G142=G141,"",COUNTIF($G$3:$G$976,G142)))</f>
        <v/>
      </c>
      <c r="B142" s="20" t="n"/>
      <c r="C142" s="63">
        <f>IF(G142="","",DAY(G142))</f>
        <v/>
      </c>
      <c r="D142" s="63">
        <f>IF(G142="","",MONTH(G142))</f>
        <v/>
      </c>
      <c r="E142" s="63">
        <f>IF(G142="","",YEAR(G142))</f>
        <v/>
      </c>
      <c r="F142" s="33">
        <f>IF(G142="","",CHOOSE(MONTH(G142),"Janeiro","Fevereiro","Março","Abril","Maio","Junho","Julho","Agosto","Setembro","Outubro","Novembro","Dezembro"))</f>
        <v/>
      </c>
      <c r="G142" s="64" t="n">
        <v>46057</v>
      </c>
      <c r="H142" s="65" t="n">
        <v>0.03991898148148148</v>
      </c>
      <c r="I142" s="66" t="inlineStr">
        <is>
          <t>https://docs.google.com/spreadsheets/d/1ZiCGoPjLCjuYvujDTXK9Ixbth3tekiLtFBzBrGjPCr4/edit?gid=0#gid=0</t>
        </is>
      </c>
      <c r="J142" s="67" t="inlineStr">
        <is>
          <t>Taxa de Cancelamento - [TXC]</t>
        </is>
      </c>
      <c r="K142" s="67" t="inlineStr">
        <is>
          <t>Scout</t>
        </is>
      </c>
      <c r="L142" s="68" t="b">
        <v>0</v>
      </c>
      <c r="M142" s="20" t="n"/>
      <c r="N142" s="69">
        <f>IF($J142="","",IFERROR(INDEX(B!$F$2:$F$61,MATCH($J142,B!$E$2:$E$61,0))&amp;"",""))</f>
        <v/>
      </c>
      <c r="O142" s="69">
        <f>IF($J142="","",IFERROR(INDEX(B!$G$2:$G$61,MATCH($J142,B!$E$2:$E$61,0))&amp;"",""))</f>
        <v/>
      </c>
      <c r="P142" s="69">
        <f>IF($J142="","",IFERROR(INDEX(B!$H$2:$H$61,MATCH($J142,B!$E$2:$E$61,0))&amp;"",""))</f>
        <v/>
      </c>
      <c r="Q142" s="69">
        <f>IF($J142="","",IFERROR(INDEX(B!$I$2:$I$61,MATCH($J142,B!$E$2:$E$61,0))&amp;"",""))</f>
        <v/>
      </c>
      <c r="R142" s="69">
        <f>IF($J142="","",IFERROR(INDEX(B!$J$2:$J$61,MATCH($J142,B!$E$2:$E$61,0))&amp;"",""))</f>
        <v/>
      </c>
      <c r="S142" s="69">
        <f>IF($J142="","",IFERROR(INDEX(B!$K$2:$K$61,MATCH($J142,B!$E$2:$E$61,0))&amp;"",""))</f>
        <v/>
      </c>
      <c r="T142" s="69">
        <f>IF($J142="","",IFERROR(INDEX(B!$L$2:$L$61,MATCH($J142,B!$E$2:$E$61,0))&amp;"",""))</f>
        <v/>
      </c>
      <c r="U142" s="20" t="n"/>
      <c r="V142" s="70">
        <f>IF($J142="","",IFERROR(INDEX(B!$M$2:$M$61,MATCH($J142,B!$E$2:$E$61,0))&amp;"",""))</f>
        <v/>
      </c>
      <c r="W142" s="71">
        <f>IF(I142="","",IFERROR(MID(I142,FIND("/d/",I142)+3,FIND("/edit",I142)-FIND("/d/",I142)-3),I142))</f>
        <v/>
      </c>
      <c r="X142" s="71">
        <f>IF($J142="","",IFERROR(INDEX(B!$C$2:$C$61,MATCH($J142,B!$E$2:$E$61,0))&amp;"",""))</f>
        <v/>
      </c>
      <c r="Y142" s="20" t="n"/>
      <c r="Z142" s="72">
        <f>IF($J142="",FALSE,ISNUMBER(SEARCH("scout",$K142)))</f>
        <v/>
      </c>
      <c r="AA142" s="72">
        <f>IF($J142="",FALSE,IFERROR(INDEX(B!$N$2:$N$61,MATCH($J142,B!$E$2:$E$61,0))="Sim",FALSE))</f>
        <v/>
      </c>
      <c r="AB142" s="72">
        <f>IF($J142="",FALSE,LEFT($X142,2)="XX")</f>
        <v/>
      </c>
      <c r="AC142" s="72">
        <f>IF($J142="",FALSE,IFERROR(INDEX(B!$P$2:$P$61,MATCH($J142,B!$E$2:$E$61,0))="Sim",FALSE))</f>
        <v/>
      </c>
      <c r="AD142" s="20" t="n"/>
      <c r="AE142" s="52">
        <f>IF(H142="","",HOUR(H142))</f>
        <v/>
      </c>
      <c r="AF142" s="52" t="n"/>
    </row>
    <row r="143" ht="19.5" customHeight="1" s="58">
      <c r="A143" s="62">
        <f>IF(G143="","",IF(G143=G142,"",COUNTIF($G$3:$G$976,G143)))</f>
        <v/>
      </c>
      <c r="B143" s="20" t="n"/>
      <c r="C143" s="63">
        <f>IF(G143="","",DAY(G143))</f>
        <v/>
      </c>
      <c r="D143" s="63">
        <f>IF(G143="","",MONTH(G143))</f>
        <v/>
      </c>
      <c r="E143" s="63">
        <f>IF(G143="","",YEAR(G143))</f>
        <v/>
      </c>
      <c r="F143" s="33">
        <f>IF(G143="","",CHOOSE(MONTH(G143),"Janeiro","Fevereiro","Março","Abril","Maio","Junho","Julho","Agosto","Setembro","Outubro","Novembro","Dezembro"))</f>
        <v/>
      </c>
      <c r="G143" s="64" t="n">
        <v>46057</v>
      </c>
      <c r="H143" s="65" t="n">
        <v>0.0534375</v>
      </c>
      <c r="I143" s="66" t="inlineStr">
        <is>
          <t>https://docs.google.com/spreadsheets/d/1ZiCGoPjLCjuYvujDTXK9Ixbth3tekiLtFBzBrGjPCr4/edit?gid=0#gid=0</t>
        </is>
      </c>
      <c r="J143" s="67" t="inlineStr">
        <is>
          <t>Pushback - [XX]</t>
        </is>
      </c>
      <c r="K143" s="67" t="inlineStr"/>
      <c r="L143" s="68" t="b">
        <v>0</v>
      </c>
      <c r="M143" s="20" t="n"/>
      <c r="N143" s="69">
        <f>IF($J143="","",IFERROR(INDEX(B!$F$2:$F$61,MATCH($J143,B!$E$2:$E$61,0))&amp;"",""))</f>
        <v/>
      </c>
      <c r="O143" s="69">
        <f>IF($J143="","",IFERROR(INDEX(B!$G$2:$G$61,MATCH($J143,B!$E$2:$E$61,0))&amp;"",""))</f>
        <v/>
      </c>
      <c r="P143" s="69">
        <f>IF($J143="","",IFERROR(INDEX(B!$H$2:$H$61,MATCH($J143,B!$E$2:$E$61,0))&amp;"",""))</f>
        <v/>
      </c>
      <c r="Q143" s="69">
        <f>IF($J143="","",IFERROR(INDEX(B!$I$2:$I$61,MATCH($J143,B!$E$2:$E$61,0))&amp;"",""))</f>
        <v/>
      </c>
      <c r="R143" s="69">
        <f>IF($J143="","",IFERROR(INDEX(B!$J$2:$J$61,MATCH($J143,B!$E$2:$E$61,0))&amp;"",""))</f>
        <v/>
      </c>
      <c r="S143" s="69">
        <f>IF($J143="","",IFERROR(INDEX(B!$K$2:$K$61,MATCH($J143,B!$E$2:$E$61,0))&amp;"",""))</f>
        <v/>
      </c>
      <c r="T143" s="69">
        <f>IF($J143="","",IFERROR(INDEX(B!$L$2:$L$61,MATCH($J143,B!$E$2:$E$61,0))&amp;"",""))</f>
        <v/>
      </c>
      <c r="U143" s="20" t="n"/>
      <c r="V143" s="70">
        <f>IF($J143="","",IFERROR(INDEX(B!$M$2:$M$61,MATCH($J143,B!$E$2:$E$61,0))&amp;"",""))</f>
        <v/>
      </c>
      <c r="W143" s="71">
        <f>IF(I143="","",IFERROR(MID(I143,FIND("/d/",I143)+3,FIND("/edit",I143)-FIND("/d/",I143)-3),I143))</f>
        <v/>
      </c>
      <c r="X143" s="71">
        <f>IF($J143="","",IFERROR(INDEX(B!$C$2:$C$61,MATCH($J143,B!$E$2:$E$61,0))&amp;"",""))</f>
        <v/>
      </c>
      <c r="Y143" s="20" t="n"/>
      <c r="Z143" s="72">
        <f>IF($J143="",FALSE,ISNUMBER(SEARCH("scout",$K143)))</f>
        <v/>
      </c>
      <c r="AA143" s="72">
        <f>IF($J143="",FALSE,IFERROR(INDEX(B!$N$2:$N$61,MATCH($J143,B!$E$2:$E$61,0))="Sim",FALSE))</f>
        <v/>
      </c>
      <c r="AB143" s="72">
        <f>IF($J143="",FALSE,LEFT($X143,2)="XX")</f>
        <v/>
      </c>
      <c r="AC143" s="72">
        <f>IF($J143="",FALSE,IFERROR(INDEX(B!$P$2:$P$61,MATCH($J143,B!$E$2:$E$61,0))="Sim",FALSE))</f>
        <v/>
      </c>
      <c r="AD143" s="20" t="n"/>
      <c r="AE143" s="52">
        <f>IF(H143="","",HOUR(H143))</f>
        <v/>
      </c>
      <c r="AF143" s="52" t="n"/>
    </row>
    <row r="144" ht="19.5" customHeight="1" s="58">
      <c r="A144" s="62">
        <f>IF(G144="","",IF(G144=G143,"",COUNTIF($G$3:$G$976,G144)))</f>
        <v/>
      </c>
      <c r="B144" s="20" t="n"/>
      <c r="C144" s="63">
        <f>IF(G144="","",DAY(G144))</f>
        <v/>
      </c>
      <c r="D144" s="63">
        <f>IF(G144="","",MONTH(G144))</f>
        <v/>
      </c>
      <c r="E144" s="63">
        <f>IF(G144="","",YEAR(G144))</f>
        <v/>
      </c>
      <c r="F144" s="33">
        <f>IF(G144="","",CHOOSE(MONTH(G144),"Janeiro","Fevereiro","Março","Abril","Maio","Junho","Julho","Agosto","Setembro","Outubro","Novembro","Dezembro"))</f>
        <v/>
      </c>
      <c r="G144" s="64" t="n">
        <v>46057</v>
      </c>
      <c r="H144" s="65" t="n">
        <v>0.05508101851851852</v>
      </c>
      <c r="I144" s="66" t="inlineStr">
        <is>
          <t>https://docs.google.com/spreadsheets/d/1ZiCGoPjLCjuYvujDTXK9Ixbth3tekiLtFBzBrGjPCr4/edit?gid=0#gid=0</t>
        </is>
      </c>
      <c r="J144" s="67" t="inlineStr">
        <is>
          <t>Taxa de Limpeza - [TXL]</t>
        </is>
      </c>
      <c r="K144" s="67" t="inlineStr"/>
      <c r="L144" s="68" t="b">
        <v>0</v>
      </c>
      <c r="M144" s="20" t="n"/>
      <c r="N144" s="69">
        <f>IF($J144="","",IFERROR(INDEX(B!$F$2:$F$61,MATCH($J144,B!$E$2:$E$61,0))&amp;"",""))</f>
        <v/>
      </c>
      <c r="O144" s="69">
        <f>IF($J144="","",IFERROR(INDEX(B!$G$2:$G$61,MATCH($J144,B!$E$2:$E$61,0))&amp;"",""))</f>
        <v/>
      </c>
      <c r="P144" s="69">
        <f>IF($J144="","",IFERROR(INDEX(B!$H$2:$H$61,MATCH($J144,B!$E$2:$E$61,0))&amp;"",""))</f>
        <v/>
      </c>
      <c r="Q144" s="69">
        <f>IF($J144="","",IFERROR(INDEX(B!$I$2:$I$61,MATCH($J144,B!$E$2:$E$61,0))&amp;"",""))</f>
        <v/>
      </c>
      <c r="R144" s="69">
        <f>IF($J144="","",IFERROR(INDEX(B!$J$2:$J$61,MATCH($J144,B!$E$2:$E$61,0))&amp;"",""))</f>
        <v/>
      </c>
      <c r="S144" s="69">
        <f>IF($J144="","",IFERROR(INDEX(B!$K$2:$K$61,MATCH($J144,B!$E$2:$E$61,0))&amp;"",""))</f>
        <v/>
      </c>
      <c r="T144" s="69">
        <f>IF($J144="","",IFERROR(INDEX(B!$L$2:$L$61,MATCH($J144,B!$E$2:$E$61,0))&amp;"",""))</f>
        <v/>
      </c>
      <c r="U144" s="20" t="n"/>
      <c r="V144" s="70">
        <f>IF($J144="","",IFERROR(INDEX(B!$M$2:$M$61,MATCH($J144,B!$E$2:$E$61,0))&amp;"",""))</f>
        <v/>
      </c>
      <c r="W144" s="71">
        <f>IF(I144="","",IFERROR(MID(I144,FIND("/d/",I144)+3,FIND("/edit",I144)-FIND("/d/",I144)-3),I144))</f>
        <v/>
      </c>
      <c r="X144" s="71">
        <f>IF($J144="","",IFERROR(INDEX(B!$C$2:$C$61,MATCH($J144,B!$E$2:$E$61,0))&amp;"",""))</f>
        <v/>
      </c>
      <c r="Y144" s="20" t="n"/>
      <c r="Z144" s="72">
        <f>IF($J144="",FALSE,ISNUMBER(SEARCH("scout",$K144)))</f>
        <v/>
      </c>
      <c r="AA144" s="72">
        <f>IF($J144="",FALSE,IFERROR(INDEX(B!$N$2:$N$61,MATCH($J144,B!$E$2:$E$61,0))="Sim",FALSE))</f>
        <v/>
      </c>
      <c r="AB144" s="72">
        <f>IF($J144="",FALSE,LEFT($X144,2)="XX")</f>
        <v/>
      </c>
      <c r="AC144" s="72">
        <f>IF($J144="",FALSE,IFERROR(INDEX(B!$P$2:$P$61,MATCH($J144,B!$E$2:$E$61,0))="Sim",FALSE))</f>
        <v/>
      </c>
      <c r="AD144" s="20" t="n"/>
      <c r="AE144" s="52">
        <f>IF(H144="","",HOUR(H144))</f>
        <v/>
      </c>
      <c r="AF144" s="52" t="n"/>
    </row>
    <row r="145" ht="19.5" customHeight="1" s="58">
      <c r="A145" s="62">
        <f>IF(G145="","",IF(G145=G144,"",COUNTIF($G$3:$G$976,G145)))</f>
        <v/>
      </c>
      <c r="B145" s="20" t="n"/>
      <c r="C145" s="63">
        <f>IF(G145="","",DAY(G145))</f>
        <v/>
      </c>
      <c r="D145" s="63">
        <f>IF(G145="","",MONTH(G145))</f>
        <v/>
      </c>
      <c r="E145" s="63">
        <f>IF(G145="","",YEAR(G145))</f>
        <v/>
      </c>
      <c r="F145" s="33">
        <f>IF(G145="","",CHOOSE(MONTH(G145),"Janeiro","Fevereiro","Março","Abril","Maio","Junho","Julho","Agosto","Setembro","Outubro","Novembro","Dezembro"))</f>
        <v/>
      </c>
      <c r="G145" s="64" t="n">
        <v>46057</v>
      </c>
      <c r="H145" s="65" t="n">
        <v>0.05857638888888889</v>
      </c>
      <c r="I145" s="66" t="inlineStr">
        <is>
          <t>https://docs.google.com/spreadsheets/d/1ZiCGoPjLCjuYvujDTXK9Ixbth3tekiLtFBzBrGjPCr4/edit?gid=0#gid=0</t>
        </is>
      </c>
      <c r="J145" s="67" t="inlineStr">
        <is>
          <t>Taxa de Cancelamento - [TXC]</t>
        </is>
      </c>
      <c r="K145" s="67" t="inlineStr">
        <is>
          <t>Scout</t>
        </is>
      </c>
      <c r="L145" s="68" t="b">
        <v>0</v>
      </c>
      <c r="M145" s="20" t="n"/>
      <c r="N145" s="69">
        <f>IF($J145="","",IFERROR(INDEX(B!$F$2:$F$61,MATCH($J145,B!$E$2:$E$61,0))&amp;"",""))</f>
        <v/>
      </c>
      <c r="O145" s="69">
        <f>IF($J145="","",IFERROR(INDEX(B!$G$2:$G$61,MATCH($J145,B!$E$2:$E$61,0))&amp;"",""))</f>
        <v/>
      </c>
      <c r="P145" s="69">
        <f>IF($J145="","",IFERROR(INDEX(B!$H$2:$H$61,MATCH($J145,B!$E$2:$E$61,0))&amp;"",""))</f>
        <v/>
      </c>
      <c r="Q145" s="69">
        <f>IF($J145="","",IFERROR(INDEX(B!$I$2:$I$61,MATCH($J145,B!$E$2:$E$61,0))&amp;"",""))</f>
        <v/>
      </c>
      <c r="R145" s="69">
        <f>IF($J145="","",IFERROR(INDEX(B!$J$2:$J$61,MATCH($J145,B!$E$2:$E$61,0))&amp;"",""))</f>
        <v/>
      </c>
      <c r="S145" s="69">
        <f>IF($J145="","",IFERROR(INDEX(B!$K$2:$K$61,MATCH($J145,B!$E$2:$E$61,0))&amp;"",""))</f>
        <v/>
      </c>
      <c r="T145" s="69">
        <f>IF($J145="","",IFERROR(INDEX(B!$L$2:$L$61,MATCH($J145,B!$E$2:$E$61,0))&amp;"",""))</f>
        <v/>
      </c>
      <c r="U145" s="20" t="n"/>
      <c r="V145" s="70">
        <f>IF($J145="","",IFERROR(INDEX(B!$M$2:$M$61,MATCH($J145,B!$E$2:$E$61,0))&amp;"",""))</f>
        <v/>
      </c>
      <c r="W145" s="71">
        <f>IF(I145="","",IFERROR(MID(I145,FIND("/d/",I145)+3,FIND("/edit",I145)-FIND("/d/",I145)-3),I145))</f>
        <v/>
      </c>
      <c r="X145" s="71">
        <f>IF($J145="","",IFERROR(INDEX(B!$C$2:$C$61,MATCH($J145,B!$E$2:$E$61,0))&amp;"",""))</f>
        <v/>
      </c>
      <c r="Y145" s="20" t="n"/>
      <c r="Z145" s="72">
        <f>IF($J145="",FALSE,ISNUMBER(SEARCH("scout",$K145)))</f>
        <v/>
      </c>
      <c r="AA145" s="72">
        <f>IF($J145="",FALSE,IFERROR(INDEX(B!$N$2:$N$61,MATCH($J145,B!$E$2:$E$61,0))="Sim",FALSE))</f>
        <v/>
      </c>
      <c r="AB145" s="72">
        <f>IF($J145="",FALSE,LEFT($X145,2)="XX")</f>
        <v/>
      </c>
      <c r="AC145" s="72">
        <f>IF($J145="",FALSE,IFERROR(INDEX(B!$P$2:$P$61,MATCH($J145,B!$E$2:$E$61,0))="Sim",FALSE))</f>
        <v/>
      </c>
      <c r="AD145" s="20" t="n"/>
      <c r="AE145" s="52">
        <f>IF(H145="","",HOUR(H145))</f>
        <v/>
      </c>
      <c r="AF145" s="52" t="n"/>
    </row>
    <row r="146" ht="19.5" customHeight="1" s="58">
      <c r="A146" s="62">
        <f>IF(G146="","",IF(G146=G145,"",COUNTIF($G$3:$G$976,G146)))</f>
        <v/>
      </c>
      <c r="B146" s="20" t="n"/>
      <c r="C146" s="63">
        <f>IF(G146="","",DAY(G146))</f>
        <v/>
      </c>
      <c r="D146" s="63">
        <f>IF(G146="","",MONTH(G146))</f>
        <v/>
      </c>
      <c r="E146" s="63">
        <f>IF(G146="","",YEAR(G146))</f>
        <v/>
      </c>
      <c r="F146" s="33">
        <f>IF(G146="","",CHOOSE(MONTH(G146),"Janeiro","Fevereiro","Março","Abril","Maio","Junho","Julho","Agosto","Setembro","Outubro","Novembro","Dezembro"))</f>
        <v/>
      </c>
      <c r="G146" s="64" t="n">
        <v>46057</v>
      </c>
      <c r="H146" s="65" t="n">
        <v>0.06666666666666667</v>
      </c>
      <c r="I146" s="66" t="inlineStr">
        <is>
          <t>https://docs.google.com/spreadsheets/d/1ZiCGoPjLCjuYvujDTXK9Ixbth3tekiLtFBzBrGjPCr4/edit?gid=0#gid=0</t>
        </is>
      </c>
      <c r="J146" s="67" t="inlineStr">
        <is>
          <t>Overpaid, Excede o limite Com comprovante - [OPEC]</t>
        </is>
      </c>
      <c r="K146" s="67" t="inlineStr"/>
      <c r="L146" s="68" t="b">
        <v>0</v>
      </c>
      <c r="M146" s="20" t="n"/>
      <c r="N146" s="69">
        <f>IF($J146="","",IFERROR(INDEX(B!$F$2:$F$61,MATCH($J146,B!$E$2:$E$61,0))&amp;"",""))</f>
        <v/>
      </c>
      <c r="O146" s="69">
        <f>IF($J146="","",IFERROR(INDEX(B!$G$2:$G$61,MATCH($J146,B!$E$2:$E$61,0))&amp;"",""))</f>
        <v/>
      </c>
      <c r="P146" s="69">
        <f>IF($J146="","",IFERROR(INDEX(B!$H$2:$H$61,MATCH($J146,B!$E$2:$E$61,0))&amp;"",""))</f>
        <v/>
      </c>
      <c r="Q146" s="69">
        <f>IF($J146="","",IFERROR(INDEX(B!$I$2:$I$61,MATCH($J146,B!$E$2:$E$61,0))&amp;"",""))</f>
        <v/>
      </c>
      <c r="R146" s="69">
        <f>IF($J146="","",IFERROR(INDEX(B!$J$2:$J$61,MATCH($J146,B!$E$2:$E$61,0))&amp;"",""))</f>
        <v/>
      </c>
      <c r="S146" s="69">
        <f>IF($J146="","",IFERROR(INDEX(B!$K$2:$K$61,MATCH($J146,B!$E$2:$E$61,0))&amp;"",""))</f>
        <v/>
      </c>
      <c r="T146" s="69">
        <f>IF($J146="","",IFERROR(INDEX(B!$L$2:$L$61,MATCH($J146,B!$E$2:$E$61,0))&amp;"",""))</f>
        <v/>
      </c>
      <c r="U146" s="20" t="n"/>
      <c r="V146" s="70">
        <f>IF($J146="","",IFERROR(INDEX(B!$M$2:$M$61,MATCH($J146,B!$E$2:$E$61,0))&amp;"",""))</f>
        <v/>
      </c>
      <c r="W146" s="71">
        <f>IF(I146="","",IFERROR(MID(I146,FIND("/d/",I146)+3,FIND("/edit",I146)-FIND("/d/",I146)-3),I146))</f>
        <v/>
      </c>
      <c r="X146" s="71">
        <f>IF($J146="","",IFERROR(INDEX(B!$C$2:$C$61,MATCH($J146,B!$E$2:$E$61,0))&amp;"",""))</f>
        <v/>
      </c>
      <c r="Y146" s="20" t="n"/>
      <c r="Z146" s="72">
        <f>IF($J146="",FALSE,ISNUMBER(SEARCH("scout",$K146)))</f>
        <v/>
      </c>
      <c r="AA146" s="72">
        <f>IF($J146="",FALSE,IFERROR(INDEX(B!$N$2:$N$61,MATCH($J146,B!$E$2:$E$61,0))="Sim",FALSE))</f>
        <v/>
      </c>
      <c r="AB146" s="72">
        <f>IF($J146="",FALSE,LEFT($X146,2)="XX")</f>
        <v/>
      </c>
      <c r="AC146" s="72">
        <f>IF($J146="",FALSE,IFERROR(INDEX(B!$P$2:$P$61,MATCH($J146,B!$E$2:$E$61,0))="Sim",FALSE))</f>
        <v/>
      </c>
      <c r="AD146" s="20" t="n"/>
      <c r="AE146" s="52">
        <f>IF(H146="","",HOUR(H146))</f>
        <v/>
      </c>
      <c r="AF146" s="52" t="n"/>
    </row>
    <row r="147" ht="19.5" customHeight="1" s="58">
      <c r="A147" s="62">
        <f>IF(G147="","",IF(G147=G146,"",COUNTIF($G$3:$G$976,G147)))</f>
        <v/>
      </c>
      <c r="B147" s="20" t="n"/>
      <c r="C147" s="63">
        <f>IF(G147="","",DAY(G147))</f>
        <v/>
      </c>
      <c r="D147" s="63">
        <f>IF(G147="","",MONTH(G147))</f>
        <v/>
      </c>
      <c r="E147" s="63">
        <f>IF(G147="","",YEAR(G147))</f>
        <v/>
      </c>
      <c r="F147" s="33">
        <f>IF(G147="","",CHOOSE(MONTH(G147),"Janeiro","Fevereiro","Março","Abril","Maio","Junho","Julho","Agosto","Setembro","Outubro","Novembro","Dezembro"))</f>
        <v/>
      </c>
      <c r="G147" s="64" t="n">
        <v>46057</v>
      </c>
      <c r="H147" s="65" t="n">
        <v>0.07023148148148148</v>
      </c>
      <c r="I147" s="66" t="inlineStr">
        <is>
          <t>https://docs.google.com/spreadsheets/d/1ZiCGoPjLCjuYvujDTXK9Ixbth3tekiLtFBzBrGjPCr4/edit?gid=0#gid=0</t>
        </is>
      </c>
      <c r="J147" s="67" t="inlineStr">
        <is>
          <t>Transferência de LOB (Profissionalismo) - [TIPR]</t>
        </is>
      </c>
      <c r="K147" s="67" t="inlineStr"/>
      <c r="L147" s="68" t="b">
        <v>0</v>
      </c>
      <c r="M147" s="20" t="n"/>
      <c r="N147" s="69">
        <f>IF($J147="","",IFERROR(INDEX(B!$F$2:$F$61,MATCH($J147,B!$E$2:$E$61,0))&amp;"",""))</f>
        <v/>
      </c>
      <c r="O147" s="69">
        <f>IF($J147="","",IFERROR(INDEX(B!$G$2:$G$61,MATCH($J147,B!$E$2:$E$61,0))&amp;"",""))</f>
        <v/>
      </c>
      <c r="P147" s="69">
        <f>IF($J147="","",IFERROR(INDEX(B!$H$2:$H$61,MATCH($J147,B!$E$2:$E$61,0))&amp;"",""))</f>
        <v/>
      </c>
      <c r="Q147" s="69">
        <f>IF($J147="","",IFERROR(INDEX(B!$I$2:$I$61,MATCH($J147,B!$E$2:$E$61,0))&amp;"",""))</f>
        <v/>
      </c>
      <c r="R147" s="69">
        <f>IF($J147="","",IFERROR(INDEX(B!$J$2:$J$61,MATCH($J147,B!$E$2:$E$61,0))&amp;"",""))</f>
        <v/>
      </c>
      <c r="S147" s="69">
        <f>IF($J147="","",IFERROR(INDEX(B!$K$2:$K$61,MATCH($J147,B!$E$2:$E$61,0))&amp;"",""))</f>
        <v/>
      </c>
      <c r="T147" s="69">
        <f>IF($J147="","",IFERROR(INDEX(B!$L$2:$L$61,MATCH($J147,B!$E$2:$E$61,0))&amp;"",""))</f>
        <v/>
      </c>
      <c r="U147" s="20" t="n"/>
      <c r="V147" s="70">
        <f>IF($J147="","",IFERROR(INDEX(B!$M$2:$M$61,MATCH($J147,B!$E$2:$E$61,0))&amp;"",""))</f>
        <v/>
      </c>
      <c r="W147" s="71">
        <f>IF(I147="","",IFERROR(MID(I147,FIND("/d/",I147)+3,FIND("/edit",I147)-FIND("/d/",I147)-3),I147))</f>
        <v/>
      </c>
      <c r="X147" s="71">
        <f>IF($J147="","",IFERROR(INDEX(B!$C$2:$C$61,MATCH($J147,B!$E$2:$E$61,0))&amp;"",""))</f>
        <v/>
      </c>
      <c r="Y147" s="20" t="n"/>
      <c r="Z147" s="72">
        <f>IF($J147="",FALSE,ISNUMBER(SEARCH("scout",$K147)))</f>
        <v/>
      </c>
      <c r="AA147" s="72">
        <f>IF($J147="",FALSE,IFERROR(INDEX(B!$N$2:$N$61,MATCH($J147,B!$E$2:$E$61,0))="Sim",FALSE))</f>
        <v/>
      </c>
      <c r="AB147" s="72">
        <f>IF($J147="",FALSE,LEFT($X147,2)="XX")</f>
        <v/>
      </c>
      <c r="AC147" s="72">
        <f>IF($J147="",FALSE,IFERROR(INDEX(B!$P$2:$P$61,MATCH($J147,B!$E$2:$E$61,0))="Sim",FALSE))</f>
        <v/>
      </c>
      <c r="AD147" s="20" t="n"/>
      <c r="AE147" s="52">
        <f>IF(H147="","",HOUR(H147))</f>
        <v/>
      </c>
      <c r="AF147" s="52" t="n"/>
    </row>
    <row r="148" ht="19.5" customHeight="1" s="58">
      <c r="A148" s="62">
        <f>IF(G148="","",IF(G148=G147,"",COUNTIF($G$3:$G$976,G148)))</f>
        <v/>
      </c>
      <c r="B148" s="20" t="n"/>
      <c r="C148" s="63">
        <f>IF(G148="","",DAY(G148))</f>
        <v/>
      </c>
      <c r="D148" s="63">
        <f>IF(G148="","",MONTH(G148))</f>
        <v/>
      </c>
      <c r="E148" s="63">
        <f>IF(G148="","",YEAR(G148))</f>
        <v/>
      </c>
      <c r="F148" s="33">
        <f>IF(G148="","",CHOOSE(MONTH(G148),"Janeiro","Fevereiro","Março","Abril","Maio","Junho","Julho","Agosto","Setembro","Outubro","Novembro","Dezembro"))</f>
        <v/>
      </c>
      <c r="G148" s="64" t="n">
        <v>46057</v>
      </c>
      <c r="H148" s="65" t="n">
        <v>0.07064814814814815</v>
      </c>
      <c r="I148" s="66" t="inlineStr">
        <is>
          <t>https://docs.google.com/spreadsheets/d/1ZiCGoPjLCjuYvujDTXK9Ixbth3tekiLtFBzBrGjPCr4/edit?gid=0#gid=0</t>
        </is>
      </c>
      <c r="J148" s="67" t="inlineStr">
        <is>
          <t>Transferência de LOB (Geral não especificado) - [TI]</t>
        </is>
      </c>
      <c r="K148" s="67" t="inlineStr"/>
      <c r="L148" s="68" t="b">
        <v>1</v>
      </c>
      <c r="M148" s="20" t="n"/>
      <c r="N148" s="69">
        <f>IF($J148="","",IFERROR(INDEX(B!$F$2:$F$61,MATCH($J148,B!$E$2:$E$61,0))&amp;"",""))</f>
        <v/>
      </c>
      <c r="O148" s="69">
        <f>IF($J148="","",IFERROR(INDEX(B!$G$2:$G$61,MATCH($J148,B!$E$2:$E$61,0))&amp;"",""))</f>
        <v/>
      </c>
      <c r="P148" s="69">
        <f>IF($J148="","",IFERROR(INDEX(B!$H$2:$H$61,MATCH($J148,B!$E$2:$E$61,0))&amp;"",""))</f>
        <v/>
      </c>
      <c r="Q148" s="69">
        <f>IF($J148="","",IFERROR(INDEX(B!$I$2:$I$61,MATCH($J148,B!$E$2:$E$61,0))&amp;"",""))</f>
        <v/>
      </c>
      <c r="R148" s="69">
        <f>IF($J148="","",IFERROR(INDEX(B!$J$2:$J$61,MATCH($J148,B!$E$2:$E$61,0))&amp;"",""))</f>
        <v/>
      </c>
      <c r="S148" s="69">
        <f>IF($J148="","",IFERROR(INDEX(B!$K$2:$K$61,MATCH($J148,B!$E$2:$E$61,0))&amp;"",""))</f>
        <v/>
      </c>
      <c r="T148" s="69">
        <f>IF($J148="","",IFERROR(INDEX(B!$L$2:$L$61,MATCH($J148,B!$E$2:$E$61,0))&amp;"",""))</f>
        <v/>
      </c>
      <c r="U148" s="20" t="n"/>
      <c r="V148" s="70">
        <f>IF($J148="","",IFERROR(INDEX(B!$M$2:$M$61,MATCH($J148,B!$E$2:$E$61,0))&amp;"",""))</f>
        <v/>
      </c>
      <c r="W148" s="71">
        <f>IF(I148="","",IFERROR(MID(I148,FIND("/d/",I148)+3,FIND("/edit",I148)-FIND("/d/",I148)-3),I148))</f>
        <v/>
      </c>
      <c r="X148" s="71">
        <f>IF($J148="","",IFERROR(INDEX(B!$C$2:$C$61,MATCH($J148,B!$E$2:$E$61,0))&amp;"",""))</f>
        <v/>
      </c>
      <c r="Y148" s="20" t="n"/>
      <c r="Z148" s="72">
        <f>IF($J148="",FALSE,ISNUMBER(SEARCH("scout",$K148)))</f>
        <v/>
      </c>
      <c r="AA148" s="72">
        <f>IF($J148="",FALSE,IFERROR(INDEX(B!$N$2:$N$61,MATCH($J148,B!$E$2:$E$61,0))="Sim",FALSE))</f>
        <v/>
      </c>
      <c r="AB148" s="72">
        <f>IF($J148="",FALSE,LEFT($X148,2)="XX")</f>
        <v/>
      </c>
      <c r="AC148" s="72">
        <f>IF($J148="",FALSE,IFERROR(INDEX(B!$P$2:$P$61,MATCH($J148,B!$E$2:$E$61,0))="Sim",FALSE))</f>
        <v/>
      </c>
      <c r="AD148" s="20" t="n"/>
      <c r="AE148" s="52">
        <f>IF(H148="","",HOUR(H148))</f>
        <v/>
      </c>
      <c r="AF148" s="52" t="n"/>
    </row>
    <row r="149" ht="19.5" customHeight="1" s="58">
      <c r="A149" s="62">
        <f>IF(G149="","",IF(G149=G148,"",COUNTIF($G$3:$G$976,G149)))</f>
        <v/>
      </c>
      <c r="B149" s="20" t="n"/>
      <c r="C149" s="63">
        <f>IF(G149="","",DAY(G149))</f>
        <v/>
      </c>
      <c r="D149" s="63">
        <f>IF(G149="","",MONTH(G149))</f>
        <v/>
      </c>
      <c r="E149" s="63">
        <f>IF(G149="","",YEAR(G149))</f>
        <v/>
      </c>
      <c r="F149" s="33">
        <f>IF(G149="","",CHOOSE(MONTH(G149),"Janeiro","Fevereiro","Março","Abril","Maio","Junho","Julho","Agosto","Setembro","Outubro","Novembro","Dezembro"))</f>
        <v/>
      </c>
      <c r="G149" s="64" t="n">
        <v>46057</v>
      </c>
      <c r="H149" s="65" t="n">
        <v>0.0749537037037037</v>
      </c>
      <c r="I149" s="66" t="inlineStr">
        <is>
          <t>https://docs.google.com/spreadsheets/d/1ZiCGoPjLCjuYvujDTXK9Ixbth3tekiLtFBzBrGjPCr4/edit?gid=0#gid=0</t>
        </is>
      </c>
      <c r="J149" s="67" t="inlineStr">
        <is>
          <t>Não houve Taxa de Cancelamento - [NTX]</t>
        </is>
      </c>
      <c r="K149" s="67" t="inlineStr"/>
      <c r="L149" s="68" t="b">
        <v>0</v>
      </c>
      <c r="M149" s="20" t="n"/>
      <c r="N149" s="69">
        <f>IF($J149="","",IFERROR(INDEX(B!$F$2:$F$61,MATCH($J149,B!$E$2:$E$61,0))&amp;"",""))</f>
        <v/>
      </c>
      <c r="O149" s="69">
        <f>IF($J149="","",IFERROR(INDEX(B!$G$2:$G$61,MATCH($J149,B!$E$2:$E$61,0))&amp;"",""))</f>
        <v/>
      </c>
      <c r="P149" s="69">
        <f>IF($J149="","",IFERROR(INDEX(B!$H$2:$H$61,MATCH($J149,B!$E$2:$E$61,0))&amp;"",""))</f>
        <v/>
      </c>
      <c r="Q149" s="69">
        <f>IF($J149="","",IFERROR(INDEX(B!$I$2:$I$61,MATCH($J149,B!$E$2:$E$61,0))&amp;"",""))</f>
        <v/>
      </c>
      <c r="R149" s="69">
        <f>IF($J149="","",IFERROR(INDEX(B!$J$2:$J$61,MATCH($J149,B!$E$2:$E$61,0))&amp;"",""))</f>
        <v/>
      </c>
      <c r="S149" s="69">
        <f>IF($J149="","",IFERROR(INDEX(B!$K$2:$K$61,MATCH($J149,B!$E$2:$E$61,0))&amp;"",""))</f>
        <v/>
      </c>
      <c r="T149" s="69">
        <f>IF($J149="","",IFERROR(INDEX(B!$L$2:$L$61,MATCH($J149,B!$E$2:$E$61,0))&amp;"",""))</f>
        <v/>
      </c>
      <c r="U149" s="20" t="n"/>
      <c r="V149" s="70">
        <f>IF($J149="","",IFERROR(INDEX(B!$M$2:$M$61,MATCH($J149,B!$E$2:$E$61,0))&amp;"",""))</f>
        <v/>
      </c>
      <c r="W149" s="71">
        <f>IF(I149="","",IFERROR(MID(I149,FIND("/d/",I149)+3,FIND("/edit",I149)-FIND("/d/",I149)-3),I149))</f>
        <v/>
      </c>
      <c r="X149" s="71">
        <f>IF($J149="","",IFERROR(INDEX(B!$C$2:$C$61,MATCH($J149,B!$E$2:$E$61,0))&amp;"",""))</f>
        <v/>
      </c>
      <c r="Y149" s="20" t="n"/>
      <c r="Z149" s="72">
        <f>IF($J149="",FALSE,ISNUMBER(SEARCH("scout",$K149)))</f>
        <v/>
      </c>
      <c r="AA149" s="72">
        <f>IF($J149="",FALSE,IFERROR(INDEX(B!$N$2:$N$61,MATCH($J149,B!$E$2:$E$61,0))="Sim",FALSE))</f>
        <v/>
      </c>
      <c r="AB149" s="72">
        <f>IF($J149="",FALSE,LEFT($X149,2)="XX")</f>
        <v/>
      </c>
      <c r="AC149" s="72">
        <f>IF($J149="",FALSE,IFERROR(INDEX(B!$P$2:$P$61,MATCH($J149,B!$E$2:$E$61,0))="Sim",FALSE))</f>
        <v/>
      </c>
      <c r="AD149" s="20" t="n"/>
      <c r="AE149" s="52">
        <f>IF(H149="","",HOUR(H149))</f>
        <v/>
      </c>
      <c r="AF149" s="52" t="n"/>
    </row>
    <row r="150" ht="19.5" customHeight="1" s="58">
      <c r="A150" s="62">
        <f>IF(G150="","",IF(G150=G149,"",COUNTIF($G$3:$G$976,G150)))</f>
        <v/>
      </c>
      <c r="B150" s="20" t="n"/>
      <c r="C150" s="63">
        <f>IF(G150="","",DAY(G150))</f>
        <v/>
      </c>
      <c r="D150" s="63">
        <f>IF(G150="","",MONTH(G150))</f>
        <v/>
      </c>
      <c r="E150" s="63">
        <f>IF(G150="","",YEAR(G150))</f>
        <v/>
      </c>
      <c r="F150" s="33">
        <f>IF(G150="","",CHOOSE(MONTH(G150),"Janeiro","Fevereiro","Março","Abril","Maio","Junho","Julho","Agosto","Setembro","Outubro","Novembro","Dezembro"))</f>
        <v/>
      </c>
      <c r="G150" s="64" t="n">
        <v>46057</v>
      </c>
      <c r="H150" s="65" t="n">
        <v>0.07688657407407408</v>
      </c>
      <c r="I150" s="66" t="inlineStr">
        <is>
          <t>https://docs.google.com/spreadsheets/d/1ZiCGoPjLCjuYvujDTXK9Ixbth3tekiLtFBzBrGjPCr4/edit?gid=0#gid=0</t>
        </is>
      </c>
      <c r="J150" s="67" t="inlineStr">
        <is>
          <t>Taxa de Limpeza, Sem ajustes - [TXLO]</t>
        </is>
      </c>
      <c r="K150" s="67" t="inlineStr"/>
      <c r="L150" s="68" t="b">
        <v>0</v>
      </c>
      <c r="M150" s="20" t="n"/>
      <c r="N150" s="69">
        <f>IF($J150="","",IFERROR(INDEX(B!$F$2:$F$61,MATCH($J150,B!$E$2:$E$61,0))&amp;"",""))</f>
        <v/>
      </c>
      <c r="O150" s="69">
        <f>IF($J150="","",IFERROR(INDEX(B!$G$2:$G$61,MATCH($J150,B!$E$2:$E$61,0))&amp;"",""))</f>
        <v/>
      </c>
      <c r="P150" s="69">
        <f>IF($J150="","",IFERROR(INDEX(B!$H$2:$H$61,MATCH($J150,B!$E$2:$E$61,0))&amp;"",""))</f>
        <v/>
      </c>
      <c r="Q150" s="69">
        <f>IF($J150="","",IFERROR(INDEX(B!$I$2:$I$61,MATCH($J150,B!$E$2:$E$61,0))&amp;"",""))</f>
        <v/>
      </c>
      <c r="R150" s="69">
        <f>IF($J150="","",IFERROR(INDEX(B!$J$2:$J$61,MATCH($J150,B!$E$2:$E$61,0))&amp;"",""))</f>
        <v/>
      </c>
      <c r="S150" s="69">
        <f>IF($J150="","",IFERROR(INDEX(B!$K$2:$K$61,MATCH($J150,B!$E$2:$E$61,0))&amp;"",""))</f>
        <v/>
      </c>
      <c r="T150" s="69">
        <f>IF($J150="","",IFERROR(INDEX(B!$L$2:$L$61,MATCH($J150,B!$E$2:$E$61,0))&amp;"",""))</f>
        <v/>
      </c>
      <c r="U150" s="20" t="n"/>
      <c r="V150" s="70">
        <f>IF($J150="","",IFERROR(INDEX(B!$M$2:$M$61,MATCH($J150,B!$E$2:$E$61,0))&amp;"",""))</f>
        <v/>
      </c>
      <c r="W150" s="71">
        <f>IF(I150="","",IFERROR(MID(I150,FIND("/d/",I150)+3,FIND("/edit",I150)-FIND("/d/",I150)-3),I150))</f>
        <v/>
      </c>
      <c r="X150" s="71">
        <f>IF($J150="","",IFERROR(INDEX(B!$C$2:$C$61,MATCH($J150,B!$E$2:$E$61,0))&amp;"",""))</f>
        <v/>
      </c>
      <c r="Y150" s="20" t="n"/>
      <c r="Z150" s="72">
        <f>IF($J150="",FALSE,ISNUMBER(SEARCH("scout",$K150)))</f>
        <v/>
      </c>
      <c r="AA150" s="72">
        <f>IF($J150="",FALSE,IFERROR(INDEX(B!$N$2:$N$61,MATCH($J150,B!$E$2:$E$61,0))="Sim",FALSE))</f>
        <v/>
      </c>
      <c r="AB150" s="72">
        <f>IF($J150="",FALSE,LEFT($X150,2)="XX")</f>
        <v/>
      </c>
      <c r="AC150" s="72">
        <f>IF($J150="",FALSE,IFERROR(INDEX(B!$P$2:$P$61,MATCH($J150,B!$E$2:$E$61,0))="Sim",FALSE))</f>
        <v/>
      </c>
      <c r="AD150" s="20" t="n"/>
      <c r="AE150" s="52">
        <f>IF(H150="","",HOUR(H150))</f>
        <v/>
      </c>
      <c r="AF150" s="52" t="n"/>
    </row>
    <row r="151" ht="19.5" customHeight="1" s="58">
      <c r="A151" s="62">
        <f>IF(G151="","",IF(G151=G150,"",COUNTIF($G$3:$G$976,G151)))</f>
        <v/>
      </c>
      <c r="B151" s="20" t="n"/>
      <c r="C151" s="63">
        <f>IF(G151="","",DAY(G151))</f>
        <v/>
      </c>
      <c r="D151" s="63">
        <f>IF(G151="","",MONTH(G151))</f>
        <v/>
      </c>
      <c r="E151" s="63">
        <f>IF(G151="","",YEAR(G151))</f>
        <v/>
      </c>
      <c r="F151" s="33">
        <f>IF(G151="","",CHOOSE(MONTH(G151),"Janeiro","Fevereiro","Março","Abril","Maio","Junho","Julho","Agosto","Setembro","Outubro","Novembro","Dezembro"))</f>
        <v/>
      </c>
      <c r="G151" s="64" t="n">
        <v>46057</v>
      </c>
      <c r="H151" s="65" t="n">
        <v>0.07695601851851852</v>
      </c>
      <c r="I151" s="66" t="inlineStr">
        <is>
          <t>https://docs.google.com/spreadsheets/d/1ZiCGoPjLCjuYvujDTXK9Ixbth3tekiLtFBzBrGjPCr4/edit?gid=0#gid=0</t>
        </is>
      </c>
      <c r="J151" s="67" t="inlineStr">
        <is>
          <t>Transferência de LOB (Safety) - [TIST]</t>
        </is>
      </c>
      <c r="K151" s="67" t="inlineStr"/>
      <c r="L151" s="68" t="b">
        <v>0</v>
      </c>
      <c r="M151" s="20" t="n"/>
      <c r="N151" s="69">
        <f>IF($J151="","",IFERROR(INDEX(B!$F$2:$F$61,MATCH($J151,B!$E$2:$E$61,0))&amp;"",""))</f>
        <v/>
      </c>
      <c r="O151" s="69">
        <f>IF($J151="","",IFERROR(INDEX(B!$G$2:$G$61,MATCH($J151,B!$E$2:$E$61,0))&amp;"",""))</f>
        <v/>
      </c>
      <c r="P151" s="69">
        <f>IF($J151="","",IFERROR(INDEX(B!$H$2:$H$61,MATCH($J151,B!$E$2:$E$61,0))&amp;"",""))</f>
        <v/>
      </c>
      <c r="Q151" s="69">
        <f>IF($J151="","",IFERROR(INDEX(B!$I$2:$I$61,MATCH($J151,B!$E$2:$E$61,0))&amp;"",""))</f>
        <v/>
      </c>
      <c r="R151" s="69">
        <f>IF($J151="","",IFERROR(INDEX(B!$J$2:$J$61,MATCH($J151,B!$E$2:$E$61,0))&amp;"",""))</f>
        <v/>
      </c>
      <c r="S151" s="69">
        <f>IF($J151="","",IFERROR(INDEX(B!$K$2:$K$61,MATCH($J151,B!$E$2:$E$61,0))&amp;"",""))</f>
        <v/>
      </c>
      <c r="T151" s="69">
        <f>IF($J151="","",IFERROR(INDEX(B!$L$2:$L$61,MATCH($J151,B!$E$2:$E$61,0))&amp;"",""))</f>
        <v/>
      </c>
      <c r="U151" s="20" t="n"/>
      <c r="V151" s="70">
        <f>IF($J151="","",IFERROR(INDEX(B!$M$2:$M$61,MATCH($J151,B!$E$2:$E$61,0))&amp;"",""))</f>
        <v/>
      </c>
      <c r="W151" s="71">
        <f>IF(I151="","",IFERROR(MID(I151,FIND("/d/",I151)+3,FIND("/edit",I151)-FIND("/d/",I151)-3),I151))</f>
        <v/>
      </c>
      <c r="X151" s="71">
        <f>IF($J151="","",IFERROR(INDEX(B!$C$2:$C$61,MATCH($J151,B!$E$2:$E$61,0))&amp;"",""))</f>
        <v/>
      </c>
      <c r="Y151" s="20" t="n"/>
      <c r="Z151" s="72">
        <f>IF($J151="",FALSE,ISNUMBER(SEARCH("scout",$K151)))</f>
        <v/>
      </c>
      <c r="AA151" s="72">
        <f>IF($J151="",FALSE,IFERROR(INDEX(B!$N$2:$N$61,MATCH($J151,B!$E$2:$E$61,0))="Sim",FALSE))</f>
        <v/>
      </c>
      <c r="AB151" s="72">
        <f>IF($J151="",FALSE,LEFT($X151,2)="XX")</f>
        <v/>
      </c>
      <c r="AC151" s="72">
        <f>IF($J151="",FALSE,IFERROR(INDEX(B!$P$2:$P$61,MATCH($J151,B!$E$2:$E$61,0))="Sim",FALSE))</f>
        <v/>
      </c>
      <c r="AD151" s="20" t="n"/>
      <c r="AE151" s="52">
        <f>IF(H151="","",HOUR(H151))</f>
        <v/>
      </c>
      <c r="AF151" s="52" t="n"/>
    </row>
    <row r="152" ht="19.5" customHeight="1" s="58">
      <c r="A152" s="62">
        <f>IF(G152="","",IF(G152=G151,"",COUNTIF($G$3:$G$976,G152)))</f>
        <v/>
      </c>
      <c r="B152" s="20" t="n"/>
      <c r="C152" s="63">
        <f>IF(G152="","",DAY(G152))</f>
        <v/>
      </c>
      <c r="D152" s="63">
        <f>IF(G152="","",MONTH(G152))</f>
        <v/>
      </c>
      <c r="E152" s="63">
        <f>IF(G152="","",YEAR(G152))</f>
        <v/>
      </c>
      <c r="F152" s="33">
        <f>IF(G152="","",CHOOSE(MONTH(G152),"Janeiro","Fevereiro","Março","Abril","Maio","Junho","Julho","Agosto","Setembro","Outubro","Novembro","Dezembro"))</f>
        <v/>
      </c>
      <c r="G152" s="64" t="n">
        <v>46057</v>
      </c>
      <c r="H152" s="65" t="n">
        <v>0.09270833333333334</v>
      </c>
      <c r="I152" s="66" t="inlineStr">
        <is>
          <t>https://docs.google.com/spreadsheets/d/1ZiCGoPjLCjuYvujDTXK9Ixbth3tekiLtFBzBrGjPCr4/edit?gid=0#gid=0</t>
        </is>
      </c>
      <c r="J152" s="67" t="inlineStr">
        <is>
          <t>Outros Valores Retidos (Pedágio, Cartão, Taxa de Cancelamento...) - [OTV]</t>
        </is>
      </c>
      <c r="K152" s="67" t="inlineStr"/>
      <c r="L152" s="68" t="b">
        <v>0</v>
      </c>
      <c r="M152" s="20" t="n"/>
      <c r="N152" s="69">
        <f>IF($J152="","",IFERROR(INDEX(B!$F$2:$F$61,MATCH($J152,B!$E$2:$E$61,0))&amp;"",""))</f>
        <v/>
      </c>
      <c r="O152" s="69">
        <f>IF($J152="","",IFERROR(INDEX(B!$G$2:$G$61,MATCH($J152,B!$E$2:$E$61,0))&amp;"",""))</f>
        <v/>
      </c>
      <c r="P152" s="69">
        <f>IF($J152="","",IFERROR(INDEX(B!$H$2:$H$61,MATCH($J152,B!$E$2:$E$61,0))&amp;"",""))</f>
        <v/>
      </c>
      <c r="Q152" s="69">
        <f>IF($J152="","",IFERROR(INDEX(B!$I$2:$I$61,MATCH($J152,B!$E$2:$E$61,0))&amp;"",""))</f>
        <v/>
      </c>
      <c r="R152" s="69">
        <f>IF($J152="","",IFERROR(INDEX(B!$J$2:$J$61,MATCH($J152,B!$E$2:$E$61,0))&amp;"",""))</f>
        <v/>
      </c>
      <c r="S152" s="69">
        <f>IF($J152="","",IFERROR(INDEX(B!$K$2:$K$61,MATCH($J152,B!$E$2:$E$61,0))&amp;"",""))</f>
        <v/>
      </c>
      <c r="T152" s="69">
        <f>IF($J152="","",IFERROR(INDEX(B!$L$2:$L$61,MATCH($J152,B!$E$2:$E$61,0))&amp;"",""))</f>
        <v/>
      </c>
      <c r="U152" s="20" t="n"/>
      <c r="V152" s="70">
        <f>IF($J152="","",IFERROR(INDEX(B!$M$2:$M$61,MATCH($J152,B!$E$2:$E$61,0))&amp;"",""))</f>
        <v/>
      </c>
      <c r="W152" s="71">
        <f>IF(I152="","",IFERROR(MID(I152,FIND("/d/",I152)+3,FIND("/edit",I152)-FIND("/d/",I152)-3),I152))</f>
        <v/>
      </c>
      <c r="X152" s="71">
        <f>IF($J152="","",IFERROR(INDEX(B!$C$2:$C$61,MATCH($J152,B!$E$2:$E$61,0))&amp;"",""))</f>
        <v/>
      </c>
      <c r="Y152" s="20" t="n"/>
      <c r="Z152" s="72">
        <f>IF($J152="",FALSE,ISNUMBER(SEARCH("scout",$K152)))</f>
        <v/>
      </c>
      <c r="AA152" s="72">
        <f>IF($J152="",FALSE,IFERROR(INDEX(B!$N$2:$N$61,MATCH($J152,B!$E$2:$E$61,0))="Sim",FALSE))</f>
        <v/>
      </c>
      <c r="AB152" s="72">
        <f>IF($J152="",FALSE,LEFT($X152,2)="XX")</f>
        <v/>
      </c>
      <c r="AC152" s="72">
        <f>IF($J152="",FALSE,IFERROR(INDEX(B!$P$2:$P$61,MATCH($J152,B!$E$2:$E$61,0))="Sim",FALSE))</f>
        <v/>
      </c>
      <c r="AD152" s="20" t="n"/>
      <c r="AE152" s="52">
        <f>IF(H152="","",HOUR(H152))</f>
        <v/>
      </c>
      <c r="AF152" s="52" t="n"/>
    </row>
    <row r="153" ht="19.5" customHeight="1" s="58">
      <c r="A153" s="62">
        <f>IF(G153="","",IF(G153=G152,"",COUNTIF($G$3:$G$976,G153)))</f>
        <v/>
      </c>
      <c r="B153" s="20" t="n"/>
      <c r="C153" s="63">
        <f>IF(G153="","",DAY(G153))</f>
        <v/>
      </c>
      <c r="D153" s="63">
        <f>IF(G153="","",MONTH(G153))</f>
        <v/>
      </c>
      <c r="E153" s="63">
        <f>IF(G153="","",YEAR(G153))</f>
        <v/>
      </c>
      <c r="F153" s="33">
        <f>IF(G153="","",CHOOSE(MONTH(G153),"Janeiro","Fevereiro","Março","Abril","Maio","Junho","Julho","Agosto","Setembro","Outubro","Novembro","Dezembro"))</f>
        <v/>
      </c>
      <c r="G153" s="64" t="n">
        <v>46057</v>
      </c>
      <c r="H153" s="65" t="n">
        <v>0.09354166666666666</v>
      </c>
      <c r="I153" s="66" t="inlineStr">
        <is>
          <t>https://docs.google.com/spreadsheets/d/1ZiCGoPjLCjuYvujDTXK9Ixbth3tekiLtFBzBrGjPCr4/edit?gid=0#gid=0</t>
        </is>
      </c>
      <c r="J153" s="67" t="inlineStr">
        <is>
          <t>Mais informações (Quanto Pagou?) - [AAV]</t>
        </is>
      </c>
      <c r="K153" s="67" t="inlineStr">
        <is>
          <t>Scout</t>
        </is>
      </c>
      <c r="L153" s="68" t="b">
        <v>0</v>
      </c>
      <c r="M153" s="20" t="n"/>
      <c r="N153" s="69">
        <f>IF($J153="","",IFERROR(INDEX(B!$F$2:$F$61,MATCH($J153,B!$E$2:$E$61,0))&amp;"",""))</f>
        <v/>
      </c>
      <c r="O153" s="69">
        <f>IF($J153="","",IFERROR(INDEX(B!$G$2:$G$61,MATCH($J153,B!$E$2:$E$61,0))&amp;"",""))</f>
        <v/>
      </c>
      <c r="P153" s="69">
        <f>IF($J153="","",IFERROR(INDEX(B!$H$2:$H$61,MATCH($J153,B!$E$2:$E$61,0))&amp;"",""))</f>
        <v/>
      </c>
      <c r="Q153" s="69">
        <f>IF($J153="","",IFERROR(INDEX(B!$I$2:$I$61,MATCH($J153,B!$E$2:$E$61,0))&amp;"",""))</f>
        <v/>
      </c>
      <c r="R153" s="69">
        <f>IF($J153="","",IFERROR(INDEX(B!$J$2:$J$61,MATCH($J153,B!$E$2:$E$61,0))&amp;"",""))</f>
        <v/>
      </c>
      <c r="S153" s="69">
        <f>IF($J153="","",IFERROR(INDEX(B!$K$2:$K$61,MATCH($J153,B!$E$2:$E$61,0))&amp;"",""))</f>
        <v/>
      </c>
      <c r="T153" s="69">
        <f>IF($J153="","",IFERROR(INDEX(B!$L$2:$L$61,MATCH($J153,B!$E$2:$E$61,0))&amp;"",""))</f>
        <v/>
      </c>
      <c r="U153" s="20" t="n"/>
      <c r="V153" s="70">
        <f>IF($J153="","",IFERROR(INDEX(B!$M$2:$M$61,MATCH($J153,B!$E$2:$E$61,0))&amp;"",""))</f>
        <v/>
      </c>
      <c r="W153" s="71">
        <f>IF(I153="","",IFERROR(MID(I153,FIND("/d/",I153)+3,FIND("/edit",I153)-FIND("/d/",I153)-3),I153))</f>
        <v/>
      </c>
      <c r="X153" s="71">
        <f>IF($J153="","",IFERROR(INDEX(B!$C$2:$C$61,MATCH($J153,B!$E$2:$E$61,0))&amp;"",""))</f>
        <v/>
      </c>
      <c r="Y153" s="20" t="n"/>
      <c r="Z153" s="72">
        <f>IF($J153="",FALSE,ISNUMBER(SEARCH("scout",$K153)))</f>
        <v/>
      </c>
      <c r="AA153" s="72">
        <f>IF($J153="",FALSE,IFERROR(INDEX(B!$N$2:$N$61,MATCH($J153,B!$E$2:$E$61,0))="Sim",FALSE))</f>
        <v/>
      </c>
      <c r="AB153" s="72">
        <f>IF($J153="",FALSE,LEFT($X153,2)="XX")</f>
        <v/>
      </c>
      <c r="AC153" s="72">
        <f>IF($J153="",FALSE,IFERROR(INDEX(B!$P$2:$P$61,MATCH($J153,B!$E$2:$E$61,0))="Sim",FALSE))</f>
        <v/>
      </c>
      <c r="AD153" s="20" t="n"/>
      <c r="AE153" s="52">
        <f>IF(H153="","",HOUR(H153))</f>
        <v/>
      </c>
      <c r="AF153" s="52" t="n"/>
    </row>
    <row r="154" ht="19.5" customHeight="1" s="58">
      <c r="A154" s="62">
        <f>IF(G154="","",IF(G154=G153,"",COUNTIF($G$3:$G$976,G154)))</f>
        <v/>
      </c>
      <c r="B154" s="20" t="n"/>
      <c r="C154" s="63">
        <f>IF(G154="","",DAY(G154))</f>
        <v/>
      </c>
      <c r="D154" s="63">
        <f>IF(G154="","",MONTH(G154))</f>
        <v/>
      </c>
      <c r="E154" s="63">
        <f>IF(G154="","",YEAR(G154))</f>
        <v/>
      </c>
      <c r="F154" s="33">
        <f>IF(G154="","",CHOOSE(MONTH(G154),"Janeiro","Fevereiro","Março","Abril","Maio","Junho","Julho","Agosto","Setembro","Outubro","Novembro","Dezembro"))</f>
        <v/>
      </c>
      <c r="G154" s="64" t="n">
        <v>46057</v>
      </c>
      <c r="H154" s="65" t="n">
        <v>0.09386574074074074</v>
      </c>
      <c r="I154" s="66" t="inlineStr">
        <is>
          <t>https://docs.google.com/spreadsheets/d/1ZiCGoPjLCjuYvujDTXK9Ixbth3tekiLtFBzBrGjPCr4/edit?gid=0#gid=0</t>
        </is>
      </c>
      <c r="J154" s="67" t="inlineStr">
        <is>
          <t>Comprovante de Pagamento - [CP]</t>
        </is>
      </c>
      <c r="K154" s="67" t="inlineStr"/>
      <c r="L154" s="68" t="b">
        <v>1</v>
      </c>
      <c r="M154" s="20" t="n"/>
      <c r="N154" s="69">
        <f>IF($J154="","",IFERROR(INDEX(B!$F$2:$F$61,MATCH($J154,B!$E$2:$E$61,0))&amp;"",""))</f>
        <v/>
      </c>
      <c r="O154" s="69">
        <f>IF($J154="","",IFERROR(INDEX(B!$G$2:$G$61,MATCH($J154,B!$E$2:$E$61,0))&amp;"",""))</f>
        <v/>
      </c>
      <c r="P154" s="69">
        <f>IF($J154="","",IFERROR(INDEX(B!$H$2:$H$61,MATCH($J154,B!$E$2:$E$61,0))&amp;"",""))</f>
        <v/>
      </c>
      <c r="Q154" s="69">
        <f>IF($J154="","",IFERROR(INDEX(B!$I$2:$I$61,MATCH($J154,B!$E$2:$E$61,0))&amp;"",""))</f>
        <v/>
      </c>
      <c r="R154" s="69">
        <f>IF($J154="","",IFERROR(INDEX(B!$J$2:$J$61,MATCH($J154,B!$E$2:$E$61,0))&amp;"",""))</f>
        <v/>
      </c>
      <c r="S154" s="69">
        <f>IF($J154="","",IFERROR(INDEX(B!$K$2:$K$61,MATCH($J154,B!$E$2:$E$61,0))&amp;"",""))</f>
        <v/>
      </c>
      <c r="T154" s="69">
        <f>IF($J154="","",IFERROR(INDEX(B!$L$2:$L$61,MATCH($J154,B!$E$2:$E$61,0))&amp;"",""))</f>
        <v/>
      </c>
      <c r="U154" s="20" t="n"/>
      <c r="V154" s="70">
        <f>IF($J154="","",IFERROR(INDEX(B!$M$2:$M$61,MATCH($J154,B!$E$2:$E$61,0))&amp;"",""))</f>
        <v/>
      </c>
      <c r="W154" s="71">
        <f>IF(I154="","",IFERROR(MID(I154,FIND("/d/",I154)+3,FIND("/edit",I154)-FIND("/d/",I154)-3),I154))</f>
        <v/>
      </c>
      <c r="X154" s="71">
        <f>IF($J154="","",IFERROR(INDEX(B!$C$2:$C$61,MATCH($J154,B!$E$2:$E$61,0))&amp;"",""))</f>
        <v/>
      </c>
      <c r="Y154" s="20" t="n"/>
      <c r="Z154" s="72">
        <f>IF($J154="",FALSE,ISNUMBER(SEARCH("scout",$K154)))</f>
        <v/>
      </c>
      <c r="AA154" s="72">
        <f>IF($J154="",FALSE,IFERROR(INDEX(B!$N$2:$N$61,MATCH($J154,B!$E$2:$E$61,0))="Sim",FALSE))</f>
        <v/>
      </c>
      <c r="AB154" s="72">
        <f>IF($J154="",FALSE,LEFT($X154,2)="XX")</f>
        <v/>
      </c>
      <c r="AC154" s="72">
        <f>IF($J154="",FALSE,IFERROR(INDEX(B!$P$2:$P$61,MATCH($J154,B!$E$2:$E$61,0))="Sim",FALSE))</f>
        <v/>
      </c>
      <c r="AD154" s="20" t="n"/>
      <c r="AE154" s="52">
        <f>IF(H154="","",HOUR(H154))</f>
        <v/>
      </c>
      <c r="AF154" s="52" t="n"/>
    </row>
    <row r="155" ht="19.5" customHeight="1" s="58">
      <c r="A155" s="62">
        <f>IF(G155="","",IF(G155=G154,"",COUNTIF($G$3:$G$976,G155)))</f>
        <v/>
      </c>
      <c r="B155" s="20" t="n"/>
      <c r="C155" s="63">
        <f>IF(G155="","",DAY(G155))</f>
        <v/>
      </c>
      <c r="D155" s="63">
        <f>IF(G155="","",MONTH(G155))</f>
        <v/>
      </c>
      <c r="E155" s="63">
        <f>IF(G155="","",YEAR(G155))</f>
        <v/>
      </c>
      <c r="F155" s="33">
        <f>IF(G155="","",CHOOSE(MONTH(G155),"Janeiro","Fevereiro","Março","Abril","Maio","Junho","Julho","Agosto","Setembro","Outubro","Novembro","Dezembro"))</f>
        <v/>
      </c>
      <c r="G155" s="64" t="n">
        <v>46057</v>
      </c>
      <c r="H155" s="65" t="n">
        <v>0.09392361111111111</v>
      </c>
      <c r="I155" s="66" t="inlineStr">
        <is>
          <t>https://docs.google.com/spreadsheets/d/1ZiCGoPjLCjuYvujDTXK9Ixbth3tekiLtFBzBrGjPCr4/edit?gid=0#gid=0</t>
        </is>
      </c>
      <c r="J155" s="67" t="inlineStr">
        <is>
          <t>Transferência de LOB (Lost Items) - [TILI]</t>
        </is>
      </c>
      <c r="K155" s="67" t="inlineStr"/>
      <c r="L155" s="68" t="b">
        <v>0</v>
      </c>
      <c r="M155" s="20" t="n"/>
      <c r="N155" s="69">
        <f>IF($J155="","",IFERROR(INDEX(B!$F$2:$F$61,MATCH($J155,B!$E$2:$E$61,0))&amp;"",""))</f>
        <v/>
      </c>
      <c r="O155" s="69">
        <f>IF($J155="","",IFERROR(INDEX(B!$G$2:$G$61,MATCH($J155,B!$E$2:$E$61,0))&amp;"",""))</f>
        <v/>
      </c>
      <c r="P155" s="69">
        <f>IF($J155="","",IFERROR(INDEX(B!$H$2:$H$61,MATCH($J155,B!$E$2:$E$61,0))&amp;"",""))</f>
        <v/>
      </c>
      <c r="Q155" s="69">
        <f>IF($J155="","",IFERROR(INDEX(B!$I$2:$I$61,MATCH($J155,B!$E$2:$E$61,0))&amp;"",""))</f>
        <v/>
      </c>
      <c r="R155" s="69">
        <f>IF($J155="","",IFERROR(INDEX(B!$J$2:$J$61,MATCH($J155,B!$E$2:$E$61,0))&amp;"",""))</f>
        <v/>
      </c>
      <c r="S155" s="69">
        <f>IF($J155="","",IFERROR(INDEX(B!$K$2:$K$61,MATCH($J155,B!$E$2:$E$61,0))&amp;"",""))</f>
        <v/>
      </c>
      <c r="T155" s="69">
        <f>IF($J155="","",IFERROR(INDEX(B!$L$2:$L$61,MATCH($J155,B!$E$2:$E$61,0))&amp;"",""))</f>
        <v/>
      </c>
      <c r="U155" s="20" t="n"/>
      <c r="V155" s="70">
        <f>IF($J155="","",IFERROR(INDEX(B!$M$2:$M$61,MATCH($J155,B!$E$2:$E$61,0))&amp;"",""))</f>
        <v/>
      </c>
      <c r="W155" s="71">
        <f>IF(I155="","",IFERROR(MID(I155,FIND("/d/",I155)+3,FIND("/edit",I155)-FIND("/d/",I155)-3),I155))</f>
        <v/>
      </c>
      <c r="X155" s="71">
        <f>IF($J155="","",IFERROR(INDEX(B!$C$2:$C$61,MATCH($J155,B!$E$2:$E$61,0))&amp;"",""))</f>
        <v/>
      </c>
      <c r="Y155" s="20" t="n"/>
      <c r="Z155" s="72">
        <f>IF($J155="",FALSE,ISNUMBER(SEARCH("scout",$K155)))</f>
        <v/>
      </c>
      <c r="AA155" s="72">
        <f>IF($J155="",FALSE,IFERROR(INDEX(B!$N$2:$N$61,MATCH($J155,B!$E$2:$E$61,0))="Sim",FALSE))</f>
        <v/>
      </c>
      <c r="AB155" s="72">
        <f>IF($J155="",FALSE,LEFT($X155,2)="XX")</f>
        <v/>
      </c>
      <c r="AC155" s="72">
        <f>IF($J155="",FALSE,IFERROR(INDEX(B!$P$2:$P$61,MATCH($J155,B!$E$2:$E$61,0))="Sim",FALSE))</f>
        <v/>
      </c>
      <c r="AD155" s="20" t="n"/>
      <c r="AE155" s="52">
        <f>IF(H155="","",HOUR(H155))</f>
        <v/>
      </c>
      <c r="AF155" s="52" t="n"/>
    </row>
    <row r="156" ht="19.5" customHeight="1" s="58">
      <c r="A156" s="62">
        <f>IF(G156="","",IF(G156=G155,"",COUNTIF($G$3:$G$976,G156)))</f>
        <v/>
      </c>
      <c r="B156" s="20" t="n"/>
      <c r="C156" s="63">
        <f>IF(G156="","",DAY(G156))</f>
        <v/>
      </c>
      <c r="D156" s="63">
        <f>IF(G156="","",MONTH(G156))</f>
        <v/>
      </c>
      <c r="E156" s="63">
        <f>IF(G156="","",YEAR(G156))</f>
        <v/>
      </c>
      <c r="F156" s="33">
        <f>IF(G156="","",CHOOSE(MONTH(G156),"Janeiro","Fevereiro","Março","Abril","Maio","Junho","Julho","Agosto","Setembro","Outubro","Novembro","Dezembro"))</f>
        <v/>
      </c>
      <c r="G156" s="64" t="n">
        <v>46057</v>
      </c>
      <c r="H156" s="65" t="n">
        <v>0.09596064814814814</v>
      </c>
      <c r="I156" s="66" t="inlineStr">
        <is>
          <t>https://docs.google.com/spreadsheets/d/1ZiCGoPjLCjuYvujDTXK9Ixbth3tekiLtFBzBrGjPCr4/edit?gid=0#gid=0</t>
        </is>
      </c>
      <c r="J156" s="67" t="inlineStr">
        <is>
          <t>Pushback - [XX]</t>
        </is>
      </c>
      <c r="K156" s="67" t="inlineStr"/>
      <c r="L156" s="68" t="b">
        <v>0</v>
      </c>
      <c r="M156" s="20" t="n"/>
      <c r="N156" s="69">
        <f>IF($J156="","",IFERROR(INDEX(B!$F$2:$F$61,MATCH($J156,B!$E$2:$E$61,0))&amp;"",""))</f>
        <v/>
      </c>
      <c r="O156" s="69">
        <f>IF($J156="","",IFERROR(INDEX(B!$G$2:$G$61,MATCH($J156,B!$E$2:$E$61,0))&amp;"",""))</f>
        <v/>
      </c>
      <c r="P156" s="69">
        <f>IF($J156="","",IFERROR(INDEX(B!$H$2:$H$61,MATCH($J156,B!$E$2:$E$61,0))&amp;"",""))</f>
        <v/>
      </c>
      <c r="Q156" s="69">
        <f>IF($J156="","",IFERROR(INDEX(B!$I$2:$I$61,MATCH($J156,B!$E$2:$E$61,0))&amp;"",""))</f>
        <v/>
      </c>
      <c r="R156" s="69">
        <f>IF($J156="","",IFERROR(INDEX(B!$J$2:$J$61,MATCH($J156,B!$E$2:$E$61,0))&amp;"",""))</f>
        <v/>
      </c>
      <c r="S156" s="69">
        <f>IF($J156="","",IFERROR(INDEX(B!$K$2:$K$61,MATCH($J156,B!$E$2:$E$61,0))&amp;"",""))</f>
        <v/>
      </c>
      <c r="T156" s="69">
        <f>IF($J156="","",IFERROR(INDEX(B!$L$2:$L$61,MATCH($J156,B!$E$2:$E$61,0))&amp;"",""))</f>
        <v/>
      </c>
      <c r="U156" s="20" t="n"/>
      <c r="V156" s="70">
        <f>IF($J156="","",IFERROR(INDEX(B!$M$2:$M$61,MATCH($J156,B!$E$2:$E$61,0))&amp;"",""))</f>
        <v/>
      </c>
      <c r="W156" s="71">
        <f>IF(I156="","",IFERROR(MID(I156,FIND("/d/",I156)+3,FIND("/edit",I156)-FIND("/d/",I156)-3),I156))</f>
        <v/>
      </c>
      <c r="X156" s="71">
        <f>IF($J156="","",IFERROR(INDEX(B!$C$2:$C$61,MATCH($J156,B!$E$2:$E$61,0))&amp;"",""))</f>
        <v/>
      </c>
      <c r="Y156" s="20" t="n"/>
      <c r="Z156" s="72">
        <f>IF($J156="",FALSE,ISNUMBER(SEARCH("scout",$K156)))</f>
        <v/>
      </c>
      <c r="AA156" s="72">
        <f>IF($J156="",FALSE,IFERROR(INDEX(B!$N$2:$N$61,MATCH($J156,B!$E$2:$E$61,0))="Sim",FALSE))</f>
        <v/>
      </c>
      <c r="AB156" s="72">
        <f>IF($J156="",FALSE,LEFT($X156,2)="XX")</f>
        <v/>
      </c>
      <c r="AC156" s="72">
        <f>IF($J156="",FALSE,IFERROR(INDEX(B!$P$2:$P$61,MATCH($J156,B!$E$2:$E$61,0))="Sim",FALSE))</f>
        <v/>
      </c>
      <c r="AD156" s="20" t="n"/>
      <c r="AE156" s="52">
        <f>IF(H156="","",HOUR(H156))</f>
        <v/>
      </c>
      <c r="AF156" s="52" t="n"/>
    </row>
    <row r="157" ht="19.5" customHeight="1" s="58">
      <c r="A157" s="62">
        <f>IF(G157="","",IF(G157=G156,"",COUNTIF($G$3:$G$976,G157)))</f>
        <v/>
      </c>
      <c r="B157" s="20" t="n"/>
      <c r="C157" s="63">
        <f>IF(G157="","",DAY(G157))</f>
        <v/>
      </c>
      <c r="D157" s="63">
        <f>IF(G157="","",MONTH(G157))</f>
        <v/>
      </c>
      <c r="E157" s="63">
        <f>IF(G157="","",YEAR(G157))</f>
        <v/>
      </c>
      <c r="F157" s="33">
        <f>IF(G157="","",CHOOSE(MONTH(G157),"Janeiro","Fevereiro","Março","Abril","Maio","Junho","Julho","Agosto","Setembro","Outubro","Novembro","Dezembro"))</f>
        <v/>
      </c>
      <c r="G157" s="64" t="n">
        <v>46057</v>
      </c>
      <c r="H157" s="65" t="n">
        <v>0.1046759259259259</v>
      </c>
      <c r="I157" s="66" t="inlineStr">
        <is>
          <t>https://docs.google.com/spreadsheets/d/1ZiCGoPjLCjuYvujDTXK9Ixbth3tekiLtFBzBrGjPCr4/edit?gid=0#gid=0</t>
        </is>
      </c>
      <c r="J157" s="67" t="inlineStr">
        <is>
          <t>Pushback (Agradecimento) - [XXA]</t>
        </is>
      </c>
      <c r="K157" s="67" t="inlineStr"/>
      <c r="L157" s="68" t="b">
        <v>0</v>
      </c>
      <c r="M157" s="20" t="n"/>
      <c r="N157" s="69">
        <f>IF($J157="","",IFERROR(INDEX(B!$F$2:$F$61,MATCH($J157,B!$E$2:$E$61,0))&amp;"",""))</f>
        <v/>
      </c>
      <c r="O157" s="69">
        <f>IF($J157="","",IFERROR(INDEX(B!$G$2:$G$61,MATCH($J157,B!$E$2:$E$61,0))&amp;"",""))</f>
        <v/>
      </c>
      <c r="P157" s="69">
        <f>IF($J157="","",IFERROR(INDEX(B!$H$2:$H$61,MATCH($J157,B!$E$2:$E$61,0))&amp;"",""))</f>
        <v/>
      </c>
      <c r="Q157" s="69">
        <f>IF($J157="","",IFERROR(INDEX(B!$I$2:$I$61,MATCH($J157,B!$E$2:$E$61,0))&amp;"",""))</f>
        <v/>
      </c>
      <c r="R157" s="69">
        <f>IF($J157="","",IFERROR(INDEX(B!$J$2:$J$61,MATCH($J157,B!$E$2:$E$61,0))&amp;"",""))</f>
        <v/>
      </c>
      <c r="S157" s="69">
        <f>IF($J157="","",IFERROR(INDEX(B!$K$2:$K$61,MATCH($J157,B!$E$2:$E$61,0))&amp;"",""))</f>
        <v/>
      </c>
      <c r="T157" s="69">
        <f>IF($J157="","",IFERROR(INDEX(B!$L$2:$L$61,MATCH($J157,B!$E$2:$E$61,0))&amp;"",""))</f>
        <v/>
      </c>
      <c r="U157" s="20" t="n"/>
      <c r="V157" s="70">
        <f>IF($J157="","",IFERROR(INDEX(B!$M$2:$M$61,MATCH($J157,B!$E$2:$E$61,0))&amp;"",""))</f>
        <v/>
      </c>
      <c r="W157" s="71">
        <f>IF(I157="","",IFERROR(MID(I157,FIND("/d/",I157)+3,FIND("/edit",I157)-FIND("/d/",I157)-3),I157))</f>
        <v/>
      </c>
      <c r="X157" s="71">
        <f>IF($J157="","",IFERROR(INDEX(B!$C$2:$C$61,MATCH($J157,B!$E$2:$E$61,0))&amp;"",""))</f>
        <v/>
      </c>
      <c r="Y157" s="20" t="n"/>
      <c r="Z157" s="72">
        <f>IF($J157="",FALSE,ISNUMBER(SEARCH("scout",$K157)))</f>
        <v/>
      </c>
      <c r="AA157" s="72">
        <f>IF($J157="",FALSE,IFERROR(INDEX(B!$N$2:$N$61,MATCH($J157,B!$E$2:$E$61,0))="Sim",FALSE))</f>
        <v/>
      </c>
      <c r="AB157" s="72">
        <f>IF($J157="",FALSE,LEFT($X157,2)="XX")</f>
        <v/>
      </c>
      <c r="AC157" s="72">
        <f>IF($J157="",FALSE,IFERROR(INDEX(B!$P$2:$P$61,MATCH($J157,B!$E$2:$E$61,0))="Sim",FALSE))</f>
        <v/>
      </c>
      <c r="AD157" s="20" t="n"/>
      <c r="AE157" s="52">
        <f>IF(H157="","",HOUR(H157))</f>
        <v/>
      </c>
      <c r="AF157" s="52" t="n"/>
    </row>
    <row r="158" ht="19.5" customHeight="1" s="58">
      <c r="A158" s="62">
        <f>IF(G158="","",IF(G158=G157,"",COUNTIF($G$3:$G$976,G158)))</f>
        <v/>
      </c>
      <c r="B158" s="20" t="n"/>
      <c r="C158" s="63">
        <f>IF(G158="","",DAY(G158))</f>
        <v/>
      </c>
      <c r="D158" s="63">
        <f>IF(G158="","",MONTH(G158))</f>
        <v/>
      </c>
      <c r="E158" s="63">
        <f>IF(G158="","",YEAR(G158))</f>
        <v/>
      </c>
      <c r="F158" s="33">
        <f>IF(G158="","",CHOOSE(MONTH(G158),"Janeiro","Fevereiro","Março","Abril","Maio","Junho","Julho","Agosto","Setembro","Outubro","Novembro","Dezembro"))</f>
        <v/>
      </c>
      <c r="G158" s="64" t="n">
        <v>46057</v>
      </c>
      <c r="H158" s="65" t="n">
        <v>0.1100231481481481</v>
      </c>
      <c r="I158" s="66" t="inlineStr">
        <is>
          <t>https://docs.google.com/spreadsheets/d/1ZiCGoPjLCjuYvujDTXK9Ixbth3tekiLtFBzBrGjPCr4/edit?gid=0#gid=0</t>
        </is>
      </c>
      <c r="J158" s="67" t="inlineStr">
        <is>
          <t>Pushback - [XX]</t>
        </is>
      </c>
      <c r="K158" s="67" t="inlineStr"/>
      <c r="L158" s="68" t="b">
        <v>0</v>
      </c>
      <c r="M158" s="20" t="n"/>
      <c r="N158" s="69">
        <f>IF($J158="","",IFERROR(INDEX(B!$F$2:$F$61,MATCH($J158,B!$E$2:$E$61,0))&amp;"",""))</f>
        <v/>
      </c>
      <c r="O158" s="69">
        <f>IF($J158="","",IFERROR(INDEX(B!$G$2:$G$61,MATCH($J158,B!$E$2:$E$61,0))&amp;"",""))</f>
        <v/>
      </c>
      <c r="P158" s="69">
        <f>IF($J158="","",IFERROR(INDEX(B!$H$2:$H$61,MATCH($J158,B!$E$2:$E$61,0))&amp;"",""))</f>
        <v/>
      </c>
      <c r="Q158" s="69">
        <f>IF($J158="","",IFERROR(INDEX(B!$I$2:$I$61,MATCH($J158,B!$E$2:$E$61,0))&amp;"",""))</f>
        <v/>
      </c>
      <c r="R158" s="69">
        <f>IF($J158="","",IFERROR(INDEX(B!$J$2:$J$61,MATCH($J158,B!$E$2:$E$61,0))&amp;"",""))</f>
        <v/>
      </c>
      <c r="S158" s="69">
        <f>IF($J158="","",IFERROR(INDEX(B!$K$2:$K$61,MATCH($J158,B!$E$2:$E$61,0))&amp;"",""))</f>
        <v/>
      </c>
      <c r="T158" s="69">
        <f>IF($J158="","",IFERROR(INDEX(B!$L$2:$L$61,MATCH($J158,B!$E$2:$E$61,0))&amp;"",""))</f>
        <v/>
      </c>
      <c r="U158" s="20" t="n"/>
      <c r="V158" s="70">
        <f>IF($J158="","",IFERROR(INDEX(B!$M$2:$M$61,MATCH($J158,B!$E$2:$E$61,0))&amp;"",""))</f>
        <v/>
      </c>
      <c r="W158" s="71">
        <f>IF(I158="","",IFERROR(MID(I158,FIND("/d/",I158)+3,FIND("/edit",I158)-FIND("/d/",I158)-3),I158))</f>
        <v/>
      </c>
      <c r="X158" s="71">
        <f>IF($J158="","",IFERROR(INDEX(B!$C$2:$C$61,MATCH($J158,B!$E$2:$E$61,0))&amp;"",""))</f>
        <v/>
      </c>
      <c r="Y158" s="20" t="n"/>
      <c r="Z158" s="72">
        <f>IF($J158="",FALSE,ISNUMBER(SEARCH("scout",$K158)))</f>
        <v/>
      </c>
      <c r="AA158" s="72">
        <f>IF($J158="",FALSE,IFERROR(INDEX(B!$N$2:$N$61,MATCH($J158,B!$E$2:$E$61,0))="Sim",FALSE))</f>
        <v/>
      </c>
      <c r="AB158" s="72">
        <f>IF($J158="",FALSE,LEFT($X158,2)="XX")</f>
        <v/>
      </c>
      <c r="AC158" s="72">
        <f>IF($J158="",FALSE,IFERROR(INDEX(B!$P$2:$P$61,MATCH($J158,B!$E$2:$E$61,0))="Sim",FALSE))</f>
        <v/>
      </c>
      <c r="AD158" s="20" t="n"/>
      <c r="AE158" s="52">
        <f>IF(H158="","",HOUR(H158))</f>
        <v/>
      </c>
      <c r="AF158" s="52" t="n"/>
    </row>
    <row r="159" ht="19.5" customHeight="1" s="58">
      <c r="A159" s="62">
        <f>IF(G159="","",IF(G159=G158,"",COUNTIF($G$3:$G$976,G159)))</f>
        <v/>
      </c>
      <c r="B159" s="20" t="n"/>
      <c r="C159" s="63">
        <f>IF(G159="","",DAY(G159))</f>
        <v/>
      </c>
      <c r="D159" s="63">
        <f>IF(G159="","",MONTH(G159))</f>
        <v/>
      </c>
      <c r="E159" s="63">
        <f>IF(G159="","",YEAR(G159))</f>
        <v/>
      </c>
      <c r="F159" s="33">
        <f>IF(G159="","",CHOOSE(MONTH(G159),"Janeiro","Fevereiro","Março","Abril","Maio","Junho","Julho","Agosto","Setembro","Outubro","Novembro","Dezembro"))</f>
        <v/>
      </c>
      <c r="G159" s="64" t="n">
        <v>46057</v>
      </c>
      <c r="H159" s="65" t="n">
        <v>0.1120486111111111</v>
      </c>
      <c r="I159" s="66" t="inlineStr">
        <is>
          <t>https://docs.google.com/spreadsheets/d/1ZiCGoPjLCjuYvujDTXK9Ixbth3tekiLtFBzBrGjPCr4/edit?gid=0#gid=0</t>
        </is>
      </c>
      <c r="J159" s="67" t="inlineStr">
        <is>
          <t>Evento Raro - [ER]</t>
        </is>
      </c>
      <c r="K159" s="67" t="inlineStr"/>
      <c r="L159" s="68" t="b">
        <v>0</v>
      </c>
      <c r="M159" s="20" t="n"/>
      <c r="N159" s="69">
        <f>IF($J159="","",IFERROR(INDEX(B!$F$2:$F$61,MATCH($J159,B!$E$2:$E$61,0))&amp;"",""))</f>
        <v/>
      </c>
      <c r="O159" s="69">
        <f>IF($J159="","",IFERROR(INDEX(B!$G$2:$G$61,MATCH($J159,B!$E$2:$E$61,0))&amp;"",""))</f>
        <v/>
      </c>
      <c r="P159" s="69">
        <f>IF($J159="","",IFERROR(INDEX(B!$H$2:$H$61,MATCH($J159,B!$E$2:$E$61,0))&amp;"",""))</f>
        <v/>
      </c>
      <c r="Q159" s="69">
        <f>IF($J159="","",IFERROR(INDEX(B!$I$2:$I$61,MATCH($J159,B!$E$2:$E$61,0))&amp;"",""))</f>
        <v/>
      </c>
      <c r="R159" s="69">
        <f>IF($J159="","",IFERROR(INDEX(B!$J$2:$J$61,MATCH($J159,B!$E$2:$E$61,0))&amp;"",""))</f>
        <v/>
      </c>
      <c r="S159" s="69">
        <f>IF($J159="","",IFERROR(INDEX(B!$K$2:$K$61,MATCH($J159,B!$E$2:$E$61,0))&amp;"",""))</f>
        <v/>
      </c>
      <c r="T159" s="69">
        <f>IF($J159="","",IFERROR(INDEX(B!$L$2:$L$61,MATCH($J159,B!$E$2:$E$61,0))&amp;"",""))</f>
        <v/>
      </c>
      <c r="U159" s="20" t="n"/>
      <c r="V159" s="70">
        <f>IF($J159="","",IFERROR(INDEX(B!$M$2:$M$61,MATCH($J159,B!$E$2:$E$61,0))&amp;"",""))</f>
        <v/>
      </c>
      <c r="W159" s="71">
        <f>IF(I159="","",IFERROR(MID(I159,FIND("/d/",I159)+3,FIND("/edit",I159)-FIND("/d/",I159)-3),I159))</f>
        <v/>
      </c>
      <c r="X159" s="71">
        <f>IF($J159="","",IFERROR(INDEX(B!$C$2:$C$61,MATCH($J159,B!$E$2:$E$61,0))&amp;"",""))</f>
        <v/>
      </c>
      <c r="Y159" s="20" t="n"/>
      <c r="Z159" s="72">
        <f>IF($J159="",FALSE,ISNUMBER(SEARCH("scout",$K159)))</f>
        <v/>
      </c>
      <c r="AA159" s="72">
        <f>IF($J159="",FALSE,IFERROR(INDEX(B!$N$2:$N$61,MATCH($J159,B!$E$2:$E$61,0))="Sim",FALSE))</f>
        <v/>
      </c>
      <c r="AB159" s="72">
        <f>IF($J159="",FALSE,LEFT($X159,2)="XX")</f>
        <v/>
      </c>
      <c r="AC159" s="72">
        <f>IF($J159="",FALSE,IFERROR(INDEX(B!$P$2:$P$61,MATCH($J159,B!$E$2:$E$61,0))="Sim",FALSE))</f>
        <v/>
      </c>
      <c r="AD159" s="20" t="n"/>
      <c r="AE159" s="52">
        <f>IF(H159="","",HOUR(H159))</f>
        <v/>
      </c>
      <c r="AF159" s="52" t="n"/>
    </row>
    <row r="160" ht="19.5" customHeight="1" s="58">
      <c r="A160" s="62">
        <f>IF(G160="","",IF(G160=G159,"",COUNTIF($G$3:$G$976,G160)))</f>
        <v/>
      </c>
      <c r="B160" s="20" t="n"/>
      <c r="C160" s="63">
        <f>IF(G160="","",DAY(G160))</f>
        <v/>
      </c>
      <c r="D160" s="63">
        <f>IF(G160="","",MONTH(G160))</f>
        <v/>
      </c>
      <c r="E160" s="63">
        <f>IF(G160="","",YEAR(G160))</f>
        <v/>
      </c>
      <c r="F160" s="33">
        <f>IF(G160="","",CHOOSE(MONTH(G160),"Janeiro","Fevereiro","Março","Abril","Maio","Junho","Julho","Agosto","Setembro","Outubro","Novembro","Dezembro"))</f>
        <v/>
      </c>
      <c r="G160" s="64" t="n">
        <v>46057</v>
      </c>
      <c r="H160" s="65" t="n">
        <v>0.1217361111111111</v>
      </c>
      <c r="I160" s="66" t="inlineStr">
        <is>
          <t>https://docs.google.com/spreadsheets/d/1ZiCGoPjLCjuYvujDTXK9Ixbth3tekiLtFBzBrGjPCr4/edit?gid=0#gid=0</t>
        </is>
      </c>
      <c r="J160" s="67" t="inlineStr">
        <is>
          <t>Overpaid, Não excede o limite, Com comprovante - [OPNC]</t>
        </is>
      </c>
      <c r="K160" s="67" t="inlineStr"/>
      <c r="L160" s="68" t="b">
        <v>0</v>
      </c>
      <c r="M160" s="20" t="n"/>
      <c r="N160" s="69">
        <f>IF($J160="","",IFERROR(INDEX(B!$F$2:$F$61,MATCH($J160,B!$E$2:$E$61,0))&amp;"",""))</f>
        <v/>
      </c>
      <c r="O160" s="69">
        <f>IF($J160="","",IFERROR(INDEX(B!$G$2:$G$61,MATCH($J160,B!$E$2:$E$61,0))&amp;"",""))</f>
        <v/>
      </c>
      <c r="P160" s="69">
        <f>IF($J160="","",IFERROR(INDEX(B!$H$2:$H$61,MATCH($J160,B!$E$2:$E$61,0))&amp;"",""))</f>
        <v/>
      </c>
      <c r="Q160" s="69">
        <f>IF($J160="","",IFERROR(INDEX(B!$I$2:$I$61,MATCH($J160,B!$E$2:$E$61,0))&amp;"",""))</f>
        <v/>
      </c>
      <c r="R160" s="69">
        <f>IF($J160="","",IFERROR(INDEX(B!$J$2:$J$61,MATCH($J160,B!$E$2:$E$61,0))&amp;"",""))</f>
        <v/>
      </c>
      <c r="S160" s="69">
        <f>IF($J160="","",IFERROR(INDEX(B!$K$2:$K$61,MATCH($J160,B!$E$2:$E$61,0))&amp;"",""))</f>
        <v/>
      </c>
      <c r="T160" s="69">
        <f>IF($J160="","",IFERROR(INDEX(B!$L$2:$L$61,MATCH($J160,B!$E$2:$E$61,0))&amp;"",""))</f>
        <v/>
      </c>
      <c r="U160" s="20" t="n"/>
      <c r="V160" s="70">
        <f>IF($J160="","",IFERROR(INDEX(B!$M$2:$M$61,MATCH($J160,B!$E$2:$E$61,0))&amp;"",""))</f>
        <v/>
      </c>
      <c r="W160" s="71">
        <f>IF(I160="","",IFERROR(MID(I160,FIND("/d/",I160)+3,FIND("/edit",I160)-FIND("/d/",I160)-3),I160))</f>
        <v/>
      </c>
      <c r="X160" s="71">
        <f>IF($J160="","",IFERROR(INDEX(B!$C$2:$C$61,MATCH($J160,B!$E$2:$E$61,0))&amp;"",""))</f>
        <v/>
      </c>
      <c r="Y160" s="20" t="n"/>
      <c r="Z160" s="72">
        <f>IF($J160="",FALSE,ISNUMBER(SEARCH("scout",$K160)))</f>
        <v/>
      </c>
      <c r="AA160" s="72">
        <f>IF($J160="",FALSE,IFERROR(INDEX(B!$N$2:$N$61,MATCH($J160,B!$E$2:$E$61,0))="Sim",FALSE))</f>
        <v/>
      </c>
      <c r="AB160" s="72">
        <f>IF($J160="",FALSE,LEFT($X160,2)="XX")</f>
        <v/>
      </c>
      <c r="AC160" s="72">
        <f>IF($J160="",FALSE,IFERROR(INDEX(B!$P$2:$P$61,MATCH($J160,B!$E$2:$E$61,0))="Sim",FALSE))</f>
        <v/>
      </c>
      <c r="AD160" s="20" t="n"/>
      <c r="AE160" s="52">
        <f>IF(H160="","",HOUR(H160))</f>
        <v/>
      </c>
      <c r="AF160" s="52" t="n"/>
    </row>
    <row r="161" ht="19.5" customHeight="1" s="58">
      <c r="A161" s="62">
        <f>IF(G161="","",IF(G161=G160,"",COUNTIF($G$3:$G$976,G161)))</f>
        <v/>
      </c>
      <c r="B161" s="20" t="n"/>
      <c r="C161" s="63">
        <f>IF(G161="","",DAY(G161))</f>
        <v/>
      </c>
      <c r="D161" s="63">
        <f>IF(G161="","",MONTH(G161))</f>
        <v/>
      </c>
      <c r="E161" s="63">
        <f>IF(G161="","",YEAR(G161))</f>
        <v/>
      </c>
      <c r="F161" s="33">
        <f>IF(G161="","",CHOOSE(MONTH(G161),"Janeiro","Fevereiro","Março","Abril","Maio","Junho","Julho","Agosto","Setembro","Outubro","Novembro","Dezembro"))</f>
        <v/>
      </c>
      <c r="G161" s="64" t="n">
        <v>46057</v>
      </c>
      <c r="H161" s="65" t="n">
        <v>0.1286921296296296</v>
      </c>
      <c r="I161" s="66" t="inlineStr">
        <is>
          <t>https://docs.google.com/spreadsheets/d/1ZiCGoPjLCjuYvujDTXK9Ixbth3tekiLtFBzBrGjPCr4/edit?gid=0#gid=0</t>
        </is>
      </c>
      <c r="J161" s="67" t="inlineStr">
        <is>
          <t>Taxa de Limpeza - [TXL]</t>
        </is>
      </c>
      <c r="K161" s="67" t="inlineStr">
        <is>
          <t>Scout</t>
        </is>
      </c>
      <c r="L161" s="68" t="b">
        <v>1</v>
      </c>
      <c r="M161" s="20" t="n"/>
      <c r="N161" s="69">
        <f>IF($J161="","",IFERROR(INDEX(B!$F$2:$F$61,MATCH($J161,B!$E$2:$E$61,0))&amp;"",""))</f>
        <v/>
      </c>
      <c r="O161" s="69">
        <f>IF($J161="","",IFERROR(INDEX(B!$G$2:$G$61,MATCH($J161,B!$E$2:$E$61,0))&amp;"",""))</f>
        <v/>
      </c>
      <c r="P161" s="69">
        <f>IF($J161="","",IFERROR(INDEX(B!$H$2:$H$61,MATCH($J161,B!$E$2:$E$61,0))&amp;"",""))</f>
        <v/>
      </c>
      <c r="Q161" s="69">
        <f>IF($J161="","",IFERROR(INDEX(B!$I$2:$I$61,MATCH($J161,B!$E$2:$E$61,0))&amp;"",""))</f>
        <v/>
      </c>
      <c r="R161" s="69">
        <f>IF($J161="","",IFERROR(INDEX(B!$J$2:$J$61,MATCH($J161,B!$E$2:$E$61,0))&amp;"",""))</f>
        <v/>
      </c>
      <c r="S161" s="69">
        <f>IF($J161="","",IFERROR(INDEX(B!$K$2:$K$61,MATCH($J161,B!$E$2:$E$61,0))&amp;"",""))</f>
        <v/>
      </c>
      <c r="T161" s="69">
        <f>IF($J161="","",IFERROR(INDEX(B!$L$2:$L$61,MATCH($J161,B!$E$2:$E$61,0))&amp;"",""))</f>
        <v/>
      </c>
      <c r="U161" s="20" t="n"/>
      <c r="V161" s="70">
        <f>IF($J161="","",IFERROR(INDEX(B!$M$2:$M$61,MATCH($J161,B!$E$2:$E$61,0))&amp;"",""))</f>
        <v/>
      </c>
      <c r="W161" s="71">
        <f>IF(I161="","",IFERROR(MID(I161,FIND("/d/",I161)+3,FIND("/edit",I161)-FIND("/d/",I161)-3),I161))</f>
        <v/>
      </c>
      <c r="X161" s="71">
        <f>IF($J161="","",IFERROR(INDEX(B!$C$2:$C$61,MATCH($J161,B!$E$2:$E$61,0))&amp;"",""))</f>
        <v/>
      </c>
      <c r="Y161" s="20" t="n"/>
      <c r="Z161" s="72">
        <f>IF($J161="",FALSE,ISNUMBER(SEARCH("scout",$K161)))</f>
        <v/>
      </c>
      <c r="AA161" s="72">
        <f>IF($J161="",FALSE,IFERROR(INDEX(B!$N$2:$N$61,MATCH($J161,B!$E$2:$E$61,0))="Sim",FALSE))</f>
        <v/>
      </c>
      <c r="AB161" s="72">
        <f>IF($J161="",FALSE,LEFT($X161,2)="XX")</f>
        <v/>
      </c>
      <c r="AC161" s="72">
        <f>IF($J161="",FALSE,IFERROR(INDEX(B!$P$2:$P$61,MATCH($J161,B!$E$2:$E$61,0))="Sim",FALSE))</f>
        <v/>
      </c>
      <c r="AD161" s="20" t="n"/>
      <c r="AE161" s="52">
        <f>IF(H161="","",HOUR(H161))</f>
        <v/>
      </c>
      <c r="AF161" s="52" t="n"/>
    </row>
    <row r="162" ht="19.5" customHeight="1" s="58">
      <c r="A162" s="62">
        <f>IF(G162="","",IF(G162=G161,"",COUNTIF($G$3:$G$976,G162)))</f>
        <v/>
      </c>
      <c r="B162" s="20" t="n"/>
      <c r="C162" s="63">
        <f>IF(G162="","",DAY(G162))</f>
        <v/>
      </c>
      <c r="D162" s="63">
        <f>IF(G162="","",MONTH(G162))</f>
        <v/>
      </c>
      <c r="E162" s="63">
        <f>IF(G162="","",YEAR(G162))</f>
        <v/>
      </c>
      <c r="F162" s="33">
        <f>IF(G162="","",CHOOSE(MONTH(G162),"Janeiro","Fevereiro","Março","Abril","Maio","Junho","Julho","Agosto","Setembro","Outubro","Novembro","Dezembro"))</f>
        <v/>
      </c>
      <c r="G162" s="64" t="n">
        <v>46057</v>
      </c>
      <c r="H162" s="65" t="n">
        <v>0.1330208333333333</v>
      </c>
      <c r="I162" s="66" t="inlineStr">
        <is>
          <t>https://docs.google.com/spreadsheets/d/1ZiCGoPjLCjuYvujDTXK9Ixbth3tekiLtFBzBrGjPCr4/edit?gid=0#gid=0</t>
        </is>
      </c>
      <c r="J162" s="67" t="inlineStr">
        <is>
          <t>Overpaid, Excede o limite Com comprovante - [OPEC]</t>
        </is>
      </c>
      <c r="K162" s="67" t="inlineStr"/>
      <c r="L162" s="68" t="b">
        <v>0</v>
      </c>
      <c r="M162" s="20" t="n"/>
      <c r="N162" s="69">
        <f>IF($J162="","",IFERROR(INDEX(B!$F$2:$F$61,MATCH($J162,B!$E$2:$E$61,0))&amp;"",""))</f>
        <v/>
      </c>
      <c r="O162" s="69">
        <f>IF($J162="","",IFERROR(INDEX(B!$G$2:$G$61,MATCH($J162,B!$E$2:$E$61,0))&amp;"",""))</f>
        <v/>
      </c>
      <c r="P162" s="69">
        <f>IF($J162="","",IFERROR(INDEX(B!$H$2:$H$61,MATCH($J162,B!$E$2:$E$61,0))&amp;"",""))</f>
        <v/>
      </c>
      <c r="Q162" s="69">
        <f>IF($J162="","",IFERROR(INDEX(B!$I$2:$I$61,MATCH($J162,B!$E$2:$E$61,0))&amp;"",""))</f>
        <v/>
      </c>
      <c r="R162" s="69">
        <f>IF($J162="","",IFERROR(INDEX(B!$J$2:$J$61,MATCH($J162,B!$E$2:$E$61,0))&amp;"",""))</f>
        <v/>
      </c>
      <c r="S162" s="69">
        <f>IF($J162="","",IFERROR(INDEX(B!$K$2:$K$61,MATCH($J162,B!$E$2:$E$61,0))&amp;"",""))</f>
        <v/>
      </c>
      <c r="T162" s="69">
        <f>IF($J162="","",IFERROR(INDEX(B!$L$2:$L$61,MATCH($J162,B!$E$2:$E$61,0))&amp;"",""))</f>
        <v/>
      </c>
      <c r="U162" s="20" t="n"/>
      <c r="V162" s="70">
        <f>IF($J162="","",IFERROR(INDEX(B!$M$2:$M$61,MATCH($J162,B!$E$2:$E$61,0))&amp;"",""))</f>
        <v/>
      </c>
      <c r="W162" s="71">
        <f>IF(I162="","",IFERROR(MID(I162,FIND("/d/",I162)+3,FIND("/edit",I162)-FIND("/d/",I162)-3),I162))</f>
        <v/>
      </c>
      <c r="X162" s="71">
        <f>IF($J162="","",IFERROR(INDEX(B!$C$2:$C$61,MATCH($J162,B!$E$2:$E$61,0))&amp;"",""))</f>
        <v/>
      </c>
      <c r="Y162" s="20" t="n"/>
      <c r="Z162" s="72">
        <f>IF($J162="",FALSE,ISNUMBER(SEARCH("scout",$K162)))</f>
        <v/>
      </c>
      <c r="AA162" s="72">
        <f>IF($J162="",FALSE,IFERROR(INDEX(B!$N$2:$N$61,MATCH($J162,B!$E$2:$E$61,0))="Sim",FALSE))</f>
        <v/>
      </c>
      <c r="AB162" s="72">
        <f>IF($J162="",FALSE,LEFT($X162,2)="XX")</f>
        <v/>
      </c>
      <c r="AC162" s="72">
        <f>IF($J162="",FALSE,IFERROR(INDEX(B!$P$2:$P$61,MATCH($J162,B!$E$2:$E$61,0))="Sim",FALSE))</f>
        <v/>
      </c>
      <c r="AD162" s="20" t="n"/>
      <c r="AE162" s="52">
        <f>IF(H162="","",HOUR(H162))</f>
        <v/>
      </c>
      <c r="AF162" s="52" t="n"/>
    </row>
    <row r="163" ht="19.5" customHeight="1" s="58">
      <c r="A163" s="62">
        <f>IF(G163="","",IF(G163=G162,"",COUNTIF($G$3:$G$976,G163)))</f>
        <v/>
      </c>
      <c r="B163" s="20" t="n"/>
      <c r="C163" s="63">
        <f>IF(G163="","",DAY(G163))</f>
        <v/>
      </c>
      <c r="D163" s="63">
        <f>IF(G163="","",MONTH(G163))</f>
        <v/>
      </c>
      <c r="E163" s="63">
        <f>IF(G163="","",YEAR(G163))</f>
        <v/>
      </c>
      <c r="F163" s="33">
        <f>IF(G163="","",CHOOSE(MONTH(G163),"Janeiro","Fevereiro","Março","Abril","Maio","Junho","Julho","Agosto","Setembro","Outubro","Novembro","Dezembro"))</f>
        <v/>
      </c>
      <c r="G163" s="64" t="n">
        <v>46057</v>
      </c>
      <c r="H163" s="65" t="n">
        <v>0.143599537037037</v>
      </c>
      <c r="I163" s="66" t="inlineStr">
        <is>
          <t>https://docs.google.com/spreadsheets/d/1ZiCGoPjLCjuYvujDTXK9Ixbth3tekiLtFBzBrGjPCr4/edit?gid=0#gid=0</t>
        </is>
      </c>
      <c r="J163" s="67" t="inlineStr">
        <is>
          <t>Transferência de LOB (Profissionalismo) - [TIPR]</t>
        </is>
      </c>
      <c r="K163" s="67" t="inlineStr"/>
      <c r="L163" s="68" t="b">
        <v>0</v>
      </c>
      <c r="M163" s="20" t="n"/>
      <c r="N163" s="69">
        <f>IF($J163="","",IFERROR(INDEX(B!$F$2:$F$61,MATCH($J163,B!$E$2:$E$61,0))&amp;"",""))</f>
        <v/>
      </c>
      <c r="O163" s="69">
        <f>IF($J163="","",IFERROR(INDEX(B!$G$2:$G$61,MATCH($J163,B!$E$2:$E$61,0))&amp;"",""))</f>
        <v/>
      </c>
      <c r="P163" s="69">
        <f>IF($J163="","",IFERROR(INDEX(B!$H$2:$H$61,MATCH($J163,B!$E$2:$E$61,0))&amp;"",""))</f>
        <v/>
      </c>
      <c r="Q163" s="69">
        <f>IF($J163="","",IFERROR(INDEX(B!$I$2:$I$61,MATCH($J163,B!$E$2:$E$61,0))&amp;"",""))</f>
        <v/>
      </c>
      <c r="R163" s="69">
        <f>IF($J163="","",IFERROR(INDEX(B!$J$2:$J$61,MATCH($J163,B!$E$2:$E$61,0))&amp;"",""))</f>
        <v/>
      </c>
      <c r="S163" s="69">
        <f>IF($J163="","",IFERROR(INDEX(B!$K$2:$K$61,MATCH($J163,B!$E$2:$E$61,0))&amp;"",""))</f>
        <v/>
      </c>
      <c r="T163" s="69">
        <f>IF($J163="","",IFERROR(INDEX(B!$L$2:$L$61,MATCH($J163,B!$E$2:$E$61,0))&amp;"",""))</f>
        <v/>
      </c>
      <c r="U163" s="20" t="n"/>
      <c r="V163" s="70">
        <f>IF($J163="","",IFERROR(INDEX(B!$M$2:$M$61,MATCH($J163,B!$E$2:$E$61,0))&amp;"",""))</f>
        <v/>
      </c>
      <c r="W163" s="71">
        <f>IF(I163="","",IFERROR(MID(I163,FIND("/d/",I163)+3,FIND("/edit",I163)-FIND("/d/",I163)-3),I163))</f>
        <v/>
      </c>
      <c r="X163" s="71">
        <f>IF($J163="","",IFERROR(INDEX(B!$C$2:$C$61,MATCH($J163,B!$E$2:$E$61,0))&amp;"",""))</f>
        <v/>
      </c>
      <c r="Y163" s="20" t="n"/>
      <c r="Z163" s="72">
        <f>IF($J163="",FALSE,ISNUMBER(SEARCH("scout",$K163)))</f>
        <v/>
      </c>
      <c r="AA163" s="72">
        <f>IF($J163="",FALSE,IFERROR(INDEX(B!$N$2:$N$61,MATCH($J163,B!$E$2:$E$61,0))="Sim",FALSE))</f>
        <v/>
      </c>
      <c r="AB163" s="72">
        <f>IF($J163="",FALSE,LEFT($X163,2)="XX")</f>
        <v/>
      </c>
      <c r="AC163" s="72">
        <f>IF($J163="",FALSE,IFERROR(INDEX(B!$P$2:$P$61,MATCH($J163,B!$E$2:$E$61,0))="Sim",FALSE))</f>
        <v/>
      </c>
      <c r="AD163" s="20" t="n"/>
      <c r="AE163" s="52">
        <f>IF(H163="","",HOUR(H163))</f>
        <v/>
      </c>
      <c r="AF163" s="52" t="n"/>
    </row>
    <row r="164" ht="19.5" customHeight="1" s="58">
      <c r="A164" s="62">
        <f>IF(G164="","",IF(G164=G163,"",COUNTIF($G$3:$G$976,G164)))</f>
        <v/>
      </c>
      <c r="B164" s="20" t="n"/>
      <c r="C164" s="63">
        <f>IF(G164="","",DAY(G164))</f>
        <v/>
      </c>
      <c r="D164" s="63">
        <f>IF(G164="","",MONTH(G164))</f>
        <v/>
      </c>
      <c r="E164" s="63">
        <f>IF(G164="","",YEAR(G164))</f>
        <v/>
      </c>
      <c r="F164" s="33">
        <f>IF(G164="","",CHOOSE(MONTH(G164),"Janeiro","Fevereiro","Março","Abril","Maio","Junho","Julho","Agosto","Setembro","Outubro","Novembro","Dezembro"))</f>
        <v/>
      </c>
      <c r="G164" s="64" t="n">
        <v>46057</v>
      </c>
      <c r="H164" s="65" t="n">
        <v>0.1440856481481481</v>
      </c>
      <c r="I164" s="66" t="inlineStr">
        <is>
          <t>https://docs.google.com/spreadsheets/d/1ZiCGoPjLCjuYvujDTXK9Ixbth3tekiLtFBzBrGjPCr4/edit?gid=0#gid=0</t>
        </is>
      </c>
      <c r="J164" s="67" t="inlineStr">
        <is>
          <t>Erro de Gps (Problema Técnico) - [GPS]</t>
        </is>
      </c>
      <c r="K164" s="67" t="inlineStr"/>
      <c r="L164" s="68" t="b">
        <v>0</v>
      </c>
      <c r="M164" s="20" t="n"/>
      <c r="N164" s="69">
        <f>IF($J164="","",IFERROR(INDEX(B!$F$2:$F$61,MATCH($J164,B!$E$2:$E$61,0))&amp;"",""))</f>
        <v/>
      </c>
      <c r="O164" s="69">
        <f>IF($J164="","",IFERROR(INDEX(B!$G$2:$G$61,MATCH($J164,B!$E$2:$E$61,0))&amp;"",""))</f>
        <v/>
      </c>
      <c r="P164" s="69">
        <f>IF($J164="","",IFERROR(INDEX(B!$H$2:$H$61,MATCH($J164,B!$E$2:$E$61,0))&amp;"",""))</f>
        <v/>
      </c>
      <c r="Q164" s="69">
        <f>IF($J164="","",IFERROR(INDEX(B!$I$2:$I$61,MATCH($J164,B!$E$2:$E$61,0))&amp;"",""))</f>
        <v/>
      </c>
      <c r="R164" s="69">
        <f>IF($J164="","",IFERROR(INDEX(B!$J$2:$J$61,MATCH($J164,B!$E$2:$E$61,0))&amp;"",""))</f>
        <v/>
      </c>
      <c r="S164" s="69">
        <f>IF($J164="","",IFERROR(INDEX(B!$K$2:$K$61,MATCH($J164,B!$E$2:$E$61,0))&amp;"",""))</f>
        <v/>
      </c>
      <c r="T164" s="69">
        <f>IF($J164="","",IFERROR(INDEX(B!$L$2:$L$61,MATCH($J164,B!$E$2:$E$61,0))&amp;"",""))</f>
        <v/>
      </c>
      <c r="U164" s="20" t="n"/>
      <c r="V164" s="70">
        <f>IF($J164="","",IFERROR(INDEX(B!$M$2:$M$61,MATCH($J164,B!$E$2:$E$61,0))&amp;"",""))</f>
        <v/>
      </c>
      <c r="W164" s="71">
        <f>IF(I164="","",IFERROR(MID(I164,FIND("/d/",I164)+3,FIND("/edit",I164)-FIND("/d/",I164)-3),I164))</f>
        <v/>
      </c>
      <c r="X164" s="71">
        <f>IF($J164="","",IFERROR(INDEX(B!$C$2:$C$61,MATCH($J164,B!$E$2:$E$61,0))&amp;"",""))</f>
        <v/>
      </c>
      <c r="Y164" s="20" t="n"/>
      <c r="Z164" s="72">
        <f>IF($J164="",FALSE,ISNUMBER(SEARCH("scout",$K164)))</f>
        <v/>
      </c>
      <c r="AA164" s="72">
        <f>IF($J164="",FALSE,IFERROR(INDEX(B!$N$2:$N$61,MATCH($J164,B!$E$2:$E$61,0))="Sim",FALSE))</f>
        <v/>
      </c>
      <c r="AB164" s="72">
        <f>IF($J164="",FALSE,LEFT($X164,2)="XX")</f>
        <v/>
      </c>
      <c r="AC164" s="72">
        <f>IF($J164="",FALSE,IFERROR(INDEX(B!$P$2:$P$61,MATCH($J164,B!$E$2:$E$61,0))="Sim",FALSE))</f>
        <v/>
      </c>
      <c r="AD164" s="20" t="n"/>
      <c r="AE164" s="52">
        <f>IF(H164="","",HOUR(H164))</f>
        <v/>
      </c>
      <c r="AF164" s="52" t="n"/>
    </row>
    <row r="165" ht="19.5" customHeight="1" s="58">
      <c r="A165" s="62">
        <f>IF(G165="","",IF(G165=G164,"",COUNTIF($G$3:$G$976,G165)))</f>
        <v/>
      </c>
      <c r="B165" s="20" t="n"/>
      <c r="C165" s="63">
        <f>IF(G165="","",DAY(G165))</f>
        <v/>
      </c>
      <c r="D165" s="63">
        <f>IF(G165="","",MONTH(G165))</f>
        <v/>
      </c>
      <c r="E165" s="63">
        <f>IF(G165="","",YEAR(G165))</f>
        <v/>
      </c>
      <c r="F165" s="33">
        <f>IF(G165="","",CHOOSE(MONTH(G165),"Janeiro","Fevereiro","Março","Abril","Maio","Junho","Julho","Agosto","Setembro","Outubro","Novembro","Dezembro"))</f>
        <v/>
      </c>
      <c r="G165" s="64" t="n">
        <v>46058</v>
      </c>
      <c r="H165" s="65" t="n">
        <v>0.01087962962962963</v>
      </c>
      <c r="I165" s="66" t="inlineStr">
        <is>
          <t>https://docs.google.com/spreadsheets/d/1ZiCGoPjLCjuYvujDTXK9Ixbth3tekiLtFBzBrGjPCr4/edit?gid=0#gid=0</t>
        </is>
      </c>
      <c r="J165" s="67" t="inlineStr">
        <is>
          <t>Pushback (Agradecimento) - [XXA]</t>
        </is>
      </c>
      <c r="K165" s="67" t="inlineStr"/>
      <c r="L165" s="68" t="b">
        <v>0</v>
      </c>
      <c r="M165" s="20" t="n"/>
      <c r="N165" s="69">
        <f>IF($J165="","",IFERROR(INDEX(B!$F$2:$F$61,MATCH($J165,B!$E$2:$E$61,0))&amp;"",""))</f>
        <v/>
      </c>
      <c r="O165" s="69">
        <f>IF($J165="","",IFERROR(INDEX(B!$G$2:$G$61,MATCH($J165,B!$E$2:$E$61,0))&amp;"",""))</f>
        <v/>
      </c>
      <c r="P165" s="69">
        <f>IF($J165="","",IFERROR(INDEX(B!$H$2:$H$61,MATCH($J165,B!$E$2:$E$61,0))&amp;"",""))</f>
        <v/>
      </c>
      <c r="Q165" s="69">
        <f>IF($J165="","",IFERROR(INDEX(B!$I$2:$I$61,MATCH($J165,B!$E$2:$E$61,0))&amp;"",""))</f>
        <v/>
      </c>
      <c r="R165" s="69">
        <f>IF($J165="","",IFERROR(INDEX(B!$J$2:$J$61,MATCH($J165,B!$E$2:$E$61,0))&amp;"",""))</f>
        <v/>
      </c>
      <c r="S165" s="69">
        <f>IF($J165="","",IFERROR(INDEX(B!$K$2:$K$61,MATCH($J165,B!$E$2:$E$61,0))&amp;"",""))</f>
        <v/>
      </c>
      <c r="T165" s="69">
        <f>IF($J165="","",IFERROR(INDEX(B!$L$2:$L$61,MATCH($J165,B!$E$2:$E$61,0))&amp;"",""))</f>
        <v/>
      </c>
      <c r="U165" s="20" t="n"/>
      <c r="V165" s="70">
        <f>IF($J165="","",IFERROR(INDEX(B!$M$2:$M$61,MATCH($J165,B!$E$2:$E$61,0))&amp;"",""))</f>
        <v/>
      </c>
      <c r="W165" s="71">
        <f>IF(I165="","",IFERROR(MID(I165,FIND("/d/",I165)+3,FIND("/edit",I165)-FIND("/d/",I165)-3),I165))</f>
        <v/>
      </c>
      <c r="X165" s="71">
        <f>IF($J165="","",IFERROR(INDEX(B!$C$2:$C$61,MATCH($J165,B!$E$2:$E$61,0))&amp;"",""))</f>
        <v/>
      </c>
      <c r="Y165" s="20" t="n"/>
      <c r="Z165" s="72">
        <f>IF($J165="",FALSE,ISNUMBER(SEARCH("scout",$K165)))</f>
        <v/>
      </c>
      <c r="AA165" s="72">
        <f>IF($J165="",FALSE,IFERROR(INDEX(B!$N$2:$N$61,MATCH($J165,B!$E$2:$E$61,0))="Sim",FALSE))</f>
        <v/>
      </c>
      <c r="AB165" s="72">
        <f>IF($J165="",FALSE,LEFT($X165,2)="XX")</f>
        <v/>
      </c>
      <c r="AC165" s="72">
        <f>IF($J165="",FALSE,IFERROR(INDEX(B!$P$2:$P$61,MATCH($J165,B!$E$2:$E$61,0))="Sim",FALSE))</f>
        <v/>
      </c>
      <c r="AD165" s="20" t="n"/>
      <c r="AE165" s="52">
        <f>IF(H165="","",HOUR(H165))</f>
        <v/>
      </c>
      <c r="AF165" s="52" t="n"/>
    </row>
    <row r="166" ht="19.5" customHeight="1" s="58">
      <c r="A166" s="62">
        <f>IF(G166="","",IF(G166=G165,"",COUNTIF($G$3:$G$976,G166)))</f>
        <v/>
      </c>
      <c r="B166" s="20" t="n"/>
      <c r="C166" s="63">
        <f>IF(G166="","",DAY(G166))</f>
        <v/>
      </c>
      <c r="D166" s="63">
        <f>IF(G166="","",MONTH(G166))</f>
        <v/>
      </c>
      <c r="E166" s="63">
        <f>IF(G166="","",YEAR(G166))</f>
        <v/>
      </c>
      <c r="F166" s="33">
        <f>IF(G166="","",CHOOSE(MONTH(G166),"Janeiro","Fevereiro","Março","Abril","Maio","Junho","Julho","Agosto","Setembro","Outubro","Novembro","Dezembro"))</f>
        <v/>
      </c>
      <c r="G166" s="64" t="n">
        <v>46058</v>
      </c>
      <c r="H166" s="65" t="n">
        <v>0.01305555555555556</v>
      </c>
      <c r="I166" s="66" t="inlineStr">
        <is>
          <t>https://docs.google.com/spreadsheets/d/1ZiCGoPjLCjuYvujDTXK9Ixbth3tekiLtFBzBrGjPCr4/edit?gid=0#gid=0</t>
        </is>
      </c>
      <c r="J166" s="67" t="inlineStr">
        <is>
          <t>Transferência de LOB (Accounts) - [TIAC]</t>
        </is>
      </c>
      <c r="K166" s="67" t="inlineStr"/>
      <c r="L166" s="68" t="b">
        <v>0</v>
      </c>
      <c r="M166" s="20" t="n"/>
      <c r="N166" s="69">
        <f>IF($J166="","",IFERROR(INDEX(B!$F$2:$F$61,MATCH($J166,B!$E$2:$E$61,0))&amp;"",""))</f>
        <v/>
      </c>
      <c r="O166" s="69">
        <f>IF($J166="","",IFERROR(INDEX(B!$G$2:$G$61,MATCH($J166,B!$E$2:$E$61,0))&amp;"",""))</f>
        <v/>
      </c>
      <c r="P166" s="69">
        <f>IF($J166="","",IFERROR(INDEX(B!$H$2:$H$61,MATCH($J166,B!$E$2:$E$61,0))&amp;"",""))</f>
        <v/>
      </c>
      <c r="Q166" s="69">
        <f>IF($J166="","",IFERROR(INDEX(B!$I$2:$I$61,MATCH($J166,B!$E$2:$E$61,0))&amp;"",""))</f>
        <v/>
      </c>
      <c r="R166" s="69">
        <f>IF($J166="","",IFERROR(INDEX(B!$J$2:$J$61,MATCH($J166,B!$E$2:$E$61,0))&amp;"",""))</f>
        <v/>
      </c>
      <c r="S166" s="69">
        <f>IF($J166="","",IFERROR(INDEX(B!$K$2:$K$61,MATCH($J166,B!$E$2:$E$61,0))&amp;"",""))</f>
        <v/>
      </c>
      <c r="T166" s="69">
        <f>IF($J166="","",IFERROR(INDEX(B!$L$2:$L$61,MATCH($J166,B!$E$2:$E$61,0))&amp;"",""))</f>
        <v/>
      </c>
      <c r="U166" s="20" t="n"/>
      <c r="V166" s="70">
        <f>IF($J166="","",IFERROR(INDEX(B!$M$2:$M$61,MATCH($J166,B!$E$2:$E$61,0))&amp;"",""))</f>
        <v/>
      </c>
      <c r="W166" s="71">
        <f>IF(I166="","",IFERROR(MID(I166,FIND("/d/",I166)+3,FIND("/edit",I166)-FIND("/d/",I166)-3),I166))</f>
        <v/>
      </c>
      <c r="X166" s="71">
        <f>IF($J166="","",IFERROR(INDEX(B!$C$2:$C$61,MATCH($J166,B!$E$2:$E$61,0))&amp;"",""))</f>
        <v/>
      </c>
      <c r="Y166" s="20" t="n"/>
      <c r="Z166" s="72">
        <f>IF($J166="",FALSE,ISNUMBER(SEARCH("scout",$K166)))</f>
        <v/>
      </c>
      <c r="AA166" s="72">
        <f>IF($J166="",FALSE,IFERROR(INDEX(B!$N$2:$N$61,MATCH($J166,B!$E$2:$E$61,0))="Sim",FALSE))</f>
        <v/>
      </c>
      <c r="AB166" s="72">
        <f>IF($J166="",FALSE,LEFT($X166,2)="XX")</f>
        <v/>
      </c>
      <c r="AC166" s="72">
        <f>IF($J166="",FALSE,IFERROR(INDEX(B!$P$2:$P$61,MATCH($J166,B!$E$2:$E$61,0))="Sim",FALSE))</f>
        <v/>
      </c>
      <c r="AD166" s="20" t="n"/>
      <c r="AE166" s="52">
        <f>IF(H166="","",HOUR(H166))</f>
        <v/>
      </c>
      <c r="AF166" s="52" t="n"/>
    </row>
    <row r="167" ht="19.5" customHeight="1" s="58">
      <c r="A167" s="62">
        <f>IF(G167="","",IF(G167=G166,"",COUNTIF($G$3:$G$976,G167)))</f>
        <v/>
      </c>
      <c r="B167" s="20" t="n"/>
      <c r="C167" s="63">
        <f>IF(G167="","",DAY(G167))</f>
        <v/>
      </c>
      <c r="D167" s="63">
        <f>IF(G167="","",MONTH(G167))</f>
        <v/>
      </c>
      <c r="E167" s="63">
        <f>IF(G167="","",YEAR(G167))</f>
        <v/>
      </c>
      <c r="F167" s="33">
        <f>IF(G167="","",CHOOSE(MONTH(G167),"Janeiro","Fevereiro","Março","Abril","Maio","Junho","Julho","Agosto","Setembro","Outubro","Novembro","Dezembro"))</f>
        <v/>
      </c>
      <c r="G167" s="64" t="n">
        <v>46058</v>
      </c>
      <c r="H167" s="65" t="n">
        <v>0.01390046296296296</v>
      </c>
      <c r="I167" s="66" t="inlineStr">
        <is>
          <t>https://docs.google.com/spreadsheets/d/1ZiCGoPjLCjuYvujDTXK9Ixbth3tekiLtFBzBrGjPCr4/edit?gid=0#gid=0</t>
        </is>
      </c>
      <c r="J167" s="67" t="inlineStr">
        <is>
          <t>Mais informações Gerais - [AA]</t>
        </is>
      </c>
      <c r="K167" s="67" t="inlineStr">
        <is>
          <t>Scout</t>
        </is>
      </c>
      <c r="L167" s="68" t="b">
        <v>0</v>
      </c>
      <c r="M167" s="20" t="n"/>
      <c r="N167" s="69">
        <f>IF($J167="","",IFERROR(INDEX(B!$F$2:$F$61,MATCH($J167,B!$E$2:$E$61,0))&amp;"",""))</f>
        <v/>
      </c>
      <c r="O167" s="69">
        <f>IF($J167="","",IFERROR(INDEX(B!$G$2:$G$61,MATCH($J167,B!$E$2:$E$61,0))&amp;"",""))</f>
        <v/>
      </c>
      <c r="P167" s="69">
        <f>IF($J167="","",IFERROR(INDEX(B!$H$2:$H$61,MATCH($J167,B!$E$2:$E$61,0))&amp;"",""))</f>
        <v/>
      </c>
      <c r="Q167" s="69">
        <f>IF($J167="","",IFERROR(INDEX(B!$I$2:$I$61,MATCH($J167,B!$E$2:$E$61,0))&amp;"",""))</f>
        <v/>
      </c>
      <c r="R167" s="69">
        <f>IF($J167="","",IFERROR(INDEX(B!$J$2:$J$61,MATCH($J167,B!$E$2:$E$61,0))&amp;"",""))</f>
        <v/>
      </c>
      <c r="S167" s="69">
        <f>IF($J167="","",IFERROR(INDEX(B!$K$2:$K$61,MATCH($J167,B!$E$2:$E$61,0))&amp;"",""))</f>
        <v/>
      </c>
      <c r="T167" s="69">
        <f>IF($J167="","",IFERROR(INDEX(B!$L$2:$L$61,MATCH($J167,B!$E$2:$E$61,0))&amp;"",""))</f>
        <v/>
      </c>
      <c r="U167" s="20" t="n"/>
      <c r="V167" s="70">
        <f>IF($J167="","",IFERROR(INDEX(B!$M$2:$M$61,MATCH($J167,B!$E$2:$E$61,0))&amp;"",""))</f>
        <v/>
      </c>
      <c r="W167" s="71">
        <f>IF(I167="","",IFERROR(MID(I167,FIND("/d/",I167)+3,FIND("/edit",I167)-FIND("/d/",I167)-3),I167))</f>
        <v/>
      </c>
      <c r="X167" s="71">
        <f>IF($J167="","",IFERROR(INDEX(B!$C$2:$C$61,MATCH($J167,B!$E$2:$E$61,0))&amp;"",""))</f>
        <v/>
      </c>
      <c r="Y167" s="20" t="n"/>
      <c r="Z167" s="72">
        <f>IF($J167="",FALSE,ISNUMBER(SEARCH("scout",$K167)))</f>
        <v/>
      </c>
      <c r="AA167" s="72">
        <f>IF($J167="",FALSE,IFERROR(INDEX(B!$N$2:$N$61,MATCH($J167,B!$E$2:$E$61,0))="Sim",FALSE))</f>
        <v/>
      </c>
      <c r="AB167" s="72">
        <f>IF($J167="",FALSE,LEFT($X167,2)="XX")</f>
        <v/>
      </c>
      <c r="AC167" s="72">
        <f>IF($J167="",FALSE,IFERROR(INDEX(B!$P$2:$P$61,MATCH($J167,B!$E$2:$E$61,0))="Sim",FALSE))</f>
        <v/>
      </c>
      <c r="AD167" s="20" t="n"/>
      <c r="AE167" s="52">
        <f>IF(H167="","",HOUR(H167))</f>
        <v/>
      </c>
      <c r="AF167" s="52" t="n"/>
    </row>
    <row r="168" ht="19.5" customHeight="1" s="58">
      <c r="A168" s="62">
        <f>IF(G168="","",IF(G168=G167,"",COUNTIF($G$3:$G$976,G168)))</f>
        <v/>
      </c>
      <c r="B168" s="20" t="n"/>
      <c r="C168" s="63">
        <f>IF(G168="","",DAY(G168))</f>
        <v/>
      </c>
      <c r="D168" s="63">
        <f>IF(G168="","",MONTH(G168))</f>
        <v/>
      </c>
      <c r="E168" s="63">
        <f>IF(G168="","",YEAR(G168))</f>
        <v/>
      </c>
      <c r="F168" s="33">
        <f>IF(G168="","",CHOOSE(MONTH(G168),"Janeiro","Fevereiro","Março","Abril","Maio","Junho","Julho","Agosto","Setembro","Outubro","Novembro","Dezembro"))</f>
        <v/>
      </c>
      <c r="G168" s="64" t="n">
        <v>46058</v>
      </c>
      <c r="H168" s="65" t="n">
        <v>0.01425925925925926</v>
      </c>
      <c r="I168" s="66" t="inlineStr">
        <is>
          <t>https://docs.google.com/spreadsheets/d/1ZiCGoPjLCjuYvujDTXK9Ixbth3tekiLtFBzBrGjPCr4/edit?gid=0#gid=0</t>
        </is>
      </c>
      <c r="J168" s="67" t="inlineStr">
        <is>
          <t>Overpaid, Excede o limite Com comprovante - [OPEC]</t>
        </is>
      </c>
      <c r="K168" s="67" t="inlineStr"/>
      <c r="L168" s="68" t="b">
        <v>0</v>
      </c>
      <c r="M168" s="20" t="n"/>
      <c r="N168" s="69">
        <f>IF($J168="","",IFERROR(INDEX(B!$F$2:$F$61,MATCH($J168,B!$E$2:$E$61,0))&amp;"",""))</f>
        <v/>
      </c>
      <c r="O168" s="69">
        <f>IF($J168="","",IFERROR(INDEX(B!$G$2:$G$61,MATCH($J168,B!$E$2:$E$61,0))&amp;"",""))</f>
        <v/>
      </c>
      <c r="P168" s="69">
        <f>IF($J168="","",IFERROR(INDEX(B!$H$2:$H$61,MATCH($J168,B!$E$2:$E$61,0))&amp;"",""))</f>
        <v/>
      </c>
      <c r="Q168" s="69">
        <f>IF($J168="","",IFERROR(INDEX(B!$I$2:$I$61,MATCH($J168,B!$E$2:$E$61,0))&amp;"",""))</f>
        <v/>
      </c>
      <c r="R168" s="69">
        <f>IF($J168="","",IFERROR(INDEX(B!$J$2:$J$61,MATCH($J168,B!$E$2:$E$61,0))&amp;"",""))</f>
        <v/>
      </c>
      <c r="S168" s="69">
        <f>IF($J168="","",IFERROR(INDEX(B!$K$2:$K$61,MATCH($J168,B!$E$2:$E$61,0))&amp;"",""))</f>
        <v/>
      </c>
      <c r="T168" s="69">
        <f>IF($J168="","",IFERROR(INDEX(B!$L$2:$L$61,MATCH($J168,B!$E$2:$E$61,0))&amp;"",""))</f>
        <v/>
      </c>
      <c r="U168" s="20" t="n"/>
      <c r="V168" s="70">
        <f>IF($J168="","",IFERROR(INDEX(B!$M$2:$M$61,MATCH($J168,B!$E$2:$E$61,0))&amp;"",""))</f>
        <v/>
      </c>
      <c r="W168" s="71">
        <f>IF(I168="","",IFERROR(MID(I168,FIND("/d/",I168)+3,FIND("/edit",I168)-FIND("/d/",I168)-3),I168))</f>
        <v/>
      </c>
      <c r="X168" s="71">
        <f>IF($J168="","",IFERROR(INDEX(B!$C$2:$C$61,MATCH($J168,B!$E$2:$E$61,0))&amp;"",""))</f>
        <v/>
      </c>
      <c r="Y168" s="20" t="n"/>
      <c r="Z168" s="72">
        <f>IF($J168="",FALSE,ISNUMBER(SEARCH("scout",$K168)))</f>
        <v/>
      </c>
      <c r="AA168" s="72">
        <f>IF($J168="",FALSE,IFERROR(INDEX(B!$N$2:$N$61,MATCH($J168,B!$E$2:$E$61,0))="Sim",FALSE))</f>
        <v/>
      </c>
      <c r="AB168" s="72">
        <f>IF($J168="",FALSE,LEFT($X168,2)="XX")</f>
        <v/>
      </c>
      <c r="AC168" s="72">
        <f>IF($J168="",FALSE,IFERROR(INDEX(B!$P$2:$P$61,MATCH($J168,B!$E$2:$E$61,0))="Sim",FALSE))</f>
        <v/>
      </c>
      <c r="AD168" s="20" t="n"/>
      <c r="AE168" s="52">
        <f>IF(H168="","",HOUR(H168))</f>
        <v/>
      </c>
      <c r="AF168" s="52" t="n"/>
    </row>
    <row r="169" ht="19.5" customHeight="1" s="58">
      <c r="A169" s="62">
        <f>IF(G169="","",IF(G169=G168,"",COUNTIF($G$3:$G$976,G169)))</f>
        <v/>
      </c>
      <c r="B169" s="20" t="n"/>
      <c r="C169" s="63">
        <f>IF(G169="","",DAY(G169))</f>
        <v/>
      </c>
      <c r="D169" s="63">
        <f>IF(G169="","",MONTH(G169))</f>
        <v/>
      </c>
      <c r="E169" s="63">
        <f>IF(G169="","",YEAR(G169))</f>
        <v/>
      </c>
      <c r="F169" s="33">
        <f>IF(G169="","",CHOOSE(MONTH(G169),"Janeiro","Fevereiro","Março","Abril","Maio","Junho","Julho","Agosto","Setembro","Outubro","Novembro","Dezembro"))</f>
        <v/>
      </c>
      <c r="G169" s="64" t="n">
        <v>46058</v>
      </c>
      <c r="H169" s="65" t="n">
        <v>0.01722222222222222</v>
      </c>
      <c r="I169" s="66" t="inlineStr">
        <is>
          <t>https://docs.google.com/spreadsheets/d/1ZiCGoPjLCjuYvujDTXK9Ixbth3tekiLtFBzBrGjPCr4/edit?gid=0#gid=0</t>
        </is>
      </c>
      <c r="J169" s="67" t="inlineStr">
        <is>
          <t>Taxa de Cancelamento - [TXC]</t>
        </is>
      </c>
      <c r="K169" s="67" t="inlineStr"/>
      <c r="L169" s="68" t="b">
        <v>0</v>
      </c>
      <c r="M169" s="20" t="n"/>
      <c r="N169" s="69">
        <f>IF($J169="","",IFERROR(INDEX(B!$F$2:$F$61,MATCH($J169,B!$E$2:$E$61,0))&amp;"",""))</f>
        <v/>
      </c>
      <c r="O169" s="69">
        <f>IF($J169="","",IFERROR(INDEX(B!$G$2:$G$61,MATCH($J169,B!$E$2:$E$61,0))&amp;"",""))</f>
        <v/>
      </c>
      <c r="P169" s="69">
        <f>IF($J169="","",IFERROR(INDEX(B!$H$2:$H$61,MATCH($J169,B!$E$2:$E$61,0))&amp;"",""))</f>
        <v/>
      </c>
      <c r="Q169" s="69">
        <f>IF($J169="","",IFERROR(INDEX(B!$I$2:$I$61,MATCH($J169,B!$E$2:$E$61,0))&amp;"",""))</f>
        <v/>
      </c>
      <c r="R169" s="69">
        <f>IF($J169="","",IFERROR(INDEX(B!$J$2:$J$61,MATCH($J169,B!$E$2:$E$61,0))&amp;"",""))</f>
        <v/>
      </c>
      <c r="S169" s="69">
        <f>IF($J169="","",IFERROR(INDEX(B!$K$2:$K$61,MATCH($J169,B!$E$2:$E$61,0))&amp;"",""))</f>
        <v/>
      </c>
      <c r="T169" s="69">
        <f>IF($J169="","",IFERROR(INDEX(B!$L$2:$L$61,MATCH($J169,B!$E$2:$E$61,0))&amp;"",""))</f>
        <v/>
      </c>
      <c r="U169" s="20" t="n"/>
      <c r="V169" s="70">
        <f>IF($J169="","",IFERROR(INDEX(B!$M$2:$M$61,MATCH($J169,B!$E$2:$E$61,0))&amp;"",""))</f>
        <v/>
      </c>
      <c r="W169" s="71">
        <f>IF(I169="","",IFERROR(MID(I169,FIND("/d/",I169)+3,FIND("/edit",I169)-FIND("/d/",I169)-3),I169))</f>
        <v/>
      </c>
      <c r="X169" s="71">
        <f>IF($J169="","",IFERROR(INDEX(B!$C$2:$C$61,MATCH($J169,B!$E$2:$E$61,0))&amp;"",""))</f>
        <v/>
      </c>
      <c r="Y169" s="20" t="n"/>
      <c r="Z169" s="72">
        <f>IF($J169="",FALSE,ISNUMBER(SEARCH("scout",$K169)))</f>
        <v/>
      </c>
      <c r="AA169" s="72">
        <f>IF($J169="",FALSE,IFERROR(INDEX(B!$N$2:$N$61,MATCH($J169,B!$E$2:$E$61,0))="Sim",FALSE))</f>
        <v/>
      </c>
      <c r="AB169" s="72">
        <f>IF($J169="",FALSE,LEFT($X169,2)="XX")</f>
        <v/>
      </c>
      <c r="AC169" s="72">
        <f>IF($J169="",FALSE,IFERROR(INDEX(B!$P$2:$P$61,MATCH($J169,B!$E$2:$E$61,0))="Sim",FALSE))</f>
        <v/>
      </c>
      <c r="AD169" s="20" t="n"/>
      <c r="AE169" s="52">
        <f>IF(H169="","",HOUR(H169))</f>
        <v/>
      </c>
      <c r="AF169" s="52" t="n"/>
    </row>
    <row r="170" ht="19.5" customHeight="1" s="58">
      <c r="A170" s="62">
        <f>IF(G170="","",IF(G170=G169,"",COUNTIF($G$3:$G$976,G170)))</f>
        <v/>
      </c>
      <c r="B170" s="20" t="n"/>
      <c r="C170" s="63">
        <f>IF(G170="","",DAY(G170))</f>
        <v/>
      </c>
      <c r="D170" s="63">
        <f>IF(G170="","",MONTH(G170))</f>
        <v/>
      </c>
      <c r="E170" s="63">
        <f>IF(G170="","",YEAR(G170))</f>
        <v/>
      </c>
      <c r="F170" s="33">
        <f>IF(G170="","",CHOOSE(MONTH(G170),"Janeiro","Fevereiro","Março","Abril","Maio","Junho","Julho","Agosto","Setembro","Outubro","Novembro","Dezembro"))</f>
        <v/>
      </c>
      <c r="G170" s="64" t="n">
        <v>46058</v>
      </c>
      <c r="H170" s="65" t="n">
        <v>0.02888888888888889</v>
      </c>
      <c r="I170" s="66" t="inlineStr">
        <is>
          <t>https://docs.google.com/spreadsheets/d/1ZiCGoPjLCjuYvujDTXK9Ixbth3tekiLtFBzBrGjPCr4/edit?gid=0#gid=0</t>
        </is>
      </c>
      <c r="J170" s="67" t="inlineStr">
        <is>
          <t>Trajeto Ruim - [TR]</t>
        </is>
      </c>
      <c r="K170" s="67" t="inlineStr"/>
      <c r="L170" s="68" t="b">
        <v>0</v>
      </c>
      <c r="M170" s="20" t="n"/>
      <c r="N170" s="69">
        <f>IF($J170="","",IFERROR(INDEX(B!$F$2:$F$61,MATCH($J170,B!$E$2:$E$61,0))&amp;"",""))</f>
        <v/>
      </c>
      <c r="O170" s="69">
        <f>IF($J170="","",IFERROR(INDEX(B!$G$2:$G$61,MATCH($J170,B!$E$2:$E$61,0))&amp;"",""))</f>
        <v/>
      </c>
      <c r="P170" s="69">
        <f>IF($J170="","",IFERROR(INDEX(B!$H$2:$H$61,MATCH($J170,B!$E$2:$E$61,0))&amp;"",""))</f>
        <v/>
      </c>
      <c r="Q170" s="69">
        <f>IF($J170="","",IFERROR(INDEX(B!$I$2:$I$61,MATCH($J170,B!$E$2:$E$61,0))&amp;"",""))</f>
        <v/>
      </c>
      <c r="R170" s="69">
        <f>IF($J170="","",IFERROR(INDEX(B!$J$2:$J$61,MATCH($J170,B!$E$2:$E$61,0))&amp;"",""))</f>
        <v/>
      </c>
      <c r="S170" s="69">
        <f>IF($J170="","",IFERROR(INDEX(B!$K$2:$K$61,MATCH($J170,B!$E$2:$E$61,0))&amp;"",""))</f>
        <v/>
      </c>
      <c r="T170" s="69">
        <f>IF($J170="","",IFERROR(INDEX(B!$L$2:$L$61,MATCH($J170,B!$E$2:$E$61,0))&amp;"",""))</f>
        <v/>
      </c>
      <c r="U170" s="20" t="n"/>
      <c r="V170" s="70">
        <f>IF($J170="","",IFERROR(INDEX(B!$M$2:$M$61,MATCH($J170,B!$E$2:$E$61,0))&amp;"",""))</f>
        <v/>
      </c>
      <c r="W170" s="71">
        <f>IF(I170="","",IFERROR(MID(I170,FIND("/d/",I170)+3,FIND("/edit",I170)-FIND("/d/",I170)-3),I170))</f>
        <v/>
      </c>
      <c r="X170" s="71">
        <f>IF($J170="","",IFERROR(INDEX(B!$C$2:$C$61,MATCH($J170,B!$E$2:$E$61,0))&amp;"",""))</f>
        <v/>
      </c>
      <c r="Y170" s="20" t="n"/>
      <c r="Z170" s="72">
        <f>IF($J170="",FALSE,ISNUMBER(SEARCH("scout",$K170)))</f>
        <v/>
      </c>
      <c r="AA170" s="72">
        <f>IF($J170="",FALSE,IFERROR(INDEX(B!$N$2:$N$61,MATCH($J170,B!$E$2:$E$61,0))="Sim",FALSE))</f>
        <v/>
      </c>
      <c r="AB170" s="72">
        <f>IF($J170="",FALSE,LEFT($X170,2)="XX")</f>
        <v/>
      </c>
      <c r="AC170" s="72">
        <f>IF($J170="",FALSE,IFERROR(INDEX(B!$P$2:$P$61,MATCH($J170,B!$E$2:$E$61,0))="Sim",FALSE))</f>
        <v/>
      </c>
      <c r="AD170" s="20" t="n"/>
      <c r="AE170" s="52">
        <f>IF(H170="","",HOUR(H170))</f>
        <v/>
      </c>
      <c r="AF170" s="52" t="n"/>
    </row>
    <row r="171" ht="19.5" customHeight="1" s="58">
      <c r="A171" s="62">
        <f>IF(G171="","",IF(G171=G170,"",COUNTIF($G$3:$G$976,G171)))</f>
        <v/>
      </c>
      <c r="B171" s="20" t="n"/>
      <c r="C171" s="63">
        <f>IF(G171="","",DAY(G171))</f>
        <v/>
      </c>
      <c r="D171" s="63">
        <f>IF(G171="","",MONTH(G171))</f>
        <v/>
      </c>
      <c r="E171" s="63">
        <f>IF(G171="","",YEAR(G171))</f>
        <v/>
      </c>
      <c r="F171" s="33">
        <f>IF(G171="","",CHOOSE(MONTH(G171),"Janeiro","Fevereiro","Março","Abril","Maio","Junho","Julho","Agosto","Setembro","Outubro","Novembro","Dezembro"))</f>
        <v/>
      </c>
      <c r="G171" s="64" t="n">
        <v>46058</v>
      </c>
      <c r="H171" s="65" t="n">
        <v>0.03015046296296296</v>
      </c>
      <c r="I171" s="66" t="inlineStr">
        <is>
          <t>https://docs.google.com/spreadsheets/d/1ZiCGoPjLCjuYvujDTXK9Ixbth3tekiLtFBzBrGjPCr4/edit?gid=0#gid=0</t>
        </is>
      </c>
      <c r="J171" s="67" t="inlineStr">
        <is>
          <t>Outros Valores Retidos (Pedágio, Cartão, Taxa de Cancelamento...) - [OTV]</t>
        </is>
      </c>
      <c r="K171" s="67" t="inlineStr"/>
      <c r="L171" s="68" t="b">
        <v>0</v>
      </c>
      <c r="M171" s="20" t="n"/>
      <c r="N171" s="69">
        <f>IF($J171="","",IFERROR(INDEX(B!$F$2:$F$61,MATCH($J171,B!$E$2:$E$61,0))&amp;"",""))</f>
        <v/>
      </c>
      <c r="O171" s="69">
        <f>IF($J171="","",IFERROR(INDEX(B!$G$2:$G$61,MATCH($J171,B!$E$2:$E$61,0))&amp;"",""))</f>
        <v/>
      </c>
      <c r="P171" s="69">
        <f>IF($J171="","",IFERROR(INDEX(B!$H$2:$H$61,MATCH($J171,B!$E$2:$E$61,0))&amp;"",""))</f>
        <v/>
      </c>
      <c r="Q171" s="69">
        <f>IF($J171="","",IFERROR(INDEX(B!$I$2:$I$61,MATCH($J171,B!$E$2:$E$61,0))&amp;"",""))</f>
        <v/>
      </c>
      <c r="R171" s="69">
        <f>IF($J171="","",IFERROR(INDEX(B!$J$2:$J$61,MATCH($J171,B!$E$2:$E$61,0))&amp;"",""))</f>
        <v/>
      </c>
      <c r="S171" s="69">
        <f>IF($J171="","",IFERROR(INDEX(B!$K$2:$K$61,MATCH($J171,B!$E$2:$E$61,0))&amp;"",""))</f>
        <v/>
      </c>
      <c r="T171" s="69">
        <f>IF($J171="","",IFERROR(INDEX(B!$L$2:$L$61,MATCH($J171,B!$E$2:$E$61,0))&amp;"",""))</f>
        <v/>
      </c>
      <c r="U171" s="20" t="n"/>
      <c r="V171" s="70">
        <f>IF($J171="","",IFERROR(INDEX(B!$M$2:$M$61,MATCH($J171,B!$E$2:$E$61,0))&amp;"",""))</f>
        <v/>
      </c>
      <c r="W171" s="71">
        <f>IF(I171="","",IFERROR(MID(I171,FIND("/d/",I171)+3,FIND("/edit",I171)-FIND("/d/",I171)-3),I171))</f>
        <v/>
      </c>
      <c r="X171" s="71">
        <f>IF($J171="","",IFERROR(INDEX(B!$C$2:$C$61,MATCH($J171,B!$E$2:$E$61,0))&amp;"",""))</f>
        <v/>
      </c>
      <c r="Y171" s="20" t="n"/>
      <c r="Z171" s="72">
        <f>IF($J171="",FALSE,ISNUMBER(SEARCH("scout",$K171)))</f>
        <v/>
      </c>
      <c r="AA171" s="72">
        <f>IF($J171="",FALSE,IFERROR(INDEX(B!$N$2:$N$61,MATCH($J171,B!$E$2:$E$61,0))="Sim",FALSE))</f>
        <v/>
      </c>
      <c r="AB171" s="72">
        <f>IF($J171="",FALSE,LEFT($X171,2)="XX")</f>
        <v/>
      </c>
      <c r="AC171" s="72">
        <f>IF($J171="",FALSE,IFERROR(INDEX(B!$P$2:$P$61,MATCH($J171,B!$E$2:$E$61,0))="Sim",FALSE))</f>
        <v/>
      </c>
      <c r="AD171" s="20" t="n"/>
      <c r="AE171" s="52">
        <f>IF(H171="","",HOUR(H171))</f>
        <v/>
      </c>
      <c r="AF171" s="52" t="n"/>
    </row>
    <row r="172" ht="19.5" customHeight="1" s="58">
      <c r="A172" s="62">
        <f>IF(G172="","",IF(G172=G171,"",COUNTIF($G$3:$G$976,G172)))</f>
        <v/>
      </c>
      <c r="B172" s="20" t="n"/>
      <c r="C172" s="63">
        <f>IF(G172="","",DAY(G172))</f>
        <v/>
      </c>
      <c r="D172" s="63">
        <f>IF(G172="","",MONTH(G172))</f>
        <v/>
      </c>
      <c r="E172" s="63">
        <f>IF(G172="","",YEAR(G172))</f>
        <v/>
      </c>
      <c r="F172" s="33">
        <f>IF(G172="","",CHOOSE(MONTH(G172),"Janeiro","Fevereiro","Março","Abril","Maio","Junho","Julho","Agosto","Setembro","Outubro","Novembro","Dezembro"))</f>
        <v/>
      </c>
      <c r="G172" s="64" t="n">
        <v>46058</v>
      </c>
      <c r="H172" s="65" t="n">
        <v>0.03403935185185185</v>
      </c>
      <c r="I172" s="66" t="inlineStr">
        <is>
          <t>https://docs.google.com/spreadsheets/d/1ZiCGoPjLCjuYvujDTXK9Ixbth3tekiLtFBzBrGjPCr4/edit?gid=0#gid=0</t>
        </is>
      </c>
      <c r="J172" s="67" t="inlineStr">
        <is>
          <t>Overpaid, Excede o limite Com comprovante - [OPEC]</t>
        </is>
      </c>
      <c r="K172" s="67" t="inlineStr">
        <is>
          <t>Scout</t>
        </is>
      </c>
      <c r="L172" s="68" t="b">
        <v>1</v>
      </c>
      <c r="M172" s="20" t="n"/>
      <c r="N172" s="69">
        <f>IF($J172="","",IFERROR(INDEX(B!$F$2:$F$61,MATCH($J172,B!$E$2:$E$61,0))&amp;"",""))</f>
        <v/>
      </c>
      <c r="O172" s="69">
        <f>IF($J172="","",IFERROR(INDEX(B!$G$2:$G$61,MATCH($J172,B!$E$2:$E$61,0))&amp;"",""))</f>
        <v/>
      </c>
      <c r="P172" s="69">
        <f>IF($J172="","",IFERROR(INDEX(B!$H$2:$H$61,MATCH($J172,B!$E$2:$E$61,0))&amp;"",""))</f>
        <v/>
      </c>
      <c r="Q172" s="69">
        <f>IF($J172="","",IFERROR(INDEX(B!$I$2:$I$61,MATCH($J172,B!$E$2:$E$61,0))&amp;"",""))</f>
        <v/>
      </c>
      <c r="R172" s="69">
        <f>IF($J172="","",IFERROR(INDEX(B!$J$2:$J$61,MATCH($J172,B!$E$2:$E$61,0))&amp;"",""))</f>
        <v/>
      </c>
      <c r="S172" s="69">
        <f>IF($J172="","",IFERROR(INDEX(B!$K$2:$K$61,MATCH($J172,B!$E$2:$E$61,0))&amp;"",""))</f>
        <v/>
      </c>
      <c r="T172" s="69">
        <f>IF($J172="","",IFERROR(INDEX(B!$L$2:$L$61,MATCH($J172,B!$E$2:$E$61,0))&amp;"",""))</f>
        <v/>
      </c>
      <c r="U172" s="20" t="n"/>
      <c r="V172" s="70">
        <f>IF($J172="","",IFERROR(INDEX(B!$M$2:$M$61,MATCH($J172,B!$E$2:$E$61,0))&amp;"",""))</f>
        <v/>
      </c>
      <c r="W172" s="71">
        <f>IF(I172="","",IFERROR(MID(I172,FIND("/d/",I172)+3,FIND("/edit",I172)-FIND("/d/",I172)-3),I172))</f>
        <v/>
      </c>
      <c r="X172" s="71">
        <f>IF($J172="","",IFERROR(INDEX(B!$C$2:$C$61,MATCH($J172,B!$E$2:$E$61,0))&amp;"",""))</f>
        <v/>
      </c>
      <c r="Y172" s="20" t="n"/>
      <c r="Z172" s="72">
        <f>IF($J172="",FALSE,ISNUMBER(SEARCH("scout",$K172)))</f>
        <v/>
      </c>
      <c r="AA172" s="72">
        <f>IF($J172="",FALSE,IFERROR(INDEX(B!$N$2:$N$61,MATCH($J172,B!$E$2:$E$61,0))="Sim",FALSE))</f>
        <v/>
      </c>
      <c r="AB172" s="72">
        <f>IF($J172="",FALSE,LEFT($X172,2)="XX")</f>
        <v/>
      </c>
      <c r="AC172" s="72">
        <f>IF($J172="",FALSE,IFERROR(INDEX(B!$P$2:$P$61,MATCH($J172,B!$E$2:$E$61,0))="Sim",FALSE))</f>
        <v/>
      </c>
      <c r="AD172" s="20" t="n"/>
      <c r="AE172" s="52">
        <f>IF(H172="","",HOUR(H172))</f>
        <v/>
      </c>
      <c r="AF172" s="52" t="n"/>
    </row>
    <row r="173" ht="19.5" customHeight="1" s="58">
      <c r="A173" s="62">
        <f>IF(G173="","",IF(G173=G172,"",COUNTIF($G$3:$G$976,G173)))</f>
        <v/>
      </c>
      <c r="B173" s="20" t="n"/>
      <c r="C173" s="63">
        <f>IF(G173="","",DAY(G173))</f>
        <v/>
      </c>
      <c r="D173" s="63">
        <f>IF(G173="","",MONTH(G173))</f>
        <v/>
      </c>
      <c r="E173" s="63">
        <f>IF(G173="","",YEAR(G173))</f>
        <v/>
      </c>
      <c r="F173" s="33">
        <f>IF(G173="","",CHOOSE(MONTH(G173),"Janeiro","Fevereiro","Março","Abril","Maio","Junho","Julho","Agosto","Setembro","Outubro","Novembro","Dezembro"))</f>
        <v/>
      </c>
      <c r="G173" s="64" t="n">
        <v>46058</v>
      </c>
      <c r="H173" s="65" t="n">
        <v>0.0353125</v>
      </c>
      <c r="I173" s="66" t="inlineStr">
        <is>
          <t>https://docs.google.com/spreadsheets/d/1ZiCGoPjLCjuYvujDTXK9Ixbth3tekiLtFBzBrGjPCr4/edit?gid=0#gid=0</t>
        </is>
      </c>
      <c r="J173" s="67" t="inlineStr">
        <is>
          <t>Evento Raro - [ER]</t>
        </is>
      </c>
      <c r="K173" s="67" t="inlineStr"/>
      <c r="L173" s="68" t="b">
        <v>0</v>
      </c>
      <c r="M173" s="20" t="n"/>
      <c r="N173" s="69">
        <f>IF($J173="","",IFERROR(INDEX(B!$F$2:$F$61,MATCH($J173,B!$E$2:$E$61,0))&amp;"",""))</f>
        <v/>
      </c>
      <c r="O173" s="69">
        <f>IF($J173="","",IFERROR(INDEX(B!$G$2:$G$61,MATCH($J173,B!$E$2:$E$61,0))&amp;"",""))</f>
        <v/>
      </c>
      <c r="P173" s="69">
        <f>IF($J173="","",IFERROR(INDEX(B!$H$2:$H$61,MATCH($J173,B!$E$2:$E$61,0))&amp;"",""))</f>
        <v/>
      </c>
      <c r="Q173" s="69">
        <f>IF($J173="","",IFERROR(INDEX(B!$I$2:$I$61,MATCH($J173,B!$E$2:$E$61,0))&amp;"",""))</f>
        <v/>
      </c>
      <c r="R173" s="69">
        <f>IF($J173="","",IFERROR(INDEX(B!$J$2:$J$61,MATCH($J173,B!$E$2:$E$61,0))&amp;"",""))</f>
        <v/>
      </c>
      <c r="S173" s="69">
        <f>IF($J173="","",IFERROR(INDEX(B!$K$2:$K$61,MATCH($J173,B!$E$2:$E$61,0))&amp;"",""))</f>
        <v/>
      </c>
      <c r="T173" s="69">
        <f>IF($J173="","",IFERROR(INDEX(B!$L$2:$L$61,MATCH($J173,B!$E$2:$E$61,0))&amp;"",""))</f>
        <v/>
      </c>
      <c r="U173" s="20" t="n"/>
      <c r="V173" s="70">
        <f>IF($J173="","",IFERROR(INDEX(B!$M$2:$M$61,MATCH($J173,B!$E$2:$E$61,0))&amp;"",""))</f>
        <v/>
      </c>
      <c r="W173" s="71">
        <f>IF(I173="","",IFERROR(MID(I173,FIND("/d/",I173)+3,FIND("/edit",I173)-FIND("/d/",I173)-3),I173))</f>
        <v/>
      </c>
      <c r="X173" s="71">
        <f>IF($J173="","",IFERROR(INDEX(B!$C$2:$C$61,MATCH($J173,B!$E$2:$E$61,0))&amp;"",""))</f>
        <v/>
      </c>
      <c r="Y173" s="20" t="n"/>
      <c r="Z173" s="72">
        <f>IF($J173="",FALSE,ISNUMBER(SEARCH("scout",$K173)))</f>
        <v/>
      </c>
      <c r="AA173" s="72">
        <f>IF($J173="",FALSE,IFERROR(INDEX(B!$N$2:$N$61,MATCH($J173,B!$E$2:$E$61,0))="Sim",FALSE))</f>
        <v/>
      </c>
      <c r="AB173" s="72">
        <f>IF($J173="",FALSE,LEFT($X173,2)="XX")</f>
        <v/>
      </c>
      <c r="AC173" s="72">
        <f>IF($J173="",FALSE,IFERROR(INDEX(B!$P$2:$P$61,MATCH($J173,B!$E$2:$E$61,0))="Sim",FALSE))</f>
        <v/>
      </c>
      <c r="AD173" s="20" t="n"/>
      <c r="AE173" s="52">
        <f>IF(H173="","",HOUR(H173))</f>
        <v/>
      </c>
      <c r="AF173" s="52" t="n"/>
    </row>
    <row r="174" ht="19.5" customHeight="1" s="58">
      <c r="A174" s="62">
        <f>IF(G174="","",IF(G174=G173,"",COUNTIF($G$3:$G$976,G174)))</f>
        <v/>
      </c>
      <c r="B174" s="20" t="n"/>
      <c r="C174" s="63">
        <f>IF(G174="","",DAY(G174))</f>
        <v/>
      </c>
      <c r="D174" s="63">
        <f>IF(G174="","",MONTH(G174))</f>
        <v/>
      </c>
      <c r="E174" s="63">
        <f>IF(G174="","",YEAR(G174))</f>
        <v/>
      </c>
      <c r="F174" s="33">
        <f>IF(G174="","",CHOOSE(MONTH(G174),"Janeiro","Fevereiro","Março","Abril","Maio","Junho","Julho","Agosto","Setembro","Outubro","Novembro","Dezembro"))</f>
        <v/>
      </c>
      <c r="G174" s="64" t="n">
        <v>46058</v>
      </c>
      <c r="H174" s="65" t="n">
        <v>0.04064814814814815</v>
      </c>
      <c r="I174" s="66" t="inlineStr">
        <is>
          <t>https://docs.google.com/spreadsheets/d/1ZiCGoPjLCjuYvujDTXK9Ixbth3tekiLtFBzBrGjPCr4/edit?gid=0#gid=0</t>
        </is>
      </c>
      <c r="J174" s="67" t="inlineStr">
        <is>
          <t>Mais informações (Quanto Pagou?) - [AAV]</t>
        </is>
      </c>
      <c r="K174" s="67" t="inlineStr">
        <is>
          <t>Scout</t>
        </is>
      </c>
      <c r="L174" s="68" t="b">
        <v>0</v>
      </c>
      <c r="M174" s="20" t="n"/>
      <c r="N174" s="69">
        <f>IF($J174="","",IFERROR(INDEX(B!$F$2:$F$61,MATCH($J174,B!$E$2:$E$61,0))&amp;"",""))</f>
        <v/>
      </c>
      <c r="O174" s="69">
        <f>IF($J174="","",IFERROR(INDEX(B!$G$2:$G$61,MATCH($J174,B!$E$2:$E$61,0))&amp;"",""))</f>
        <v/>
      </c>
      <c r="P174" s="69">
        <f>IF($J174="","",IFERROR(INDEX(B!$H$2:$H$61,MATCH($J174,B!$E$2:$E$61,0))&amp;"",""))</f>
        <v/>
      </c>
      <c r="Q174" s="69">
        <f>IF($J174="","",IFERROR(INDEX(B!$I$2:$I$61,MATCH($J174,B!$E$2:$E$61,0))&amp;"",""))</f>
        <v/>
      </c>
      <c r="R174" s="69">
        <f>IF($J174="","",IFERROR(INDEX(B!$J$2:$J$61,MATCH($J174,B!$E$2:$E$61,0))&amp;"",""))</f>
        <v/>
      </c>
      <c r="S174" s="69">
        <f>IF($J174="","",IFERROR(INDEX(B!$K$2:$K$61,MATCH($J174,B!$E$2:$E$61,0))&amp;"",""))</f>
        <v/>
      </c>
      <c r="T174" s="69">
        <f>IF($J174="","",IFERROR(INDEX(B!$L$2:$L$61,MATCH($J174,B!$E$2:$E$61,0))&amp;"",""))</f>
        <v/>
      </c>
      <c r="U174" s="20" t="n"/>
      <c r="V174" s="70">
        <f>IF($J174="","",IFERROR(INDEX(B!$M$2:$M$61,MATCH($J174,B!$E$2:$E$61,0))&amp;"",""))</f>
        <v/>
      </c>
      <c r="W174" s="71">
        <f>IF(I174="","",IFERROR(MID(I174,FIND("/d/",I174)+3,FIND("/edit",I174)-FIND("/d/",I174)-3),I174))</f>
        <v/>
      </c>
      <c r="X174" s="71">
        <f>IF($J174="","",IFERROR(INDEX(B!$C$2:$C$61,MATCH($J174,B!$E$2:$E$61,0))&amp;"",""))</f>
        <v/>
      </c>
      <c r="Y174" s="20" t="n"/>
      <c r="Z174" s="72">
        <f>IF($J174="",FALSE,ISNUMBER(SEARCH("scout",$K174)))</f>
        <v/>
      </c>
      <c r="AA174" s="72">
        <f>IF($J174="",FALSE,IFERROR(INDEX(B!$N$2:$N$61,MATCH($J174,B!$E$2:$E$61,0))="Sim",FALSE))</f>
        <v/>
      </c>
      <c r="AB174" s="72">
        <f>IF($J174="",FALSE,LEFT($X174,2)="XX")</f>
        <v/>
      </c>
      <c r="AC174" s="72">
        <f>IF($J174="",FALSE,IFERROR(INDEX(B!$P$2:$P$61,MATCH($J174,B!$E$2:$E$61,0))="Sim",FALSE))</f>
        <v/>
      </c>
      <c r="AD174" s="20" t="n"/>
      <c r="AE174" s="52">
        <f>IF(H174="","",HOUR(H174))</f>
        <v/>
      </c>
      <c r="AF174" s="52" t="n"/>
    </row>
    <row r="175" ht="19.5" customHeight="1" s="58">
      <c r="A175" s="62">
        <f>IF(G175="","",IF(G175=G174,"",COUNTIF($G$3:$G$976,G175)))</f>
        <v/>
      </c>
      <c r="B175" s="20" t="n"/>
      <c r="C175" s="63">
        <f>IF(G175="","",DAY(G175))</f>
        <v/>
      </c>
      <c r="D175" s="63">
        <f>IF(G175="","",MONTH(G175))</f>
        <v/>
      </c>
      <c r="E175" s="63">
        <f>IF(G175="","",YEAR(G175))</f>
        <v/>
      </c>
      <c r="F175" s="33">
        <f>IF(G175="","",CHOOSE(MONTH(G175),"Janeiro","Fevereiro","Março","Abril","Maio","Junho","Julho","Agosto","Setembro","Outubro","Novembro","Dezembro"))</f>
        <v/>
      </c>
      <c r="G175" s="64" t="n">
        <v>46058</v>
      </c>
      <c r="H175" s="65" t="n">
        <v>0.05127314814814815</v>
      </c>
      <c r="I175" s="66" t="inlineStr">
        <is>
          <t>https://docs.google.com/spreadsheets/d/1ZiCGoPjLCjuYvujDTXK9Ixbth3tekiLtFBzBrGjPCr4/edit?gid=0#gid=0</t>
        </is>
      </c>
      <c r="J175" s="67" t="inlineStr">
        <is>
          <t>Overpaid, Não excede o limite, Sem comprovante - [OPNN]</t>
        </is>
      </c>
      <c r="K175" s="67" t="inlineStr"/>
      <c r="L175" s="68" t="b">
        <v>0</v>
      </c>
      <c r="M175" s="20" t="n"/>
      <c r="N175" s="69">
        <f>IF($J175="","",IFERROR(INDEX(B!$F$2:$F$61,MATCH($J175,B!$E$2:$E$61,0))&amp;"",""))</f>
        <v/>
      </c>
      <c r="O175" s="69">
        <f>IF($J175="","",IFERROR(INDEX(B!$G$2:$G$61,MATCH($J175,B!$E$2:$E$61,0))&amp;"",""))</f>
        <v/>
      </c>
      <c r="P175" s="69">
        <f>IF($J175="","",IFERROR(INDEX(B!$H$2:$H$61,MATCH($J175,B!$E$2:$E$61,0))&amp;"",""))</f>
        <v/>
      </c>
      <c r="Q175" s="69">
        <f>IF($J175="","",IFERROR(INDEX(B!$I$2:$I$61,MATCH($J175,B!$E$2:$E$61,0))&amp;"",""))</f>
        <v/>
      </c>
      <c r="R175" s="69">
        <f>IF($J175="","",IFERROR(INDEX(B!$J$2:$J$61,MATCH($J175,B!$E$2:$E$61,0))&amp;"",""))</f>
        <v/>
      </c>
      <c r="S175" s="69">
        <f>IF($J175="","",IFERROR(INDEX(B!$K$2:$K$61,MATCH($J175,B!$E$2:$E$61,0))&amp;"",""))</f>
        <v/>
      </c>
      <c r="T175" s="69">
        <f>IF($J175="","",IFERROR(INDEX(B!$L$2:$L$61,MATCH($J175,B!$E$2:$E$61,0))&amp;"",""))</f>
        <v/>
      </c>
      <c r="U175" s="20" t="n"/>
      <c r="V175" s="70">
        <f>IF($J175="","",IFERROR(INDEX(B!$M$2:$M$61,MATCH($J175,B!$E$2:$E$61,0))&amp;"",""))</f>
        <v/>
      </c>
      <c r="W175" s="71">
        <f>IF(I175="","",IFERROR(MID(I175,FIND("/d/",I175)+3,FIND("/edit",I175)-FIND("/d/",I175)-3),I175))</f>
        <v/>
      </c>
      <c r="X175" s="71">
        <f>IF($J175="","",IFERROR(INDEX(B!$C$2:$C$61,MATCH($J175,B!$E$2:$E$61,0))&amp;"",""))</f>
        <v/>
      </c>
      <c r="Y175" s="20" t="n"/>
      <c r="Z175" s="72">
        <f>IF($J175="",FALSE,ISNUMBER(SEARCH("scout",$K175)))</f>
        <v/>
      </c>
      <c r="AA175" s="72">
        <f>IF($J175="",FALSE,IFERROR(INDEX(B!$N$2:$N$61,MATCH($J175,B!$E$2:$E$61,0))="Sim",FALSE))</f>
        <v/>
      </c>
      <c r="AB175" s="72">
        <f>IF($J175="",FALSE,LEFT($X175,2)="XX")</f>
        <v/>
      </c>
      <c r="AC175" s="72">
        <f>IF($J175="",FALSE,IFERROR(INDEX(B!$P$2:$P$61,MATCH($J175,B!$E$2:$E$61,0))="Sim",FALSE))</f>
        <v/>
      </c>
      <c r="AD175" s="20" t="n"/>
      <c r="AE175" s="52">
        <f>IF(H175="","",HOUR(H175))</f>
        <v/>
      </c>
      <c r="AF175" s="52" t="n"/>
    </row>
    <row r="176" ht="19.5" customHeight="1" s="58">
      <c r="A176" s="62">
        <f>IF(G176="","",IF(G176=G175,"",COUNTIF($G$3:$G$976,G176)))</f>
        <v/>
      </c>
      <c r="B176" s="20" t="n"/>
      <c r="C176" s="63">
        <f>IF(G176="","",DAY(G176))</f>
        <v/>
      </c>
      <c r="D176" s="63">
        <f>IF(G176="","",MONTH(G176))</f>
        <v/>
      </c>
      <c r="E176" s="63">
        <f>IF(G176="","",YEAR(G176))</f>
        <v/>
      </c>
      <c r="F176" s="33">
        <f>IF(G176="","",CHOOSE(MONTH(G176),"Janeiro","Fevereiro","Março","Abril","Maio","Junho","Julho","Agosto","Setembro","Outubro","Novembro","Dezembro"))</f>
        <v/>
      </c>
      <c r="G176" s="64" t="n">
        <v>46058</v>
      </c>
      <c r="H176" s="65" t="n">
        <v>0.05379629629629629</v>
      </c>
      <c r="I176" s="66" t="inlineStr">
        <is>
          <t>https://docs.google.com/spreadsheets/d/1ZiCGoPjLCjuYvujDTXK9Ixbth3tekiLtFBzBrGjPCr4/edit?gid=0#gid=0</t>
        </is>
      </c>
      <c r="J176" s="67" t="inlineStr">
        <is>
          <t>Overpaid, Não excede o limite, Com comprovante - [OPNC]</t>
        </is>
      </c>
      <c r="K176" s="67" t="inlineStr"/>
      <c r="L176" s="68" t="b">
        <v>0</v>
      </c>
      <c r="M176" s="20" t="n"/>
      <c r="N176" s="69">
        <f>IF($J176="","",IFERROR(INDEX(B!$F$2:$F$61,MATCH($J176,B!$E$2:$E$61,0))&amp;"",""))</f>
        <v/>
      </c>
      <c r="O176" s="69">
        <f>IF($J176="","",IFERROR(INDEX(B!$G$2:$G$61,MATCH($J176,B!$E$2:$E$61,0))&amp;"",""))</f>
        <v/>
      </c>
      <c r="P176" s="69">
        <f>IF($J176="","",IFERROR(INDEX(B!$H$2:$H$61,MATCH($J176,B!$E$2:$E$61,0))&amp;"",""))</f>
        <v/>
      </c>
      <c r="Q176" s="69">
        <f>IF($J176="","",IFERROR(INDEX(B!$I$2:$I$61,MATCH($J176,B!$E$2:$E$61,0))&amp;"",""))</f>
        <v/>
      </c>
      <c r="R176" s="69">
        <f>IF($J176="","",IFERROR(INDEX(B!$J$2:$J$61,MATCH($J176,B!$E$2:$E$61,0))&amp;"",""))</f>
        <v/>
      </c>
      <c r="S176" s="69">
        <f>IF($J176="","",IFERROR(INDEX(B!$K$2:$K$61,MATCH($J176,B!$E$2:$E$61,0))&amp;"",""))</f>
        <v/>
      </c>
      <c r="T176" s="69">
        <f>IF($J176="","",IFERROR(INDEX(B!$L$2:$L$61,MATCH($J176,B!$E$2:$E$61,0))&amp;"",""))</f>
        <v/>
      </c>
      <c r="U176" s="20" t="n"/>
      <c r="V176" s="70">
        <f>IF($J176="","",IFERROR(INDEX(B!$M$2:$M$61,MATCH($J176,B!$E$2:$E$61,0))&amp;"",""))</f>
        <v/>
      </c>
      <c r="W176" s="71">
        <f>IF(I176="","",IFERROR(MID(I176,FIND("/d/",I176)+3,FIND("/edit",I176)-FIND("/d/",I176)-3),I176))</f>
        <v/>
      </c>
      <c r="X176" s="71">
        <f>IF($J176="","",IFERROR(INDEX(B!$C$2:$C$61,MATCH($J176,B!$E$2:$E$61,0))&amp;"",""))</f>
        <v/>
      </c>
      <c r="Y176" s="20" t="n"/>
      <c r="Z176" s="72">
        <f>IF($J176="",FALSE,ISNUMBER(SEARCH("scout",$K176)))</f>
        <v/>
      </c>
      <c r="AA176" s="72">
        <f>IF($J176="",FALSE,IFERROR(INDEX(B!$N$2:$N$61,MATCH($J176,B!$E$2:$E$61,0))="Sim",FALSE))</f>
        <v/>
      </c>
      <c r="AB176" s="72">
        <f>IF($J176="",FALSE,LEFT($X176,2)="XX")</f>
        <v/>
      </c>
      <c r="AC176" s="72">
        <f>IF($J176="",FALSE,IFERROR(INDEX(B!$P$2:$P$61,MATCH($J176,B!$E$2:$E$61,0))="Sim",FALSE))</f>
        <v/>
      </c>
      <c r="AD176" s="20" t="n"/>
      <c r="AE176" s="52">
        <f>IF(H176="","",HOUR(H176))</f>
        <v/>
      </c>
      <c r="AF176" s="52" t="n"/>
    </row>
    <row r="177" ht="19.5" customHeight="1" s="58">
      <c r="A177" s="62">
        <f>IF(G177="","",IF(G177=G176,"",COUNTIF($G$3:$G$976,G177)))</f>
        <v/>
      </c>
      <c r="B177" s="20" t="n"/>
      <c r="C177" s="63">
        <f>IF(G177="","",DAY(G177))</f>
        <v/>
      </c>
      <c r="D177" s="63">
        <f>IF(G177="","",MONTH(G177))</f>
        <v/>
      </c>
      <c r="E177" s="63">
        <f>IF(G177="","",YEAR(G177))</f>
        <v/>
      </c>
      <c r="F177" s="33">
        <f>IF(G177="","",CHOOSE(MONTH(G177),"Janeiro","Fevereiro","Março","Abril","Maio","Junho","Julho","Agosto","Setembro","Outubro","Novembro","Dezembro"))</f>
        <v/>
      </c>
      <c r="G177" s="64" t="n">
        <v>46058</v>
      </c>
      <c r="H177" s="65" t="n">
        <v>0.05708333333333333</v>
      </c>
      <c r="I177" s="66" t="inlineStr">
        <is>
          <t>https://docs.google.com/spreadsheets/d/1ZiCGoPjLCjuYvujDTXK9Ixbth3tekiLtFBzBrGjPCr4/edit?gid=0#gid=0</t>
        </is>
      </c>
      <c r="J177" s="67" t="inlineStr">
        <is>
          <t>Não houve Taxa de Cancelamento - [NTX]</t>
        </is>
      </c>
      <c r="K177" s="67" t="inlineStr"/>
      <c r="L177" s="68" t="b">
        <v>0</v>
      </c>
      <c r="M177" s="20" t="n"/>
      <c r="N177" s="69">
        <f>IF($J177="","",IFERROR(INDEX(B!$F$2:$F$61,MATCH($J177,B!$E$2:$E$61,0))&amp;"",""))</f>
        <v/>
      </c>
      <c r="O177" s="69">
        <f>IF($J177="","",IFERROR(INDEX(B!$G$2:$G$61,MATCH($J177,B!$E$2:$E$61,0))&amp;"",""))</f>
        <v/>
      </c>
      <c r="P177" s="69">
        <f>IF($J177="","",IFERROR(INDEX(B!$H$2:$H$61,MATCH($J177,B!$E$2:$E$61,0))&amp;"",""))</f>
        <v/>
      </c>
      <c r="Q177" s="69">
        <f>IF($J177="","",IFERROR(INDEX(B!$I$2:$I$61,MATCH($J177,B!$E$2:$E$61,0))&amp;"",""))</f>
        <v/>
      </c>
      <c r="R177" s="69">
        <f>IF($J177="","",IFERROR(INDEX(B!$J$2:$J$61,MATCH($J177,B!$E$2:$E$61,0))&amp;"",""))</f>
        <v/>
      </c>
      <c r="S177" s="69">
        <f>IF($J177="","",IFERROR(INDEX(B!$K$2:$K$61,MATCH($J177,B!$E$2:$E$61,0))&amp;"",""))</f>
        <v/>
      </c>
      <c r="T177" s="69">
        <f>IF($J177="","",IFERROR(INDEX(B!$L$2:$L$61,MATCH($J177,B!$E$2:$E$61,0))&amp;"",""))</f>
        <v/>
      </c>
      <c r="U177" s="20" t="n"/>
      <c r="V177" s="70">
        <f>IF($J177="","",IFERROR(INDEX(B!$M$2:$M$61,MATCH($J177,B!$E$2:$E$61,0))&amp;"",""))</f>
        <v/>
      </c>
      <c r="W177" s="71">
        <f>IF(I177="","",IFERROR(MID(I177,FIND("/d/",I177)+3,FIND("/edit",I177)-FIND("/d/",I177)-3),I177))</f>
        <v/>
      </c>
      <c r="X177" s="71">
        <f>IF($J177="","",IFERROR(INDEX(B!$C$2:$C$61,MATCH($J177,B!$E$2:$E$61,0))&amp;"",""))</f>
        <v/>
      </c>
      <c r="Y177" s="20" t="n"/>
      <c r="Z177" s="72">
        <f>IF($J177="",FALSE,ISNUMBER(SEARCH("scout",$K177)))</f>
        <v/>
      </c>
      <c r="AA177" s="72">
        <f>IF($J177="",FALSE,IFERROR(INDEX(B!$N$2:$N$61,MATCH($J177,B!$E$2:$E$61,0))="Sim",FALSE))</f>
        <v/>
      </c>
      <c r="AB177" s="72">
        <f>IF($J177="",FALSE,LEFT($X177,2)="XX")</f>
        <v/>
      </c>
      <c r="AC177" s="72">
        <f>IF($J177="",FALSE,IFERROR(INDEX(B!$P$2:$P$61,MATCH($J177,B!$E$2:$E$61,0))="Sim",FALSE))</f>
        <v/>
      </c>
      <c r="AD177" s="20" t="n"/>
      <c r="AE177" s="52">
        <f>IF(H177="","",HOUR(H177))</f>
        <v/>
      </c>
      <c r="AF177" s="52" t="n"/>
    </row>
    <row r="178" ht="19.5" customHeight="1" s="58">
      <c r="A178" s="62">
        <f>IF(G178="","",IF(G178=G177,"",COUNTIF($G$3:$G$976,G178)))</f>
        <v/>
      </c>
      <c r="B178" s="20" t="n"/>
      <c r="C178" s="63">
        <f>IF(G178="","",DAY(G178))</f>
        <v/>
      </c>
      <c r="D178" s="63">
        <f>IF(G178="","",MONTH(G178))</f>
        <v/>
      </c>
      <c r="E178" s="63">
        <f>IF(G178="","",YEAR(G178))</f>
        <v/>
      </c>
      <c r="F178" s="33">
        <f>IF(G178="","",CHOOSE(MONTH(G178),"Janeiro","Fevereiro","Março","Abril","Maio","Junho","Julho","Agosto","Setembro","Outubro","Novembro","Dezembro"))</f>
        <v/>
      </c>
      <c r="G178" s="64" t="n">
        <v>46058</v>
      </c>
      <c r="H178" s="65" t="n">
        <v>0.05709490740740741</v>
      </c>
      <c r="I178" s="66" t="inlineStr">
        <is>
          <t>https://docs.google.com/spreadsheets/d/1ZiCGoPjLCjuYvujDTXK9Ixbth3tekiLtFBzBrGjPCr4/edit?gid=0#gid=0</t>
        </is>
      </c>
      <c r="J178" s="67" t="inlineStr">
        <is>
          <t>Taxa de Limpeza - [TXL]</t>
        </is>
      </c>
      <c r="K178" s="67" t="inlineStr">
        <is>
          <t>Scout</t>
        </is>
      </c>
      <c r="L178" s="68" t="b">
        <v>0</v>
      </c>
      <c r="M178" s="20" t="n"/>
      <c r="N178" s="69">
        <f>IF($J178="","",IFERROR(INDEX(B!$F$2:$F$61,MATCH($J178,B!$E$2:$E$61,0))&amp;"",""))</f>
        <v/>
      </c>
      <c r="O178" s="69">
        <f>IF($J178="","",IFERROR(INDEX(B!$G$2:$G$61,MATCH($J178,B!$E$2:$E$61,0))&amp;"",""))</f>
        <v/>
      </c>
      <c r="P178" s="69">
        <f>IF($J178="","",IFERROR(INDEX(B!$H$2:$H$61,MATCH($J178,B!$E$2:$E$61,0))&amp;"",""))</f>
        <v/>
      </c>
      <c r="Q178" s="69">
        <f>IF($J178="","",IFERROR(INDEX(B!$I$2:$I$61,MATCH($J178,B!$E$2:$E$61,0))&amp;"",""))</f>
        <v/>
      </c>
      <c r="R178" s="69">
        <f>IF($J178="","",IFERROR(INDEX(B!$J$2:$J$61,MATCH($J178,B!$E$2:$E$61,0))&amp;"",""))</f>
        <v/>
      </c>
      <c r="S178" s="69">
        <f>IF($J178="","",IFERROR(INDEX(B!$K$2:$K$61,MATCH($J178,B!$E$2:$E$61,0))&amp;"",""))</f>
        <v/>
      </c>
      <c r="T178" s="69">
        <f>IF($J178="","",IFERROR(INDEX(B!$L$2:$L$61,MATCH($J178,B!$E$2:$E$61,0))&amp;"",""))</f>
        <v/>
      </c>
      <c r="U178" s="20" t="n"/>
      <c r="V178" s="70">
        <f>IF($J178="","",IFERROR(INDEX(B!$M$2:$M$61,MATCH($J178,B!$E$2:$E$61,0))&amp;"",""))</f>
        <v/>
      </c>
      <c r="W178" s="71">
        <f>IF(I178="","",IFERROR(MID(I178,FIND("/d/",I178)+3,FIND("/edit",I178)-FIND("/d/",I178)-3),I178))</f>
        <v/>
      </c>
      <c r="X178" s="71">
        <f>IF($J178="","",IFERROR(INDEX(B!$C$2:$C$61,MATCH($J178,B!$E$2:$E$61,0))&amp;"",""))</f>
        <v/>
      </c>
      <c r="Y178" s="20" t="n"/>
      <c r="Z178" s="72">
        <f>IF($J178="",FALSE,ISNUMBER(SEARCH("scout",$K178)))</f>
        <v/>
      </c>
      <c r="AA178" s="72">
        <f>IF($J178="",FALSE,IFERROR(INDEX(B!$N$2:$N$61,MATCH($J178,B!$E$2:$E$61,0))="Sim",FALSE))</f>
        <v/>
      </c>
      <c r="AB178" s="72">
        <f>IF($J178="",FALSE,LEFT($X178,2)="XX")</f>
        <v/>
      </c>
      <c r="AC178" s="72">
        <f>IF($J178="",FALSE,IFERROR(INDEX(B!$P$2:$P$61,MATCH($J178,B!$E$2:$E$61,0))="Sim",FALSE))</f>
        <v/>
      </c>
      <c r="AD178" s="20" t="n"/>
      <c r="AE178" s="52">
        <f>IF(H178="","",HOUR(H178))</f>
        <v/>
      </c>
      <c r="AF178" s="52" t="n"/>
    </row>
    <row r="179" ht="19.5" customHeight="1" s="58">
      <c r="A179" s="62">
        <f>IF(G179="","",IF(G179=G178,"",COUNTIF($G$3:$G$976,G179)))</f>
        <v/>
      </c>
      <c r="B179" s="20" t="n"/>
      <c r="C179" s="63">
        <f>IF(G179="","",DAY(G179))</f>
        <v/>
      </c>
      <c r="D179" s="63">
        <f>IF(G179="","",MONTH(G179))</f>
        <v/>
      </c>
      <c r="E179" s="63">
        <f>IF(G179="","",YEAR(G179))</f>
        <v/>
      </c>
      <c r="F179" s="33">
        <f>IF(G179="","",CHOOSE(MONTH(G179),"Janeiro","Fevereiro","Março","Abril","Maio","Junho","Julho","Agosto","Setembro","Outubro","Novembro","Dezembro"))</f>
        <v/>
      </c>
      <c r="G179" s="64" t="n">
        <v>46058</v>
      </c>
      <c r="H179" s="65" t="n">
        <v>0.05793981481481481</v>
      </c>
      <c r="I179" s="66" t="inlineStr">
        <is>
          <t>https://docs.google.com/spreadsheets/d/1ZiCGoPjLCjuYvujDTXK9Ixbth3tekiLtFBzBrGjPCr4/edit?gid=0#gid=0</t>
        </is>
      </c>
      <c r="J179" s="67" t="inlineStr">
        <is>
          <t>Outros Valores Retidos (Pedágio, Cartão, Taxa de Cancelamento...) - [OTV]</t>
        </is>
      </c>
      <c r="K179" s="67" t="inlineStr"/>
      <c r="L179" s="68" t="b">
        <v>0</v>
      </c>
      <c r="M179" s="20" t="n"/>
      <c r="N179" s="69">
        <f>IF($J179="","",IFERROR(INDEX(B!$F$2:$F$61,MATCH($J179,B!$E$2:$E$61,0))&amp;"",""))</f>
        <v/>
      </c>
      <c r="O179" s="69">
        <f>IF($J179="","",IFERROR(INDEX(B!$G$2:$G$61,MATCH($J179,B!$E$2:$E$61,0))&amp;"",""))</f>
        <v/>
      </c>
      <c r="P179" s="69">
        <f>IF($J179="","",IFERROR(INDEX(B!$H$2:$H$61,MATCH($J179,B!$E$2:$E$61,0))&amp;"",""))</f>
        <v/>
      </c>
      <c r="Q179" s="69">
        <f>IF($J179="","",IFERROR(INDEX(B!$I$2:$I$61,MATCH($J179,B!$E$2:$E$61,0))&amp;"",""))</f>
        <v/>
      </c>
      <c r="R179" s="69">
        <f>IF($J179="","",IFERROR(INDEX(B!$J$2:$J$61,MATCH($J179,B!$E$2:$E$61,0))&amp;"",""))</f>
        <v/>
      </c>
      <c r="S179" s="69">
        <f>IF($J179="","",IFERROR(INDEX(B!$K$2:$K$61,MATCH($J179,B!$E$2:$E$61,0))&amp;"",""))</f>
        <v/>
      </c>
      <c r="T179" s="69">
        <f>IF($J179="","",IFERROR(INDEX(B!$L$2:$L$61,MATCH($J179,B!$E$2:$E$61,0))&amp;"",""))</f>
        <v/>
      </c>
      <c r="U179" s="20" t="n"/>
      <c r="V179" s="70">
        <f>IF($J179="","",IFERROR(INDEX(B!$M$2:$M$61,MATCH($J179,B!$E$2:$E$61,0))&amp;"",""))</f>
        <v/>
      </c>
      <c r="W179" s="71">
        <f>IF(I179="","",IFERROR(MID(I179,FIND("/d/",I179)+3,FIND("/edit",I179)-FIND("/d/",I179)-3),I179))</f>
        <v/>
      </c>
      <c r="X179" s="71">
        <f>IF($J179="","",IFERROR(INDEX(B!$C$2:$C$61,MATCH($J179,B!$E$2:$E$61,0))&amp;"",""))</f>
        <v/>
      </c>
      <c r="Y179" s="20" t="n"/>
      <c r="Z179" s="72">
        <f>IF($J179="",FALSE,ISNUMBER(SEARCH("scout",$K179)))</f>
        <v/>
      </c>
      <c r="AA179" s="72">
        <f>IF($J179="",FALSE,IFERROR(INDEX(B!$N$2:$N$61,MATCH($J179,B!$E$2:$E$61,0))="Sim",FALSE))</f>
        <v/>
      </c>
      <c r="AB179" s="72">
        <f>IF($J179="",FALSE,LEFT($X179,2)="XX")</f>
        <v/>
      </c>
      <c r="AC179" s="72">
        <f>IF($J179="",FALSE,IFERROR(INDEX(B!$P$2:$P$61,MATCH($J179,B!$E$2:$E$61,0))="Sim",FALSE))</f>
        <v/>
      </c>
      <c r="AD179" s="20" t="n"/>
      <c r="AE179" s="52">
        <f>IF(H179="","",HOUR(H179))</f>
        <v/>
      </c>
      <c r="AF179" s="52" t="n"/>
    </row>
    <row r="180" ht="19.5" customHeight="1" s="58">
      <c r="A180" s="62">
        <f>IF(G180="","",IF(G180=G179,"",COUNTIF($G$3:$G$976,G180)))</f>
        <v/>
      </c>
      <c r="B180" s="20" t="n"/>
      <c r="C180" s="63">
        <f>IF(G180="","",DAY(G180))</f>
        <v/>
      </c>
      <c r="D180" s="63">
        <f>IF(G180="","",MONTH(G180))</f>
        <v/>
      </c>
      <c r="E180" s="63">
        <f>IF(G180="","",YEAR(G180))</f>
        <v/>
      </c>
      <c r="F180" s="33">
        <f>IF(G180="","",CHOOSE(MONTH(G180),"Janeiro","Fevereiro","Março","Abril","Maio","Junho","Julho","Agosto","Setembro","Outubro","Novembro","Dezembro"))</f>
        <v/>
      </c>
      <c r="G180" s="64" t="n">
        <v>46058</v>
      </c>
      <c r="H180" s="65" t="n">
        <v>0.06082175925925926</v>
      </c>
      <c r="I180" s="66" t="inlineStr">
        <is>
          <t>https://docs.google.com/spreadsheets/d/1ZiCGoPjLCjuYvujDTXK9Ixbth3tekiLtFBzBrGjPCr4/edit?gid=0#gid=0</t>
        </is>
      </c>
      <c r="J180" s="67" t="inlineStr">
        <is>
          <t>Transferência de LOB (Profissionalismo) - [TIPR]</t>
        </is>
      </c>
      <c r="K180" s="67" t="inlineStr"/>
      <c r="L180" s="68" t="b">
        <v>0</v>
      </c>
      <c r="M180" s="20" t="n"/>
      <c r="N180" s="69">
        <f>IF($J180="","",IFERROR(INDEX(B!$F$2:$F$61,MATCH($J180,B!$E$2:$E$61,0))&amp;"",""))</f>
        <v/>
      </c>
      <c r="O180" s="69">
        <f>IF($J180="","",IFERROR(INDEX(B!$G$2:$G$61,MATCH($J180,B!$E$2:$E$61,0))&amp;"",""))</f>
        <v/>
      </c>
      <c r="P180" s="69">
        <f>IF($J180="","",IFERROR(INDEX(B!$H$2:$H$61,MATCH($J180,B!$E$2:$E$61,0))&amp;"",""))</f>
        <v/>
      </c>
      <c r="Q180" s="69">
        <f>IF($J180="","",IFERROR(INDEX(B!$I$2:$I$61,MATCH($J180,B!$E$2:$E$61,0))&amp;"",""))</f>
        <v/>
      </c>
      <c r="R180" s="69">
        <f>IF($J180="","",IFERROR(INDEX(B!$J$2:$J$61,MATCH($J180,B!$E$2:$E$61,0))&amp;"",""))</f>
        <v/>
      </c>
      <c r="S180" s="69">
        <f>IF($J180="","",IFERROR(INDEX(B!$K$2:$K$61,MATCH($J180,B!$E$2:$E$61,0))&amp;"",""))</f>
        <v/>
      </c>
      <c r="T180" s="69">
        <f>IF($J180="","",IFERROR(INDEX(B!$L$2:$L$61,MATCH($J180,B!$E$2:$E$61,0))&amp;"",""))</f>
        <v/>
      </c>
      <c r="U180" s="20" t="n"/>
      <c r="V180" s="70">
        <f>IF($J180="","",IFERROR(INDEX(B!$M$2:$M$61,MATCH($J180,B!$E$2:$E$61,0))&amp;"",""))</f>
        <v/>
      </c>
      <c r="W180" s="71">
        <f>IF(I180="","",IFERROR(MID(I180,FIND("/d/",I180)+3,FIND("/edit",I180)-FIND("/d/",I180)-3),I180))</f>
        <v/>
      </c>
      <c r="X180" s="71">
        <f>IF($J180="","",IFERROR(INDEX(B!$C$2:$C$61,MATCH($J180,B!$E$2:$E$61,0))&amp;"",""))</f>
        <v/>
      </c>
      <c r="Y180" s="20" t="n"/>
      <c r="Z180" s="72">
        <f>IF($J180="",FALSE,ISNUMBER(SEARCH("scout",$K180)))</f>
        <v/>
      </c>
      <c r="AA180" s="72">
        <f>IF($J180="",FALSE,IFERROR(INDEX(B!$N$2:$N$61,MATCH($J180,B!$E$2:$E$61,0))="Sim",FALSE))</f>
        <v/>
      </c>
      <c r="AB180" s="72">
        <f>IF($J180="",FALSE,LEFT($X180,2)="XX")</f>
        <v/>
      </c>
      <c r="AC180" s="72">
        <f>IF($J180="",FALSE,IFERROR(INDEX(B!$P$2:$P$61,MATCH($J180,B!$E$2:$E$61,0))="Sim",FALSE))</f>
        <v/>
      </c>
      <c r="AD180" s="20" t="n"/>
      <c r="AE180" s="52">
        <f>IF(H180="","",HOUR(H180))</f>
        <v/>
      </c>
      <c r="AF180" s="52" t="n"/>
    </row>
    <row r="181" ht="19.5" customHeight="1" s="58">
      <c r="A181" s="62">
        <f>IF(G181="","",IF(G181=G180,"",COUNTIF($G$3:$G$976,G181)))</f>
        <v/>
      </c>
      <c r="B181" s="20" t="n"/>
      <c r="C181" s="63">
        <f>IF(G181="","",DAY(G181))</f>
        <v/>
      </c>
      <c r="D181" s="63">
        <f>IF(G181="","",MONTH(G181))</f>
        <v/>
      </c>
      <c r="E181" s="63">
        <f>IF(G181="","",YEAR(G181))</f>
        <v/>
      </c>
      <c r="F181" s="33">
        <f>IF(G181="","",CHOOSE(MONTH(G181),"Janeiro","Fevereiro","Março","Abril","Maio","Junho","Julho","Agosto","Setembro","Outubro","Novembro","Dezembro"))</f>
        <v/>
      </c>
      <c r="G181" s="64" t="n">
        <v>46058</v>
      </c>
      <c r="H181" s="65" t="n">
        <v>0.06298611111111112</v>
      </c>
      <c r="I181" s="66" t="inlineStr">
        <is>
          <t>https://docs.google.com/spreadsheets/d/1ZiCGoPjLCjuYvujDTXK9Ixbth3tekiLtFBzBrGjPCr4/edit?gid=0#gid=0</t>
        </is>
      </c>
      <c r="J181" s="67" t="inlineStr">
        <is>
          <t>Transferência de LOB (Geral não especificado) - [TI]</t>
        </is>
      </c>
      <c r="K181" s="67" t="inlineStr">
        <is>
          <t>Scout</t>
        </is>
      </c>
      <c r="L181" s="68" t="b">
        <v>0</v>
      </c>
      <c r="M181" s="20" t="n"/>
      <c r="N181" s="69">
        <f>IF($J181="","",IFERROR(INDEX(B!$F$2:$F$61,MATCH($J181,B!$E$2:$E$61,0))&amp;"",""))</f>
        <v/>
      </c>
      <c r="O181" s="69">
        <f>IF($J181="","",IFERROR(INDEX(B!$G$2:$G$61,MATCH($J181,B!$E$2:$E$61,0))&amp;"",""))</f>
        <v/>
      </c>
      <c r="P181" s="69">
        <f>IF($J181="","",IFERROR(INDEX(B!$H$2:$H$61,MATCH($J181,B!$E$2:$E$61,0))&amp;"",""))</f>
        <v/>
      </c>
      <c r="Q181" s="69">
        <f>IF($J181="","",IFERROR(INDEX(B!$I$2:$I$61,MATCH($J181,B!$E$2:$E$61,0))&amp;"",""))</f>
        <v/>
      </c>
      <c r="R181" s="69">
        <f>IF($J181="","",IFERROR(INDEX(B!$J$2:$J$61,MATCH($J181,B!$E$2:$E$61,0))&amp;"",""))</f>
        <v/>
      </c>
      <c r="S181" s="69">
        <f>IF($J181="","",IFERROR(INDEX(B!$K$2:$K$61,MATCH($J181,B!$E$2:$E$61,0))&amp;"",""))</f>
        <v/>
      </c>
      <c r="T181" s="69">
        <f>IF($J181="","",IFERROR(INDEX(B!$L$2:$L$61,MATCH($J181,B!$E$2:$E$61,0))&amp;"",""))</f>
        <v/>
      </c>
      <c r="U181" s="20" t="n"/>
      <c r="V181" s="70">
        <f>IF($J181="","",IFERROR(INDEX(B!$M$2:$M$61,MATCH($J181,B!$E$2:$E$61,0))&amp;"",""))</f>
        <v/>
      </c>
      <c r="W181" s="71">
        <f>IF(I181="","",IFERROR(MID(I181,FIND("/d/",I181)+3,FIND("/edit",I181)-FIND("/d/",I181)-3),I181))</f>
        <v/>
      </c>
      <c r="X181" s="71">
        <f>IF($J181="","",IFERROR(INDEX(B!$C$2:$C$61,MATCH($J181,B!$E$2:$E$61,0))&amp;"",""))</f>
        <v/>
      </c>
      <c r="Y181" s="20" t="n"/>
      <c r="Z181" s="72">
        <f>IF($J181="",FALSE,ISNUMBER(SEARCH("scout",$K181)))</f>
        <v/>
      </c>
      <c r="AA181" s="72">
        <f>IF($J181="",FALSE,IFERROR(INDEX(B!$N$2:$N$61,MATCH($J181,B!$E$2:$E$61,0))="Sim",FALSE))</f>
        <v/>
      </c>
      <c r="AB181" s="72">
        <f>IF($J181="",FALSE,LEFT($X181,2)="XX")</f>
        <v/>
      </c>
      <c r="AC181" s="72">
        <f>IF($J181="",FALSE,IFERROR(INDEX(B!$P$2:$P$61,MATCH($J181,B!$E$2:$E$61,0))="Sim",FALSE))</f>
        <v/>
      </c>
      <c r="AD181" s="20" t="n"/>
      <c r="AE181" s="52">
        <f>IF(H181="","",HOUR(H181))</f>
        <v/>
      </c>
      <c r="AF181" s="52" t="n"/>
    </row>
    <row r="182" ht="19.5" customHeight="1" s="58">
      <c r="A182" s="62">
        <f>IF(G182="","",IF(G182=G181,"",COUNTIF($G$3:$G$976,G182)))</f>
        <v/>
      </c>
      <c r="B182" s="20" t="n"/>
      <c r="C182" s="63">
        <f>IF(G182="","",DAY(G182))</f>
        <v/>
      </c>
      <c r="D182" s="63">
        <f>IF(G182="","",MONTH(G182))</f>
        <v/>
      </c>
      <c r="E182" s="63">
        <f>IF(G182="","",YEAR(G182))</f>
        <v/>
      </c>
      <c r="F182" s="33">
        <f>IF(G182="","",CHOOSE(MONTH(G182),"Janeiro","Fevereiro","Março","Abril","Maio","Junho","Julho","Agosto","Setembro","Outubro","Novembro","Dezembro"))</f>
        <v/>
      </c>
      <c r="G182" s="64" t="n">
        <v>46058</v>
      </c>
      <c r="H182" s="65" t="n">
        <v>0.07157407407407407</v>
      </c>
      <c r="I182" s="66" t="inlineStr">
        <is>
          <t>https://docs.google.com/spreadsheets/d/1ZiCGoPjLCjuYvujDTXK9Ixbth3tekiLtFBzBrGjPCr4/edit?gid=0#gid=0</t>
        </is>
      </c>
      <c r="J182" s="67" t="inlineStr">
        <is>
          <t>Overpaid, Excede o limite, Sem comprovante - [OPEN]</t>
        </is>
      </c>
      <c r="K182" s="67" t="inlineStr">
        <is>
          <t>Scout</t>
        </is>
      </c>
      <c r="L182" s="68" t="b">
        <v>0</v>
      </c>
      <c r="M182" s="20" t="n"/>
      <c r="N182" s="69">
        <f>IF($J182="","",IFERROR(INDEX(B!$F$2:$F$61,MATCH($J182,B!$E$2:$E$61,0))&amp;"",""))</f>
        <v/>
      </c>
      <c r="O182" s="69">
        <f>IF($J182="","",IFERROR(INDEX(B!$G$2:$G$61,MATCH($J182,B!$E$2:$E$61,0))&amp;"",""))</f>
        <v/>
      </c>
      <c r="P182" s="69">
        <f>IF($J182="","",IFERROR(INDEX(B!$H$2:$H$61,MATCH($J182,B!$E$2:$E$61,0))&amp;"",""))</f>
        <v/>
      </c>
      <c r="Q182" s="69">
        <f>IF($J182="","",IFERROR(INDEX(B!$I$2:$I$61,MATCH($J182,B!$E$2:$E$61,0))&amp;"",""))</f>
        <v/>
      </c>
      <c r="R182" s="69">
        <f>IF($J182="","",IFERROR(INDEX(B!$J$2:$J$61,MATCH($J182,B!$E$2:$E$61,0))&amp;"",""))</f>
        <v/>
      </c>
      <c r="S182" s="69">
        <f>IF($J182="","",IFERROR(INDEX(B!$K$2:$K$61,MATCH($J182,B!$E$2:$E$61,0))&amp;"",""))</f>
        <v/>
      </c>
      <c r="T182" s="69">
        <f>IF($J182="","",IFERROR(INDEX(B!$L$2:$L$61,MATCH($J182,B!$E$2:$E$61,0))&amp;"",""))</f>
        <v/>
      </c>
      <c r="U182" s="20" t="n"/>
      <c r="V182" s="70">
        <f>IF($J182="","",IFERROR(INDEX(B!$M$2:$M$61,MATCH($J182,B!$E$2:$E$61,0))&amp;"",""))</f>
        <v/>
      </c>
      <c r="W182" s="71">
        <f>IF(I182="","",IFERROR(MID(I182,FIND("/d/",I182)+3,FIND("/edit",I182)-FIND("/d/",I182)-3),I182))</f>
        <v/>
      </c>
      <c r="X182" s="71">
        <f>IF($J182="","",IFERROR(INDEX(B!$C$2:$C$61,MATCH($J182,B!$E$2:$E$61,0))&amp;"",""))</f>
        <v/>
      </c>
      <c r="Y182" s="20" t="n"/>
      <c r="Z182" s="72">
        <f>IF($J182="",FALSE,ISNUMBER(SEARCH("scout",$K182)))</f>
        <v/>
      </c>
      <c r="AA182" s="72">
        <f>IF($J182="",FALSE,IFERROR(INDEX(B!$N$2:$N$61,MATCH($J182,B!$E$2:$E$61,0))="Sim",FALSE))</f>
        <v/>
      </c>
      <c r="AB182" s="72">
        <f>IF($J182="",FALSE,LEFT($X182,2)="XX")</f>
        <v/>
      </c>
      <c r="AC182" s="72">
        <f>IF($J182="",FALSE,IFERROR(INDEX(B!$P$2:$P$61,MATCH($J182,B!$E$2:$E$61,0))="Sim",FALSE))</f>
        <v/>
      </c>
      <c r="AD182" s="20" t="n"/>
      <c r="AE182" s="52">
        <f>IF(H182="","",HOUR(H182))</f>
        <v/>
      </c>
      <c r="AF182" s="52" t="n"/>
    </row>
    <row r="183" ht="19.5" customHeight="1" s="58">
      <c r="A183" s="62">
        <f>IF(G183="","",IF(G183=G182,"",COUNTIF($G$3:$G$976,G183)))</f>
        <v/>
      </c>
      <c r="B183" s="20" t="n"/>
      <c r="C183" s="63">
        <f>IF(G183="","",DAY(G183))</f>
        <v/>
      </c>
      <c r="D183" s="63">
        <f>IF(G183="","",MONTH(G183))</f>
        <v/>
      </c>
      <c r="E183" s="63">
        <f>IF(G183="","",YEAR(G183))</f>
        <v/>
      </c>
      <c r="F183" s="33">
        <f>IF(G183="","",CHOOSE(MONTH(G183),"Janeiro","Fevereiro","Março","Abril","Maio","Junho","Julho","Agosto","Setembro","Outubro","Novembro","Dezembro"))</f>
        <v/>
      </c>
      <c r="G183" s="64" t="n">
        <v>46058</v>
      </c>
      <c r="H183" s="65" t="n">
        <v>0.07392361111111111</v>
      </c>
      <c r="I183" s="66" t="inlineStr">
        <is>
          <t>https://docs.google.com/spreadsheets/d/1ZiCGoPjLCjuYvujDTXK9Ixbth3tekiLtFBzBrGjPCr4/edit?gid=0#gid=0</t>
        </is>
      </c>
      <c r="J183" s="67" t="inlineStr">
        <is>
          <t>Overpaid, Excede o limite Com comprovante - [OPEC]</t>
        </is>
      </c>
      <c r="K183" s="67" t="inlineStr"/>
      <c r="L183" s="68" t="b">
        <v>0</v>
      </c>
      <c r="M183" s="20" t="n"/>
      <c r="N183" s="69">
        <f>IF($J183="","",IFERROR(INDEX(B!$F$2:$F$61,MATCH($J183,B!$E$2:$E$61,0))&amp;"",""))</f>
        <v/>
      </c>
      <c r="O183" s="69">
        <f>IF($J183="","",IFERROR(INDEX(B!$G$2:$G$61,MATCH($J183,B!$E$2:$E$61,0))&amp;"",""))</f>
        <v/>
      </c>
      <c r="P183" s="69">
        <f>IF($J183="","",IFERROR(INDEX(B!$H$2:$H$61,MATCH($J183,B!$E$2:$E$61,0))&amp;"",""))</f>
        <v/>
      </c>
      <c r="Q183" s="69">
        <f>IF($J183="","",IFERROR(INDEX(B!$I$2:$I$61,MATCH($J183,B!$E$2:$E$61,0))&amp;"",""))</f>
        <v/>
      </c>
      <c r="R183" s="69">
        <f>IF($J183="","",IFERROR(INDEX(B!$J$2:$J$61,MATCH($J183,B!$E$2:$E$61,0))&amp;"",""))</f>
        <v/>
      </c>
      <c r="S183" s="69">
        <f>IF($J183="","",IFERROR(INDEX(B!$K$2:$K$61,MATCH($J183,B!$E$2:$E$61,0))&amp;"",""))</f>
        <v/>
      </c>
      <c r="T183" s="69">
        <f>IF($J183="","",IFERROR(INDEX(B!$L$2:$L$61,MATCH($J183,B!$E$2:$E$61,0))&amp;"",""))</f>
        <v/>
      </c>
      <c r="U183" s="20" t="n"/>
      <c r="V183" s="70">
        <f>IF($J183="","",IFERROR(INDEX(B!$M$2:$M$61,MATCH($J183,B!$E$2:$E$61,0))&amp;"",""))</f>
        <v/>
      </c>
      <c r="W183" s="71">
        <f>IF(I183="","",IFERROR(MID(I183,FIND("/d/",I183)+3,FIND("/edit",I183)-FIND("/d/",I183)-3),I183))</f>
        <v/>
      </c>
      <c r="X183" s="71">
        <f>IF($J183="","",IFERROR(INDEX(B!$C$2:$C$61,MATCH($J183,B!$E$2:$E$61,0))&amp;"",""))</f>
        <v/>
      </c>
      <c r="Y183" s="20" t="n"/>
      <c r="Z183" s="72">
        <f>IF($J183="",FALSE,ISNUMBER(SEARCH("scout",$K183)))</f>
        <v/>
      </c>
      <c r="AA183" s="72">
        <f>IF($J183="",FALSE,IFERROR(INDEX(B!$N$2:$N$61,MATCH($J183,B!$E$2:$E$61,0))="Sim",FALSE))</f>
        <v/>
      </c>
      <c r="AB183" s="72">
        <f>IF($J183="",FALSE,LEFT($X183,2)="XX")</f>
        <v/>
      </c>
      <c r="AC183" s="72">
        <f>IF($J183="",FALSE,IFERROR(INDEX(B!$P$2:$P$61,MATCH($J183,B!$E$2:$E$61,0))="Sim",FALSE))</f>
        <v/>
      </c>
      <c r="AD183" s="20" t="n"/>
      <c r="AE183" s="52">
        <f>IF(H183="","",HOUR(H183))</f>
        <v/>
      </c>
      <c r="AF183" s="52" t="n"/>
    </row>
    <row r="184" ht="19.5" customHeight="1" s="58">
      <c r="A184" s="62">
        <f>IF(G184="","",IF(G184=G183,"",COUNTIF($G$3:$G$976,G184)))</f>
        <v/>
      </c>
      <c r="B184" s="20" t="n"/>
      <c r="C184" s="63">
        <f>IF(G184="","",DAY(G184))</f>
        <v/>
      </c>
      <c r="D184" s="63">
        <f>IF(G184="","",MONTH(G184))</f>
        <v/>
      </c>
      <c r="E184" s="63">
        <f>IF(G184="","",YEAR(G184))</f>
        <v/>
      </c>
      <c r="F184" s="33">
        <f>IF(G184="","",CHOOSE(MONTH(G184),"Janeiro","Fevereiro","Março","Abril","Maio","Junho","Julho","Agosto","Setembro","Outubro","Novembro","Dezembro"))</f>
        <v/>
      </c>
      <c r="G184" s="64" t="n">
        <v>46058</v>
      </c>
      <c r="H184" s="65" t="n">
        <v>0.0739699074074074</v>
      </c>
      <c r="I184" s="66" t="inlineStr">
        <is>
          <t>https://docs.google.com/spreadsheets/d/1ZiCGoPjLCjuYvujDTXK9Ixbth3tekiLtFBzBrGjPCr4/edit?gid=0#gid=0</t>
        </is>
      </c>
      <c r="J184" s="67" t="inlineStr">
        <is>
          <t>Overpaid, Não excede o limite, Sem comprovante - [OPNN]</t>
        </is>
      </c>
      <c r="K184" s="67" t="inlineStr">
        <is>
          <t>Scout</t>
        </is>
      </c>
      <c r="L184" s="68" t="b">
        <v>1</v>
      </c>
      <c r="M184" s="20" t="n"/>
      <c r="N184" s="69">
        <f>IF($J184="","",IFERROR(INDEX(B!$F$2:$F$61,MATCH($J184,B!$E$2:$E$61,0))&amp;"",""))</f>
        <v/>
      </c>
      <c r="O184" s="69">
        <f>IF($J184="","",IFERROR(INDEX(B!$G$2:$G$61,MATCH($J184,B!$E$2:$E$61,0))&amp;"",""))</f>
        <v/>
      </c>
      <c r="P184" s="69">
        <f>IF($J184="","",IFERROR(INDEX(B!$H$2:$H$61,MATCH($J184,B!$E$2:$E$61,0))&amp;"",""))</f>
        <v/>
      </c>
      <c r="Q184" s="69">
        <f>IF($J184="","",IFERROR(INDEX(B!$I$2:$I$61,MATCH($J184,B!$E$2:$E$61,0))&amp;"",""))</f>
        <v/>
      </c>
      <c r="R184" s="69">
        <f>IF($J184="","",IFERROR(INDEX(B!$J$2:$J$61,MATCH($J184,B!$E$2:$E$61,0))&amp;"",""))</f>
        <v/>
      </c>
      <c r="S184" s="69">
        <f>IF($J184="","",IFERROR(INDEX(B!$K$2:$K$61,MATCH($J184,B!$E$2:$E$61,0))&amp;"",""))</f>
        <v/>
      </c>
      <c r="T184" s="69">
        <f>IF($J184="","",IFERROR(INDEX(B!$L$2:$L$61,MATCH($J184,B!$E$2:$E$61,0))&amp;"",""))</f>
        <v/>
      </c>
      <c r="U184" s="20" t="n"/>
      <c r="V184" s="70">
        <f>IF($J184="","",IFERROR(INDEX(B!$M$2:$M$61,MATCH($J184,B!$E$2:$E$61,0))&amp;"",""))</f>
        <v/>
      </c>
      <c r="W184" s="71">
        <f>IF(I184="","",IFERROR(MID(I184,FIND("/d/",I184)+3,FIND("/edit",I184)-FIND("/d/",I184)-3),I184))</f>
        <v/>
      </c>
      <c r="X184" s="71">
        <f>IF($J184="","",IFERROR(INDEX(B!$C$2:$C$61,MATCH($J184,B!$E$2:$E$61,0))&amp;"",""))</f>
        <v/>
      </c>
      <c r="Y184" s="20" t="n"/>
      <c r="Z184" s="72">
        <f>IF($J184="",FALSE,ISNUMBER(SEARCH("scout",$K184)))</f>
        <v/>
      </c>
      <c r="AA184" s="72">
        <f>IF($J184="",FALSE,IFERROR(INDEX(B!$N$2:$N$61,MATCH($J184,B!$E$2:$E$61,0))="Sim",FALSE))</f>
        <v/>
      </c>
      <c r="AB184" s="72">
        <f>IF($J184="",FALSE,LEFT($X184,2)="XX")</f>
        <v/>
      </c>
      <c r="AC184" s="72">
        <f>IF($J184="",FALSE,IFERROR(INDEX(B!$P$2:$P$61,MATCH($J184,B!$E$2:$E$61,0))="Sim",FALSE))</f>
        <v/>
      </c>
      <c r="AD184" s="20" t="n"/>
      <c r="AE184" s="52">
        <f>IF(H184="","",HOUR(H184))</f>
        <v/>
      </c>
      <c r="AF184" s="52" t="n"/>
    </row>
    <row r="185" ht="19.5" customHeight="1" s="58">
      <c r="A185" s="62">
        <f>IF(G185="","",IF(G185=G184,"",COUNTIF($G$3:$G$976,G185)))</f>
        <v/>
      </c>
      <c r="B185" s="20" t="n"/>
      <c r="C185" s="63">
        <f>IF(G185="","",DAY(G185))</f>
        <v/>
      </c>
      <c r="D185" s="63">
        <f>IF(G185="","",MONTH(G185))</f>
        <v/>
      </c>
      <c r="E185" s="63">
        <f>IF(G185="","",YEAR(G185))</f>
        <v/>
      </c>
      <c r="F185" s="33">
        <f>IF(G185="","",CHOOSE(MONTH(G185),"Janeiro","Fevereiro","Março","Abril","Maio","Junho","Julho","Agosto","Setembro","Outubro","Novembro","Dezembro"))</f>
        <v/>
      </c>
      <c r="G185" s="64" t="n">
        <v>46058</v>
      </c>
      <c r="H185" s="65" t="n">
        <v>0.07552083333333333</v>
      </c>
      <c r="I185" s="66" t="inlineStr">
        <is>
          <t>https://docs.google.com/spreadsheets/d/1ZiCGoPjLCjuYvujDTXK9Ixbth3tekiLtFBzBrGjPCr4/edit?gid=0#gid=0</t>
        </is>
      </c>
      <c r="J185" s="67" t="inlineStr">
        <is>
          <t>Pushback - [XX]</t>
        </is>
      </c>
      <c r="K185" s="67" t="inlineStr"/>
      <c r="L185" s="68" t="b">
        <v>0</v>
      </c>
      <c r="M185" s="20" t="n"/>
      <c r="N185" s="69">
        <f>IF($J185="","",IFERROR(INDEX(B!$F$2:$F$61,MATCH($J185,B!$E$2:$E$61,0))&amp;"",""))</f>
        <v/>
      </c>
      <c r="O185" s="69">
        <f>IF($J185="","",IFERROR(INDEX(B!$G$2:$G$61,MATCH($J185,B!$E$2:$E$61,0))&amp;"",""))</f>
        <v/>
      </c>
      <c r="P185" s="69">
        <f>IF($J185="","",IFERROR(INDEX(B!$H$2:$H$61,MATCH($J185,B!$E$2:$E$61,0))&amp;"",""))</f>
        <v/>
      </c>
      <c r="Q185" s="69">
        <f>IF($J185="","",IFERROR(INDEX(B!$I$2:$I$61,MATCH($J185,B!$E$2:$E$61,0))&amp;"",""))</f>
        <v/>
      </c>
      <c r="R185" s="69">
        <f>IF($J185="","",IFERROR(INDEX(B!$J$2:$J$61,MATCH($J185,B!$E$2:$E$61,0))&amp;"",""))</f>
        <v/>
      </c>
      <c r="S185" s="69">
        <f>IF($J185="","",IFERROR(INDEX(B!$K$2:$K$61,MATCH($J185,B!$E$2:$E$61,0))&amp;"",""))</f>
        <v/>
      </c>
      <c r="T185" s="69">
        <f>IF($J185="","",IFERROR(INDEX(B!$L$2:$L$61,MATCH($J185,B!$E$2:$E$61,0))&amp;"",""))</f>
        <v/>
      </c>
      <c r="U185" s="20" t="n"/>
      <c r="V185" s="70">
        <f>IF($J185="","",IFERROR(INDEX(B!$M$2:$M$61,MATCH($J185,B!$E$2:$E$61,0))&amp;"",""))</f>
        <v/>
      </c>
      <c r="W185" s="71">
        <f>IF(I185="","",IFERROR(MID(I185,FIND("/d/",I185)+3,FIND("/edit",I185)-FIND("/d/",I185)-3),I185))</f>
        <v/>
      </c>
      <c r="X185" s="71">
        <f>IF($J185="","",IFERROR(INDEX(B!$C$2:$C$61,MATCH($J185,B!$E$2:$E$61,0))&amp;"",""))</f>
        <v/>
      </c>
      <c r="Y185" s="20" t="n"/>
      <c r="Z185" s="72">
        <f>IF($J185="",FALSE,ISNUMBER(SEARCH("scout",$K185)))</f>
        <v/>
      </c>
      <c r="AA185" s="72">
        <f>IF($J185="",FALSE,IFERROR(INDEX(B!$N$2:$N$61,MATCH($J185,B!$E$2:$E$61,0))="Sim",FALSE))</f>
        <v/>
      </c>
      <c r="AB185" s="72">
        <f>IF($J185="",FALSE,LEFT($X185,2)="XX")</f>
        <v/>
      </c>
      <c r="AC185" s="72">
        <f>IF($J185="",FALSE,IFERROR(INDEX(B!$P$2:$P$61,MATCH($J185,B!$E$2:$E$61,0))="Sim",FALSE))</f>
        <v/>
      </c>
      <c r="AD185" s="20" t="n"/>
      <c r="AE185" s="52">
        <f>IF(H185="","",HOUR(H185))</f>
        <v/>
      </c>
      <c r="AF185" s="52" t="n"/>
    </row>
    <row r="186" ht="19.5" customHeight="1" s="58">
      <c r="A186" s="62">
        <f>IF(G186="","",IF(G186=G185,"",COUNTIF($G$3:$G$976,G186)))</f>
        <v/>
      </c>
      <c r="B186" s="20" t="n"/>
      <c r="C186" s="63">
        <f>IF(G186="","",DAY(G186))</f>
        <v/>
      </c>
      <c r="D186" s="63">
        <f>IF(G186="","",MONTH(G186))</f>
        <v/>
      </c>
      <c r="E186" s="63">
        <f>IF(G186="","",YEAR(G186))</f>
        <v/>
      </c>
      <c r="F186" s="33">
        <f>IF(G186="","",CHOOSE(MONTH(G186),"Janeiro","Fevereiro","Março","Abril","Maio","Junho","Julho","Agosto","Setembro","Outubro","Novembro","Dezembro"))</f>
        <v/>
      </c>
      <c r="G186" s="64" t="n">
        <v>46058</v>
      </c>
      <c r="H186" s="65" t="n">
        <v>0.07570601851851852</v>
      </c>
      <c r="I186" s="66" t="inlineStr">
        <is>
          <t>https://docs.google.com/spreadsheets/d/1ZiCGoPjLCjuYvujDTXK9Ixbth3tekiLtFBzBrGjPCr4/edit?gid=0#gid=0</t>
        </is>
      </c>
      <c r="J186" s="67" t="inlineStr">
        <is>
          <t>Erro de Gps (Problema Técnico) - [GPS]</t>
        </is>
      </c>
      <c r="K186" s="67" t="inlineStr"/>
      <c r="L186" s="68" t="b">
        <v>0</v>
      </c>
      <c r="M186" s="20" t="n"/>
      <c r="N186" s="69">
        <f>IF($J186="","",IFERROR(INDEX(B!$F$2:$F$61,MATCH($J186,B!$E$2:$E$61,0))&amp;"",""))</f>
        <v/>
      </c>
      <c r="O186" s="69">
        <f>IF($J186="","",IFERROR(INDEX(B!$G$2:$G$61,MATCH($J186,B!$E$2:$E$61,0))&amp;"",""))</f>
        <v/>
      </c>
      <c r="P186" s="69">
        <f>IF($J186="","",IFERROR(INDEX(B!$H$2:$H$61,MATCH($J186,B!$E$2:$E$61,0))&amp;"",""))</f>
        <v/>
      </c>
      <c r="Q186" s="69">
        <f>IF($J186="","",IFERROR(INDEX(B!$I$2:$I$61,MATCH($J186,B!$E$2:$E$61,0))&amp;"",""))</f>
        <v/>
      </c>
      <c r="R186" s="69">
        <f>IF($J186="","",IFERROR(INDEX(B!$J$2:$J$61,MATCH($J186,B!$E$2:$E$61,0))&amp;"",""))</f>
        <v/>
      </c>
      <c r="S186" s="69">
        <f>IF($J186="","",IFERROR(INDEX(B!$K$2:$K$61,MATCH($J186,B!$E$2:$E$61,0))&amp;"",""))</f>
        <v/>
      </c>
      <c r="T186" s="69">
        <f>IF($J186="","",IFERROR(INDEX(B!$L$2:$L$61,MATCH($J186,B!$E$2:$E$61,0))&amp;"",""))</f>
        <v/>
      </c>
      <c r="U186" s="20" t="n"/>
      <c r="V186" s="70">
        <f>IF($J186="","",IFERROR(INDEX(B!$M$2:$M$61,MATCH($J186,B!$E$2:$E$61,0))&amp;"",""))</f>
        <v/>
      </c>
      <c r="W186" s="71">
        <f>IF(I186="","",IFERROR(MID(I186,FIND("/d/",I186)+3,FIND("/edit",I186)-FIND("/d/",I186)-3),I186))</f>
        <v/>
      </c>
      <c r="X186" s="71">
        <f>IF($J186="","",IFERROR(INDEX(B!$C$2:$C$61,MATCH($J186,B!$E$2:$E$61,0))&amp;"",""))</f>
        <v/>
      </c>
      <c r="Y186" s="20" t="n"/>
      <c r="Z186" s="72">
        <f>IF($J186="",FALSE,ISNUMBER(SEARCH("scout",$K186)))</f>
        <v/>
      </c>
      <c r="AA186" s="72">
        <f>IF($J186="",FALSE,IFERROR(INDEX(B!$N$2:$N$61,MATCH($J186,B!$E$2:$E$61,0))="Sim",FALSE))</f>
        <v/>
      </c>
      <c r="AB186" s="72">
        <f>IF($J186="",FALSE,LEFT($X186,2)="XX")</f>
        <v/>
      </c>
      <c r="AC186" s="72">
        <f>IF($J186="",FALSE,IFERROR(INDEX(B!$P$2:$P$61,MATCH($J186,B!$E$2:$E$61,0))="Sim",FALSE))</f>
        <v/>
      </c>
      <c r="AD186" s="20" t="n"/>
      <c r="AE186" s="52">
        <f>IF(H186="","",HOUR(H186))</f>
        <v/>
      </c>
      <c r="AF186" s="52" t="n"/>
    </row>
    <row r="187" ht="19.5" customHeight="1" s="58">
      <c r="A187" s="62">
        <f>IF(G187="","",IF(G187=G186,"",COUNTIF($G$3:$G$976,G187)))</f>
        <v/>
      </c>
      <c r="B187" s="20" t="n"/>
      <c r="C187" s="63">
        <f>IF(G187="","",DAY(G187))</f>
        <v/>
      </c>
      <c r="D187" s="63">
        <f>IF(G187="","",MONTH(G187))</f>
        <v/>
      </c>
      <c r="E187" s="63">
        <f>IF(G187="","",YEAR(G187))</f>
        <v/>
      </c>
      <c r="F187" s="33">
        <f>IF(G187="","",CHOOSE(MONTH(G187),"Janeiro","Fevereiro","Março","Abril","Maio","Junho","Julho","Agosto","Setembro","Outubro","Novembro","Dezembro"))</f>
        <v/>
      </c>
      <c r="G187" s="64" t="n">
        <v>46058</v>
      </c>
      <c r="H187" s="65" t="n">
        <v>0.08133101851851852</v>
      </c>
      <c r="I187" s="66" t="inlineStr">
        <is>
          <t>https://docs.google.com/spreadsheets/d/1ZiCGoPjLCjuYvujDTXK9Ixbth3tekiLtFBzBrGjPCr4/edit?gid=0#gid=0</t>
        </is>
      </c>
      <c r="J187" s="67" t="inlineStr">
        <is>
          <t>Overpaid, Excede o limite, Sem comprovante - [OPEN]</t>
        </is>
      </c>
      <c r="K187" s="67" t="inlineStr"/>
      <c r="L187" s="68" t="b">
        <v>0</v>
      </c>
      <c r="M187" s="20" t="n"/>
      <c r="N187" s="69">
        <f>IF($J187="","",IFERROR(INDEX(B!$F$2:$F$61,MATCH($J187,B!$E$2:$E$61,0))&amp;"",""))</f>
        <v/>
      </c>
      <c r="O187" s="69">
        <f>IF($J187="","",IFERROR(INDEX(B!$G$2:$G$61,MATCH($J187,B!$E$2:$E$61,0))&amp;"",""))</f>
        <v/>
      </c>
      <c r="P187" s="69">
        <f>IF($J187="","",IFERROR(INDEX(B!$H$2:$H$61,MATCH($J187,B!$E$2:$E$61,0))&amp;"",""))</f>
        <v/>
      </c>
      <c r="Q187" s="69">
        <f>IF($J187="","",IFERROR(INDEX(B!$I$2:$I$61,MATCH($J187,B!$E$2:$E$61,0))&amp;"",""))</f>
        <v/>
      </c>
      <c r="R187" s="69">
        <f>IF($J187="","",IFERROR(INDEX(B!$J$2:$J$61,MATCH($J187,B!$E$2:$E$61,0))&amp;"",""))</f>
        <v/>
      </c>
      <c r="S187" s="69">
        <f>IF($J187="","",IFERROR(INDEX(B!$K$2:$K$61,MATCH($J187,B!$E$2:$E$61,0))&amp;"",""))</f>
        <v/>
      </c>
      <c r="T187" s="69">
        <f>IF($J187="","",IFERROR(INDEX(B!$L$2:$L$61,MATCH($J187,B!$E$2:$E$61,0))&amp;"",""))</f>
        <v/>
      </c>
      <c r="U187" s="20" t="n"/>
      <c r="V187" s="70">
        <f>IF($J187="","",IFERROR(INDEX(B!$M$2:$M$61,MATCH($J187,B!$E$2:$E$61,0))&amp;"",""))</f>
        <v/>
      </c>
      <c r="W187" s="71">
        <f>IF(I187="","",IFERROR(MID(I187,FIND("/d/",I187)+3,FIND("/edit",I187)-FIND("/d/",I187)-3),I187))</f>
        <v/>
      </c>
      <c r="X187" s="71">
        <f>IF($J187="","",IFERROR(INDEX(B!$C$2:$C$61,MATCH($J187,B!$E$2:$E$61,0))&amp;"",""))</f>
        <v/>
      </c>
      <c r="Y187" s="20" t="n"/>
      <c r="Z187" s="72">
        <f>IF($J187="",FALSE,ISNUMBER(SEARCH("scout",$K187)))</f>
        <v/>
      </c>
      <c r="AA187" s="72">
        <f>IF($J187="",FALSE,IFERROR(INDEX(B!$N$2:$N$61,MATCH($J187,B!$E$2:$E$61,0))="Sim",FALSE))</f>
        <v/>
      </c>
      <c r="AB187" s="72">
        <f>IF($J187="",FALSE,LEFT($X187,2)="XX")</f>
        <v/>
      </c>
      <c r="AC187" s="72">
        <f>IF($J187="",FALSE,IFERROR(INDEX(B!$P$2:$P$61,MATCH($J187,B!$E$2:$E$61,0))="Sim",FALSE))</f>
        <v/>
      </c>
      <c r="AD187" s="20" t="n"/>
      <c r="AE187" s="52">
        <f>IF(H187="","",HOUR(H187))</f>
        <v/>
      </c>
      <c r="AF187" s="52" t="n"/>
    </row>
    <row r="188" ht="19.5" customHeight="1" s="58">
      <c r="A188" s="62">
        <f>IF(G188="","",IF(G188=G187,"",COUNTIF($G$3:$G$976,G188)))</f>
        <v/>
      </c>
      <c r="B188" s="20" t="n"/>
      <c r="C188" s="63">
        <f>IF(G188="","",DAY(G188))</f>
        <v/>
      </c>
      <c r="D188" s="63">
        <f>IF(G188="","",MONTH(G188))</f>
        <v/>
      </c>
      <c r="E188" s="63">
        <f>IF(G188="","",YEAR(G188))</f>
        <v/>
      </c>
      <c r="F188" s="33">
        <f>IF(G188="","",CHOOSE(MONTH(G188),"Janeiro","Fevereiro","Março","Abril","Maio","Junho","Julho","Agosto","Setembro","Outubro","Novembro","Dezembro"))</f>
        <v/>
      </c>
      <c r="G188" s="64" t="n">
        <v>46058</v>
      </c>
      <c r="H188" s="65" t="n">
        <v>0.08199074074074074</v>
      </c>
      <c r="I188" s="66" t="inlineStr">
        <is>
          <t>https://docs.google.com/spreadsheets/d/1ZiCGoPjLCjuYvujDTXK9Ixbth3tekiLtFBzBrGjPCr4/edit?gid=0#gid=0</t>
        </is>
      </c>
      <c r="J188" s="67" t="inlineStr">
        <is>
          <t>Taxa de Limpeza, Sem ajustes - [TXLO]</t>
        </is>
      </c>
      <c r="K188" s="67" t="inlineStr"/>
      <c r="L188" s="68" t="b">
        <v>0</v>
      </c>
      <c r="M188" s="20" t="n"/>
      <c r="N188" s="69">
        <f>IF($J188="","",IFERROR(INDEX(B!$F$2:$F$61,MATCH($J188,B!$E$2:$E$61,0))&amp;"",""))</f>
        <v/>
      </c>
      <c r="O188" s="69">
        <f>IF($J188="","",IFERROR(INDEX(B!$G$2:$G$61,MATCH($J188,B!$E$2:$E$61,0))&amp;"",""))</f>
        <v/>
      </c>
      <c r="P188" s="69">
        <f>IF($J188="","",IFERROR(INDEX(B!$H$2:$H$61,MATCH($J188,B!$E$2:$E$61,0))&amp;"",""))</f>
        <v/>
      </c>
      <c r="Q188" s="69">
        <f>IF($J188="","",IFERROR(INDEX(B!$I$2:$I$61,MATCH($J188,B!$E$2:$E$61,0))&amp;"",""))</f>
        <v/>
      </c>
      <c r="R188" s="69">
        <f>IF($J188="","",IFERROR(INDEX(B!$J$2:$J$61,MATCH($J188,B!$E$2:$E$61,0))&amp;"",""))</f>
        <v/>
      </c>
      <c r="S188" s="69">
        <f>IF($J188="","",IFERROR(INDEX(B!$K$2:$K$61,MATCH($J188,B!$E$2:$E$61,0))&amp;"",""))</f>
        <v/>
      </c>
      <c r="T188" s="69">
        <f>IF($J188="","",IFERROR(INDEX(B!$L$2:$L$61,MATCH($J188,B!$E$2:$E$61,0))&amp;"",""))</f>
        <v/>
      </c>
      <c r="U188" s="20" t="n"/>
      <c r="V188" s="70">
        <f>IF($J188="","",IFERROR(INDEX(B!$M$2:$M$61,MATCH($J188,B!$E$2:$E$61,0))&amp;"",""))</f>
        <v/>
      </c>
      <c r="W188" s="71">
        <f>IF(I188="","",IFERROR(MID(I188,FIND("/d/",I188)+3,FIND("/edit",I188)-FIND("/d/",I188)-3),I188))</f>
        <v/>
      </c>
      <c r="X188" s="71">
        <f>IF($J188="","",IFERROR(INDEX(B!$C$2:$C$61,MATCH($J188,B!$E$2:$E$61,0))&amp;"",""))</f>
        <v/>
      </c>
      <c r="Y188" s="20" t="n"/>
      <c r="Z188" s="72">
        <f>IF($J188="",FALSE,ISNUMBER(SEARCH("scout",$K188)))</f>
        <v/>
      </c>
      <c r="AA188" s="72">
        <f>IF($J188="",FALSE,IFERROR(INDEX(B!$N$2:$N$61,MATCH($J188,B!$E$2:$E$61,0))="Sim",FALSE))</f>
        <v/>
      </c>
      <c r="AB188" s="72">
        <f>IF($J188="",FALSE,LEFT($X188,2)="XX")</f>
        <v/>
      </c>
      <c r="AC188" s="72">
        <f>IF($J188="",FALSE,IFERROR(INDEX(B!$P$2:$P$61,MATCH($J188,B!$E$2:$E$61,0))="Sim",FALSE))</f>
        <v/>
      </c>
      <c r="AD188" s="20" t="n"/>
      <c r="AE188" s="52">
        <f>IF(H188="","",HOUR(H188))</f>
        <v/>
      </c>
      <c r="AF188" s="52" t="n"/>
    </row>
    <row r="189" ht="19.5" customHeight="1" s="58">
      <c r="A189" s="62">
        <f>IF(G189="","",IF(G189=G188,"",COUNTIF($G$3:$G$976,G189)))</f>
        <v/>
      </c>
      <c r="B189" s="20" t="n"/>
      <c r="C189" s="63">
        <f>IF(G189="","",DAY(G189))</f>
        <v/>
      </c>
      <c r="D189" s="63">
        <f>IF(G189="","",MONTH(G189))</f>
        <v/>
      </c>
      <c r="E189" s="63">
        <f>IF(G189="","",YEAR(G189))</f>
        <v/>
      </c>
      <c r="F189" s="33">
        <f>IF(G189="","",CHOOSE(MONTH(G189),"Janeiro","Fevereiro","Março","Abril","Maio","Junho","Julho","Agosto","Setembro","Outubro","Novembro","Dezembro"))</f>
        <v/>
      </c>
      <c r="G189" s="64" t="n">
        <v>46058</v>
      </c>
      <c r="H189" s="65" t="n">
        <v>0.09015046296296296</v>
      </c>
      <c r="I189" s="66" t="inlineStr">
        <is>
          <t>https://docs.google.com/spreadsheets/d/1ZiCGoPjLCjuYvujDTXK9Ixbth3tekiLtFBzBrGjPCr4/edit?gid=0#gid=0</t>
        </is>
      </c>
      <c r="J189" s="67" t="inlineStr">
        <is>
          <t>No Need Response (Não precisa de resposta) - [NRN]</t>
        </is>
      </c>
      <c r="K189" s="67" t="inlineStr">
        <is>
          <t>Scout</t>
        </is>
      </c>
      <c r="L189" s="68" t="b">
        <v>1</v>
      </c>
      <c r="M189" s="20" t="n"/>
      <c r="N189" s="69">
        <f>IF($J189="","",IFERROR(INDEX(B!$F$2:$F$61,MATCH($J189,B!$E$2:$E$61,0))&amp;"",""))</f>
        <v/>
      </c>
      <c r="O189" s="69">
        <f>IF($J189="","",IFERROR(INDEX(B!$G$2:$G$61,MATCH($J189,B!$E$2:$E$61,0))&amp;"",""))</f>
        <v/>
      </c>
      <c r="P189" s="69">
        <f>IF($J189="","",IFERROR(INDEX(B!$H$2:$H$61,MATCH($J189,B!$E$2:$E$61,0))&amp;"",""))</f>
        <v/>
      </c>
      <c r="Q189" s="69">
        <f>IF($J189="","",IFERROR(INDEX(B!$I$2:$I$61,MATCH($J189,B!$E$2:$E$61,0))&amp;"",""))</f>
        <v/>
      </c>
      <c r="R189" s="69">
        <f>IF($J189="","",IFERROR(INDEX(B!$J$2:$J$61,MATCH($J189,B!$E$2:$E$61,0))&amp;"",""))</f>
        <v/>
      </c>
      <c r="S189" s="69">
        <f>IF($J189="","",IFERROR(INDEX(B!$K$2:$K$61,MATCH($J189,B!$E$2:$E$61,0))&amp;"",""))</f>
        <v/>
      </c>
      <c r="T189" s="69">
        <f>IF($J189="","",IFERROR(INDEX(B!$L$2:$L$61,MATCH($J189,B!$E$2:$E$61,0))&amp;"",""))</f>
        <v/>
      </c>
      <c r="U189" s="20" t="n"/>
      <c r="V189" s="70">
        <f>IF($J189="","",IFERROR(INDEX(B!$M$2:$M$61,MATCH($J189,B!$E$2:$E$61,0))&amp;"",""))</f>
        <v/>
      </c>
      <c r="W189" s="71">
        <f>IF(I189="","",IFERROR(MID(I189,FIND("/d/",I189)+3,FIND("/edit",I189)-FIND("/d/",I189)-3),I189))</f>
        <v/>
      </c>
      <c r="X189" s="71">
        <f>IF($J189="","",IFERROR(INDEX(B!$C$2:$C$61,MATCH($J189,B!$E$2:$E$61,0))&amp;"",""))</f>
        <v/>
      </c>
      <c r="Y189" s="20" t="n"/>
      <c r="Z189" s="72">
        <f>IF($J189="",FALSE,ISNUMBER(SEARCH("scout",$K189)))</f>
        <v/>
      </c>
      <c r="AA189" s="72">
        <f>IF($J189="",FALSE,IFERROR(INDEX(B!$N$2:$N$61,MATCH($J189,B!$E$2:$E$61,0))="Sim",FALSE))</f>
        <v/>
      </c>
      <c r="AB189" s="72">
        <f>IF($J189="",FALSE,LEFT($X189,2)="XX")</f>
        <v/>
      </c>
      <c r="AC189" s="72">
        <f>IF($J189="",FALSE,IFERROR(INDEX(B!$P$2:$P$61,MATCH($J189,B!$E$2:$E$61,0))="Sim",FALSE))</f>
        <v/>
      </c>
      <c r="AD189" s="20" t="n"/>
      <c r="AE189" s="52">
        <f>IF(H189="","",HOUR(H189))</f>
        <v/>
      </c>
      <c r="AF189" s="52" t="n"/>
    </row>
    <row r="190" ht="19.5" customHeight="1" s="58">
      <c r="A190" s="62">
        <f>IF(G190="","",IF(G190=G189,"",COUNTIF($G$3:$G$976,G190)))</f>
        <v/>
      </c>
      <c r="B190" s="20" t="n"/>
      <c r="C190" s="63">
        <f>IF(G190="","",DAY(G190))</f>
        <v/>
      </c>
      <c r="D190" s="63">
        <f>IF(G190="","",MONTH(G190))</f>
        <v/>
      </c>
      <c r="E190" s="63">
        <f>IF(G190="","",YEAR(G190))</f>
        <v/>
      </c>
      <c r="F190" s="33">
        <f>IF(G190="","",CHOOSE(MONTH(G190),"Janeiro","Fevereiro","Março","Abril","Maio","Junho","Julho","Agosto","Setembro","Outubro","Novembro","Dezembro"))</f>
        <v/>
      </c>
      <c r="G190" s="64" t="n">
        <v>46058</v>
      </c>
      <c r="H190" s="65" t="n">
        <v>0.09247685185185185</v>
      </c>
      <c r="I190" s="66" t="inlineStr">
        <is>
          <t>https://docs.google.com/spreadsheets/d/1ZiCGoPjLCjuYvujDTXK9Ixbth3tekiLtFBzBrGjPCr4/edit?gid=0#gid=0</t>
        </is>
      </c>
      <c r="J190" s="67" t="inlineStr">
        <is>
          <t>Viagem Calculada Incorretamente - [VCI]</t>
        </is>
      </c>
      <c r="K190" s="67" t="inlineStr"/>
      <c r="L190" s="68" t="b">
        <v>0</v>
      </c>
      <c r="M190" s="20" t="n"/>
      <c r="N190" s="69">
        <f>IF($J190="","",IFERROR(INDEX(B!$F$2:$F$61,MATCH($J190,B!$E$2:$E$61,0))&amp;"",""))</f>
        <v/>
      </c>
      <c r="O190" s="69">
        <f>IF($J190="","",IFERROR(INDEX(B!$G$2:$G$61,MATCH($J190,B!$E$2:$E$61,0))&amp;"",""))</f>
        <v/>
      </c>
      <c r="P190" s="69">
        <f>IF($J190="","",IFERROR(INDEX(B!$H$2:$H$61,MATCH($J190,B!$E$2:$E$61,0))&amp;"",""))</f>
        <v/>
      </c>
      <c r="Q190" s="69">
        <f>IF($J190="","",IFERROR(INDEX(B!$I$2:$I$61,MATCH($J190,B!$E$2:$E$61,0))&amp;"",""))</f>
        <v/>
      </c>
      <c r="R190" s="69">
        <f>IF($J190="","",IFERROR(INDEX(B!$J$2:$J$61,MATCH($J190,B!$E$2:$E$61,0))&amp;"",""))</f>
        <v/>
      </c>
      <c r="S190" s="69">
        <f>IF($J190="","",IFERROR(INDEX(B!$K$2:$K$61,MATCH($J190,B!$E$2:$E$61,0))&amp;"",""))</f>
        <v/>
      </c>
      <c r="T190" s="69">
        <f>IF($J190="","",IFERROR(INDEX(B!$L$2:$L$61,MATCH($J190,B!$E$2:$E$61,0))&amp;"",""))</f>
        <v/>
      </c>
      <c r="U190" s="20" t="n"/>
      <c r="V190" s="70">
        <f>IF($J190="","",IFERROR(INDEX(B!$M$2:$M$61,MATCH($J190,B!$E$2:$E$61,0))&amp;"",""))</f>
        <v/>
      </c>
      <c r="W190" s="71">
        <f>IF(I190="","",IFERROR(MID(I190,FIND("/d/",I190)+3,FIND("/edit",I190)-FIND("/d/",I190)-3),I190))</f>
        <v/>
      </c>
      <c r="X190" s="71">
        <f>IF($J190="","",IFERROR(INDEX(B!$C$2:$C$61,MATCH($J190,B!$E$2:$E$61,0))&amp;"",""))</f>
        <v/>
      </c>
      <c r="Y190" s="20" t="n"/>
      <c r="Z190" s="72">
        <f>IF($J190="",FALSE,ISNUMBER(SEARCH("scout",$K190)))</f>
        <v/>
      </c>
      <c r="AA190" s="72">
        <f>IF($J190="",FALSE,IFERROR(INDEX(B!$N$2:$N$61,MATCH($J190,B!$E$2:$E$61,0))="Sim",FALSE))</f>
        <v/>
      </c>
      <c r="AB190" s="72">
        <f>IF($J190="",FALSE,LEFT($X190,2)="XX")</f>
        <v/>
      </c>
      <c r="AC190" s="72">
        <f>IF($J190="",FALSE,IFERROR(INDEX(B!$P$2:$P$61,MATCH($J190,B!$E$2:$E$61,0))="Sim",FALSE))</f>
        <v/>
      </c>
      <c r="AD190" s="20" t="n"/>
      <c r="AE190" s="52">
        <f>IF(H190="","",HOUR(H190))</f>
        <v/>
      </c>
      <c r="AF190" s="52" t="n"/>
    </row>
    <row r="191" ht="19.5" customHeight="1" s="58">
      <c r="A191" s="62">
        <f>IF(G191="","",IF(G191=G190,"",COUNTIF($G$3:$G$976,G191)))</f>
        <v/>
      </c>
      <c r="B191" s="20" t="n"/>
      <c r="C191" s="63">
        <f>IF(G191="","",DAY(G191))</f>
        <v/>
      </c>
      <c r="D191" s="63">
        <f>IF(G191="","",MONTH(G191))</f>
        <v/>
      </c>
      <c r="E191" s="63">
        <f>IF(G191="","",YEAR(G191))</f>
        <v/>
      </c>
      <c r="F191" s="33">
        <f>IF(G191="","",CHOOSE(MONTH(G191),"Janeiro","Fevereiro","Março","Abril","Maio","Junho","Julho","Agosto","Setembro","Outubro","Novembro","Dezembro"))</f>
        <v/>
      </c>
      <c r="G191" s="64" t="n">
        <v>46058</v>
      </c>
      <c r="H191" s="65" t="n">
        <v>0.09620370370370371</v>
      </c>
      <c r="I191" s="66" t="inlineStr">
        <is>
          <t>https://docs.google.com/spreadsheets/d/1ZiCGoPjLCjuYvujDTXK9Ixbth3tekiLtFBzBrGjPCr4/edit?gid=0#gid=0</t>
        </is>
      </c>
      <c r="J191" s="67" t="inlineStr">
        <is>
          <t>No Need Response (Não precisa de resposta) - [NRN]</t>
        </is>
      </c>
      <c r="K191" s="67" t="inlineStr">
        <is>
          <t>Scout</t>
        </is>
      </c>
      <c r="L191" s="68" t="b">
        <v>0</v>
      </c>
      <c r="M191" s="20" t="n"/>
      <c r="N191" s="69">
        <f>IF($J191="","",IFERROR(INDEX(B!$F$2:$F$61,MATCH($J191,B!$E$2:$E$61,0))&amp;"",""))</f>
        <v/>
      </c>
      <c r="O191" s="69">
        <f>IF($J191="","",IFERROR(INDEX(B!$G$2:$G$61,MATCH($J191,B!$E$2:$E$61,0))&amp;"",""))</f>
        <v/>
      </c>
      <c r="P191" s="69">
        <f>IF($J191="","",IFERROR(INDEX(B!$H$2:$H$61,MATCH($J191,B!$E$2:$E$61,0))&amp;"",""))</f>
        <v/>
      </c>
      <c r="Q191" s="69">
        <f>IF($J191="","",IFERROR(INDEX(B!$I$2:$I$61,MATCH($J191,B!$E$2:$E$61,0))&amp;"",""))</f>
        <v/>
      </c>
      <c r="R191" s="69">
        <f>IF($J191="","",IFERROR(INDEX(B!$J$2:$J$61,MATCH($J191,B!$E$2:$E$61,0))&amp;"",""))</f>
        <v/>
      </c>
      <c r="S191" s="69">
        <f>IF($J191="","",IFERROR(INDEX(B!$K$2:$K$61,MATCH($J191,B!$E$2:$E$61,0))&amp;"",""))</f>
        <v/>
      </c>
      <c r="T191" s="69">
        <f>IF($J191="","",IFERROR(INDEX(B!$L$2:$L$61,MATCH($J191,B!$E$2:$E$61,0))&amp;"",""))</f>
        <v/>
      </c>
      <c r="U191" s="20" t="n"/>
      <c r="V191" s="70">
        <f>IF($J191="","",IFERROR(INDEX(B!$M$2:$M$61,MATCH($J191,B!$E$2:$E$61,0))&amp;"",""))</f>
        <v/>
      </c>
      <c r="W191" s="71">
        <f>IF(I191="","",IFERROR(MID(I191,FIND("/d/",I191)+3,FIND("/edit",I191)-FIND("/d/",I191)-3),I191))</f>
        <v/>
      </c>
      <c r="X191" s="71">
        <f>IF($J191="","",IFERROR(INDEX(B!$C$2:$C$61,MATCH($J191,B!$E$2:$E$61,0))&amp;"",""))</f>
        <v/>
      </c>
      <c r="Y191" s="20" t="n"/>
      <c r="Z191" s="72">
        <f>IF($J191="",FALSE,ISNUMBER(SEARCH("scout",$K191)))</f>
        <v/>
      </c>
      <c r="AA191" s="72">
        <f>IF($J191="",FALSE,IFERROR(INDEX(B!$N$2:$N$61,MATCH($J191,B!$E$2:$E$61,0))="Sim",FALSE))</f>
        <v/>
      </c>
      <c r="AB191" s="72">
        <f>IF($J191="",FALSE,LEFT($X191,2)="XX")</f>
        <v/>
      </c>
      <c r="AC191" s="72">
        <f>IF($J191="",FALSE,IFERROR(INDEX(B!$P$2:$P$61,MATCH($J191,B!$E$2:$E$61,0))="Sim",FALSE))</f>
        <v/>
      </c>
      <c r="AD191" s="20" t="n"/>
      <c r="AE191" s="52">
        <f>IF(H191="","",HOUR(H191))</f>
        <v/>
      </c>
      <c r="AF191" s="52" t="n"/>
    </row>
    <row r="192" ht="19.5" customHeight="1" s="58">
      <c r="A192" s="62">
        <f>IF(G192="","",IF(G192=G191,"",COUNTIF($G$3:$G$976,G192)))</f>
        <v/>
      </c>
      <c r="B192" s="20" t="n"/>
      <c r="C192" s="63">
        <f>IF(G192="","",DAY(G192))</f>
        <v/>
      </c>
      <c r="D192" s="63">
        <f>IF(G192="","",MONTH(G192))</f>
        <v/>
      </c>
      <c r="E192" s="63">
        <f>IF(G192="","",YEAR(G192))</f>
        <v/>
      </c>
      <c r="F192" s="33">
        <f>IF(G192="","",CHOOSE(MONTH(G192),"Janeiro","Fevereiro","Março","Abril","Maio","Junho","Julho","Agosto","Setembro","Outubro","Novembro","Dezembro"))</f>
        <v/>
      </c>
      <c r="G192" s="64" t="n">
        <v>46058</v>
      </c>
      <c r="H192" s="65" t="n">
        <v>0.09777777777777778</v>
      </c>
      <c r="I192" s="66" t="inlineStr">
        <is>
          <t>https://docs.google.com/spreadsheets/d/1ZiCGoPjLCjuYvujDTXK9Ixbth3tekiLtFBzBrGjPCr4/edit?gid=0#gid=0</t>
        </is>
      </c>
      <c r="J192" s="67" t="inlineStr">
        <is>
          <t>Pushback (Agradecimento) - [XXA]</t>
        </is>
      </c>
      <c r="K192" s="67" t="inlineStr">
        <is>
          <t>Scout</t>
        </is>
      </c>
      <c r="L192" s="68" t="b">
        <v>0</v>
      </c>
      <c r="M192" s="20" t="n"/>
      <c r="N192" s="69">
        <f>IF($J192="","",IFERROR(INDEX(B!$F$2:$F$61,MATCH($J192,B!$E$2:$E$61,0))&amp;"",""))</f>
        <v/>
      </c>
      <c r="O192" s="69">
        <f>IF($J192="","",IFERROR(INDEX(B!$G$2:$G$61,MATCH($J192,B!$E$2:$E$61,0))&amp;"",""))</f>
        <v/>
      </c>
      <c r="P192" s="69">
        <f>IF($J192="","",IFERROR(INDEX(B!$H$2:$H$61,MATCH($J192,B!$E$2:$E$61,0))&amp;"",""))</f>
        <v/>
      </c>
      <c r="Q192" s="69">
        <f>IF($J192="","",IFERROR(INDEX(B!$I$2:$I$61,MATCH($J192,B!$E$2:$E$61,0))&amp;"",""))</f>
        <v/>
      </c>
      <c r="R192" s="69">
        <f>IF($J192="","",IFERROR(INDEX(B!$J$2:$J$61,MATCH($J192,B!$E$2:$E$61,0))&amp;"",""))</f>
        <v/>
      </c>
      <c r="S192" s="69">
        <f>IF($J192="","",IFERROR(INDEX(B!$K$2:$K$61,MATCH($J192,B!$E$2:$E$61,0))&amp;"",""))</f>
        <v/>
      </c>
      <c r="T192" s="69">
        <f>IF($J192="","",IFERROR(INDEX(B!$L$2:$L$61,MATCH($J192,B!$E$2:$E$61,0))&amp;"",""))</f>
        <v/>
      </c>
      <c r="U192" s="20" t="n"/>
      <c r="V192" s="70">
        <f>IF($J192="","",IFERROR(INDEX(B!$M$2:$M$61,MATCH($J192,B!$E$2:$E$61,0))&amp;"",""))</f>
        <v/>
      </c>
      <c r="W192" s="71">
        <f>IF(I192="","",IFERROR(MID(I192,FIND("/d/",I192)+3,FIND("/edit",I192)-FIND("/d/",I192)-3),I192))</f>
        <v/>
      </c>
      <c r="X192" s="71">
        <f>IF($J192="","",IFERROR(INDEX(B!$C$2:$C$61,MATCH($J192,B!$E$2:$E$61,0))&amp;"",""))</f>
        <v/>
      </c>
      <c r="Y192" s="20" t="n"/>
      <c r="Z192" s="72">
        <f>IF($J192="",FALSE,ISNUMBER(SEARCH("scout",$K192)))</f>
        <v/>
      </c>
      <c r="AA192" s="72">
        <f>IF($J192="",FALSE,IFERROR(INDEX(B!$N$2:$N$61,MATCH($J192,B!$E$2:$E$61,0))="Sim",FALSE))</f>
        <v/>
      </c>
      <c r="AB192" s="72">
        <f>IF($J192="",FALSE,LEFT($X192,2)="XX")</f>
        <v/>
      </c>
      <c r="AC192" s="72">
        <f>IF($J192="",FALSE,IFERROR(INDEX(B!$P$2:$P$61,MATCH($J192,B!$E$2:$E$61,0))="Sim",FALSE))</f>
        <v/>
      </c>
      <c r="AD192" s="20" t="n"/>
      <c r="AE192" s="52">
        <f>IF(H192="","",HOUR(H192))</f>
        <v/>
      </c>
      <c r="AF192" s="52" t="n"/>
    </row>
    <row r="193" ht="19.5" customHeight="1" s="58">
      <c r="A193" s="62">
        <f>IF(G193="","",IF(G193=G192,"",COUNTIF($G$3:$G$976,G193)))</f>
        <v/>
      </c>
      <c r="B193" s="20" t="n"/>
      <c r="C193" s="63">
        <f>IF(G193="","",DAY(G193))</f>
        <v/>
      </c>
      <c r="D193" s="63">
        <f>IF(G193="","",MONTH(G193))</f>
        <v/>
      </c>
      <c r="E193" s="63">
        <f>IF(G193="","",YEAR(G193))</f>
        <v/>
      </c>
      <c r="F193" s="33">
        <f>IF(G193="","",CHOOSE(MONTH(G193),"Janeiro","Fevereiro","Março","Abril","Maio","Junho","Julho","Agosto","Setembro","Outubro","Novembro","Dezembro"))</f>
        <v/>
      </c>
      <c r="G193" s="64" t="n">
        <v>46058</v>
      </c>
      <c r="H193" s="65" t="n">
        <v>0.1024189814814815</v>
      </c>
      <c r="I193" s="66" t="inlineStr">
        <is>
          <t>https://docs.google.com/spreadsheets/d/1ZiCGoPjLCjuYvujDTXK9Ixbth3tekiLtFBzBrGjPCr4/edit?gid=0#gid=0</t>
        </is>
      </c>
      <c r="J193" s="67" t="inlineStr">
        <is>
          <t>Erro de Gps (Problema Técnico) - [GPS]</t>
        </is>
      </c>
      <c r="K193" s="67" t="inlineStr"/>
      <c r="L193" s="68" t="b">
        <v>0</v>
      </c>
      <c r="M193" s="20" t="n"/>
      <c r="N193" s="69">
        <f>IF($J193="","",IFERROR(INDEX(B!$F$2:$F$61,MATCH($J193,B!$E$2:$E$61,0))&amp;"",""))</f>
        <v/>
      </c>
      <c r="O193" s="69">
        <f>IF($J193="","",IFERROR(INDEX(B!$G$2:$G$61,MATCH($J193,B!$E$2:$E$61,0))&amp;"",""))</f>
        <v/>
      </c>
      <c r="P193" s="69">
        <f>IF($J193="","",IFERROR(INDEX(B!$H$2:$H$61,MATCH($J193,B!$E$2:$E$61,0))&amp;"",""))</f>
        <v/>
      </c>
      <c r="Q193" s="69">
        <f>IF($J193="","",IFERROR(INDEX(B!$I$2:$I$61,MATCH($J193,B!$E$2:$E$61,0))&amp;"",""))</f>
        <v/>
      </c>
      <c r="R193" s="69">
        <f>IF($J193="","",IFERROR(INDEX(B!$J$2:$J$61,MATCH($J193,B!$E$2:$E$61,0))&amp;"",""))</f>
        <v/>
      </c>
      <c r="S193" s="69">
        <f>IF($J193="","",IFERROR(INDEX(B!$K$2:$K$61,MATCH($J193,B!$E$2:$E$61,0))&amp;"",""))</f>
        <v/>
      </c>
      <c r="T193" s="69">
        <f>IF($J193="","",IFERROR(INDEX(B!$L$2:$L$61,MATCH($J193,B!$E$2:$E$61,0))&amp;"",""))</f>
        <v/>
      </c>
      <c r="U193" s="20" t="n"/>
      <c r="V193" s="70">
        <f>IF($J193="","",IFERROR(INDEX(B!$M$2:$M$61,MATCH($J193,B!$E$2:$E$61,0))&amp;"",""))</f>
        <v/>
      </c>
      <c r="W193" s="71">
        <f>IF(I193="","",IFERROR(MID(I193,FIND("/d/",I193)+3,FIND("/edit",I193)-FIND("/d/",I193)-3),I193))</f>
        <v/>
      </c>
      <c r="X193" s="71">
        <f>IF($J193="","",IFERROR(INDEX(B!$C$2:$C$61,MATCH($J193,B!$E$2:$E$61,0))&amp;"",""))</f>
        <v/>
      </c>
      <c r="Y193" s="20" t="n"/>
      <c r="Z193" s="72">
        <f>IF($J193="",FALSE,ISNUMBER(SEARCH("scout",$K193)))</f>
        <v/>
      </c>
      <c r="AA193" s="72">
        <f>IF($J193="",FALSE,IFERROR(INDEX(B!$N$2:$N$61,MATCH($J193,B!$E$2:$E$61,0))="Sim",FALSE))</f>
        <v/>
      </c>
      <c r="AB193" s="72">
        <f>IF($J193="",FALSE,LEFT($X193,2)="XX")</f>
        <v/>
      </c>
      <c r="AC193" s="72">
        <f>IF($J193="",FALSE,IFERROR(INDEX(B!$P$2:$P$61,MATCH($J193,B!$E$2:$E$61,0))="Sim",FALSE))</f>
        <v/>
      </c>
      <c r="AD193" s="20" t="n"/>
      <c r="AE193" s="52">
        <f>IF(H193="","",HOUR(H193))</f>
        <v/>
      </c>
      <c r="AF193" s="52" t="n"/>
    </row>
    <row r="194" ht="19.5" customHeight="1" s="58">
      <c r="A194" s="62">
        <f>IF(G194="","",IF(G194=G193,"",COUNTIF($G$3:$G$976,G194)))</f>
        <v/>
      </c>
      <c r="B194" s="20" t="n"/>
      <c r="C194" s="63">
        <f>IF(G194="","",DAY(G194))</f>
        <v/>
      </c>
      <c r="D194" s="63">
        <f>IF(G194="","",MONTH(G194))</f>
        <v/>
      </c>
      <c r="E194" s="63">
        <f>IF(G194="","",YEAR(G194))</f>
        <v/>
      </c>
      <c r="F194" s="33">
        <f>IF(G194="","",CHOOSE(MONTH(G194),"Janeiro","Fevereiro","Março","Abril","Maio","Junho","Julho","Agosto","Setembro","Outubro","Novembro","Dezembro"))</f>
        <v/>
      </c>
      <c r="G194" s="64" t="n">
        <v>46058</v>
      </c>
      <c r="H194" s="65" t="n">
        <v>0.1026967592592593</v>
      </c>
      <c r="I194" s="66" t="inlineStr">
        <is>
          <t>https://docs.google.com/spreadsheets/d/1ZiCGoPjLCjuYvujDTXK9Ixbth3tekiLtFBzBrGjPCr4/edit?gid=0#gid=0</t>
        </is>
      </c>
      <c r="J194" s="67" t="inlineStr">
        <is>
          <t>Outros Valores Retidos (Pedágio, Cartão, Taxa de Cancelamento...) - [OTV]</t>
        </is>
      </c>
      <c r="K194" s="67" t="inlineStr">
        <is>
          <t>Scout</t>
        </is>
      </c>
      <c r="L194" s="68" t="b">
        <v>1</v>
      </c>
      <c r="M194" s="20" t="n"/>
      <c r="N194" s="69">
        <f>IF($J194="","",IFERROR(INDEX(B!$F$2:$F$61,MATCH($J194,B!$E$2:$E$61,0))&amp;"",""))</f>
        <v/>
      </c>
      <c r="O194" s="69">
        <f>IF($J194="","",IFERROR(INDEX(B!$G$2:$G$61,MATCH($J194,B!$E$2:$E$61,0))&amp;"",""))</f>
        <v/>
      </c>
      <c r="P194" s="69">
        <f>IF($J194="","",IFERROR(INDEX(B!$H$2:$H$61,MATCH($J194,B!$E$2:$E$61,0))&amp;"",""))</f>
        <v/>
      </c>
      <c r="Q194" s="69">
        <f>IF($J194="","",IFERROR(INDEX(B!$I$2:$I$61,MATCH($J194,B!$E$2:$E$61,0))&amp;"",""))</f>
        <v/>
      </c>
      <c r="R194" s="69">
        <f>IF($J194="","",IFERROR(INDEX(B!$J$2:$J$61,MATCH($J194,B!$E$2:$E$61,0))&amp;"",""))</f>
        <v/>
      </c>
      <c r="S194" s="69">
        <f>IF($J194="","",IFERROR(INDEX(B!$K$2:$K$61,MATCH($J194,B!$E$2:$E$61,0))&amp;"",""))</f>
        <v/>
      </c>
      <c r="T194" s="69">
        <f>IF($J194="","",IFERROR(INDEX(B!$L$2:$L$61,MATCH($J194,B!$E$2:$E$61,0))&amp;"",""))</f>
        <v/>
      </c>
      <c r="U194" s="20" t="n"/>
      <c r="V194" s="70">
        <f>IF($J194="","",IFERROR(INDEX(B!$M$2:$M$61,MATCH($J194,B!$E$2:$E$61,0))&amp;"",""))</f>
        <v/>
      </c>
      <c r="W194" s="71">
        <f>IF(I194="","",IFERROR(MID(I194,FIND("/d/",I194)+3,FIND("/edit",I194)-FIND("/d/",I194)-3),I194))</f>
        <v/>
      </c>
      <c r="X194" s="71">
        <f>IF($J194="","",IFERROR(INDEX(B!$C$2:$C$61,MATCH($J194,B!$E$2:$E$61,0))&amp;"",""))</f>
        <v/>
      </c>
      <c r="Y194" s="20" t="n"/>
      <c r="Z194" s="72">
        <f>IF($J194="",FALSE,ISNUMBER(SEARCH("scout",$K194)))</f>
        <v/>
      </c>
      <c r="AA194" s="72">
        <f>IF($J194="",FALSE,IFERROR(INDEX(B!$N$2:$N$61,MATCH($J194,B!$E$2:$E$61,0))="Sim",FALSE))</f>
        <v/>
      </c>
      <c r="AB194" s="72">
        <f>IF($J194="",FALSE,LEFT($X194,2)="XX")</f>
        <v/>
      </c>
      <c r="AC194" s="72">
        <f>IF($J194="",FALSE,IFERROR(INDEX(B!$P$2:$P$61,MATCH($J194,B!$E$2:$E$61,0))="Sim",FALSE))</f>
        <v/>
      </c>
      <c r="AD194" s="20" t="n"/>
      <c r="AE194" s="52">
        <f>IF(H194="","",HOUR(H194))</f>
        <v/>
      </c>
      <c r="AF194" s="52" t="n"/>
    </row>
    <row r="195" ht="19.5" customHeight="1" s="58">
      <c r="A195" s="62">
        <f>IF(G195="","",IF(G195=G194,"",COUNTIF($G$3:$G$976,G195)))</f>
        <v/>
      </c>
      <c r="B195" s="20" t="n"/>
      <c r="C195" s="63">
        <f>IF(G195="","",DAY(G195))</f>
        <v/>
      </c>
      <c r="D195" s="63">
        <f>IF(G195="","",MONTH(G195))</f>
        <v/>
      </c>
      <c r="E195" s="63">
        <f>IF(G195="","",YEAR(G195))</f>
        <v/>
      </c>
      <c r="F195" s="33">
        <f>IF(G195="","",CHOOSE(MONTH(G195),"Janeiro","Fevereiro","Março","Abril","Maio","Junho","Julho","Agosto","Setembro","Outubro","Novembro","Dezembro"))</f>
        <v/>
      </c>
      <c r="G195" s="64" t="n">
        <v>46058</v>
      </c>
      <c r="H195" s="65" t="n">
        <v>0.1096296296296296</v>
      </c>
      <c r="I195" s="66" t="inlineStr">
        <is>
          <t>https://docs.google.com/spreadsheets/d/1ZiCGoPjLCjuYvujDTXK9Ixbth3tekiLtFBzBrGjPCr4/edit?gid=0#gid=0</t>
        </is>
      </c>
      <c r="J195" s="67" t="inlineStr">
        <is>
          <t>Overpaid, Não excede o limite, Sem comprovante - [OPNN]</t>
        </is>
      </c>
      <c r="K195" s="67" t="inlineStr">
        <is>
          <t>Scout</t>
        </is>
      </c>
      <c r="L195" s="68" t="b">
        <v>0</v>
      </c>
      <c r="M195" s="20" t="n"/>
      <c r="N195" s="69">
        <f>IF($J195="","",IFERROR(INDEX(B!$F$2:$F$61,MATCH($J195,B!$E$2:$E$61,0))&amp;"",""))</f>
        <v/>
      </c>
      <c r="O195" s="69">
        <f>IF($J195="","",IFERROR(INDEX(B!$G$2:$G$61,MATCH($J195,B!$E$2:$E$61,0))&amp;"",""))</f>
        <v/>
      </c>
      <c r="P195" s="69">
        <f>IF($J195="","",IFERROR(INDEX(B!$H$2:$H$61,MATCH($J195,B!$E$2:$E$61,0))&amp;"",""))</f>
        <v/>
      </c>
      <c r="Q195" s="69">
        <f>IF($J195="","",IFERROR(INDEX(B!$I$2:$I$61,MATCH($J195,B!$E$2:$E$61,0))&amp;"",""))</f>
        <v/>
      </c>
      <c r="R195" s="69">
        <f>IF($J195="","",IFERROR(INDEX(B!$J$2:$J$61,MATCH($J195,B!$E$2:$E$61,0))&amp;"",""))</f>
        <v/>
      </c>
      <c r="S195" s="69">
        <f>IF($J195="","",IFERROR(INDEX(B!$K$2:$K$61,MATCH($J195,B!$E$2:$E$61,0))&amp;"",""))</f>
        <v/>
      </c>
      <c r="T195" s="69">
        <f>IF($J195="","",IFERROR(INDEX(B!$L$2:$L$61,MATCH($J195,B!$E$2:$E$61,0))&amp;"",""))</f>
        <v/>
      </c>
      <c r="U195" s="20" t="n"/>
      <c r="V195" s="70">
        <f>IF($J195="","",IFERROR(INDEX(B!$M$2:$M$61,MATCH($J195,B!$E$2:$E$61,0))&amp;"",""))</f>
        <v/>
      </c>
      <c r="W195" s="71">
        <f>IF(I195="","",IFERROR(MID(I195,FIND("/d/",I195)+3,FIND("/edit",I195)-FIND("/d/",I195)-3),I195))</f>
        <v/>
      </c>
      <c r="X195" s="71">
        <f>IF($J195="","",IFERROR(INDEX(B!$C$2:$C$61,MATCH($J195,B!$E$2:$E$61,0))&amp;"",""))</f>
        <v/>
      </c>
      <c r="Y195" s="20" t="n"/>
      <c r="Z195" s="72">
        <f>IF($J195="",FALSE,ISNUMBER(SEARCH("scout",$K195)))</f>
        <v/>
      </c>
      <c r="AA195" s="72">
        <f>IF($J195="",FALSE,IFERROR(INDEX(B!$N$2:$N$61,MATCH($J195,B!$E$2:$E$61,0))="Sim",FALSE))</f>
        <v/>
      </c>
      <c r="AB195" s="72">
        <f>IF($J195="",FALSE,LEFT($X195,2)="XX")</f>
        <v/>
      </c>
      <c r="AC195" s="72">
        <f>IF($J195="",FALSE,IFERROR(INDEX(B!$P$2:$P$61,MATCH($J195,B!$E$2:$E$61,0))="Sim",FALSE))</f>
        <v/>
      </c>
      <c r="AD195" s="20" t="n"/>
      <c r="AE195" s="52">
        <f>IF(H195="","",HOUR(H195))</f>
        <v/>
      </c>
      <c r="AF195" s="52" t="n"/>
    </row>
    <row r="196" ht="19.5" customHeight="1" s="58">
      <c r="A196" s="62">
        <f>IF(G196="","",IF(G196=G195,"",COUNTIF($G$3:$G$976,G196)))</f>
        <v/>
      </c>
      <c r="B196" s="20" t="n"/>
      <c r="C196" s="63">
        <f>IF(G196="","",DAY(G196))</f>
        <v/>
      </c>
      <c r="D196" s="63">
        <f>IF(G196="","",MONTH(G196))</f>
        <v/>
      </c>
      <c r="E196" s="63">
        <f>IF(G196="","",YEAR(G196))</f>
        <v/>
      </c>
      <c r="F196" s="33">
        <f>IF(G196="","",CHOOSE(MONTH(G196),"Janeiro","Fevereiro","Março","Abril","Maio","Junho","Julho","Agosto","Setembro","Outubro","Novembro","Dezembro"))</f>
        <v/>
      </c>
      <c r="G196" s="64" t="n">
        <v>46058</v>
      </c>
      <c r="H196" s="65" t="n">
        <v>0.1142013888888889</v>
      </c>
      <c r="I196" s="66" t="inlineStr">
        <is>
          <t>https://docs.google.com/spreadsheets/d/1ZiCGoPjLCjuYvujDTXK9Ixbth3tekiLtFBzBrGjPCr4/edit?gid=0#gid=0</t>
        </is>
      </c>
      <c r="J196" s="67" t="inlineStr">
        <is>
          <t>Transferência de LOB (Geral não especificado) - [TI]</t>
        </is>
      </c>
      <c r="K196" s="67" t="inlineStr"/>
      <c r="L196" s="68" t="b">
        <v>0</v>
      </c>
      <c r="M196" s="20" t="n"/>
      <c r="N196" s="69">
        <f>IF($J196="","",IFERROR(INDEX(B!$F$2:$F$61,MATCH($J196,B!$E$2:$E$61,0))&amp;"",""))</f>
        <v/>
      </c>
      <c r="O196" s="69">
        <f>IF($J196="","",IFERROR(INDEX(B!$G$2:$G$61,MATCH($J196,B!$E$2:$E$61,0))&amp;"",""))</f>
        <v/>
      </c>
      <c r="P196" s="69">
        <f>IF($J196="","",IFERROR(INDEX(B!$H$2:$H$61,MATCH($J196,B!$E$2:$E$61,0))&amp;"",""))</f>
        <v/>
      </c>
      <c r="Q196" s="69">
        <f>IF($J196="","",IFERROR(INDEX(B!$I$2:$I$61,MATCH($J196,B!$E$2:$E$61,0))&amp;"",""))</f>
        <v/>
      </c>
      <c r="R196" s="69">
        <f>IF($J196="","",IFERROR(INDEX(B!$J$2:$J$61,MATCH($J196,B!$E$2:$E$61,0))&amp;"",""))</f>
        <v/>
      </c>
      <c r="S196" s="69">
        <f>IF($J196="","",IFERROR(INDEX(B!$K$2:$K$61,MATCH($J196,B!$E$2:$E$61,0))&amp;"",""))</f>
        <v/>
      </c>
      <c r="T196" s="69">
        <f>IF($J196="","",IFERROR(INDEX(B!$L$2:$L$61,MATCH($J196,B!$E$2:$E$61,0))&amp;"",""))</f>
        <v/>
      </c>
      <c r="U196" s="20" t="n"/>
      <c r="V196" s="70">
        <f>IF($J196="","",IFERROR(INDEX(B!$M$2:$M$61,MATCH($J196,B!$E$2:$E$61,0))&amp;"",""))</f>
        <v/>
      </c>
      <c r="W196" s="71">
        <f>IF(I196="","",IFERROR(MID(I196,FIND("/d/",I196)+3,FIND("/edit",I196)-FIND("/d/",I196)-3),I196))</f>
        <v/>
      </c>
      <c r="X196" s="71">
        <f>IF($J196="","",IFERROR(INDEX(B!$C$2:$C$61,MATCH($J196,B!$E$2:$E$61,0))&amp;"",""))</f>
        <v/>
      </c>
      <c r="Y196" s="20" t="n"/>
      <c r="Z196" s="72">
        <f>IF($J196="",FALSE,ISNUMBER(SEARCH("scout",$K196)))</f>
        <v/>
      </c>
      <c r="AA196" s="72">
        <f>IF($J196="",FALSE,IFERROR(INDEX(B!$N$2:$N$61,MATCH($J196,B!$E$2:$E$61,0))="Sim",FALSE))</f>
        <v/>
      </c>
      <c r="AB196" s="72">
        <f>IF($J196="",FALSE,LEFT($X196,2)="XX")</f>
        <v/>
      </c>
      <c r="AC196" s="72">
        <f>IF($J196="",FALSE,IFERROR(INDEX(B!$P$2:$P$61,MATCH($J196,B!$E$2:$E$61,0))="Sim",FALSE))</f>
        <v/>
      </c>
      <c r="AD196" s="20" t="n"/>
      <c r="AE196" s="52">
        <f>IF(H196="","",HOUR(H196))</f>
        <v/>
      </c>
      <c r="AF196" s="52" t="n"/>
    </row>
    <row r="197" ht="19.5" customHeight="1" s="58">
      <c r="A197" s="62">
        <f>IF(G197="","",IF(G197=G196,"",COUNTIF($G$3:$G$976,G197)))</f>
        <v/>
      </c>
      <c r="B197" s="20" t="n"/>
      <c r="C197" s="63">
        <f>IF(G197="","",DAY(G197))</f>
        <v/>
      </c>
      <c r="D197" s="63">
        <f>IF(G197="","",MONTH(G197))</f>
        <v/>
      </c>
      <c r="E197" s="63">
        <f>IF(G197="","",YEAR(G197))</f>
        <v/>
      </c>
      <c r="F197" s="33">
        <f>IF(G197="","",CHOOSE(MONTH(G197),"Janeiro","Fevereiro","Março","Abril","Maio","Junho","Julho","Agosto","Setembro","Outubro","Novembro","Dezembro"))</f>
        <v/>
      </c>
      <c r="G197" s="64" t="n">
        <v>46058</v>
      </c>
      <c r="H197" s="65" t="n">
        <v>0.1153356481481481</v>
      </c>
      <c r="I197" s="66" t="inlineStr">
        <is>
          <t>https://docs.google.com/spreadsheets/d/1ZiCGoPjLCjuYvujDTXK9Ixbth3tekiLtFBzBrGjPCr4/edit?gid=0#gid=0</t>
        </is>
      </c>
      <c r="J197" s="67" t="inlineStr">
        <is>
          <t>Mais informações Gerais - [AA]</t>
        </is>
      </c>
      <c r="K197" s="67" t="inlineStr"/>
      <c r="L197" s="68" t="b">
        <v>0</v>
      </c>
      <c r="M197" s="20" t="n"/>
      <c r="N197" s="69">
        <f>IF($J197="","",IFERROR(INDEX(B!$F$2:$F$61,MATCH($J197,B!$E$2:$E$61,0))&amp;"",""))</f>
        <v/>
      </c>
      <c r="O197" s="69">
        <f>IF($J197="","",IFERROR(INDEX(B!$G$2:$G$61,MATCH($J197,B!$E$2:$E$61,0))&amp;"",""))</f>
        <v/>
      </c>
      <c r="P197" s="69">
        <f>IF($J197="","",IFERROR(INDEX(B!$H$2:$H$61,MATCH($J197,B!$E$2:$E$61,0))&amp;"",""))</f>
        <v/>
      </c>
      <c r="Q197" s="69">
        <f>IF($J197="","",IFERROR(INDEX(B!$I$2:$I$61,MATCH($J197,B!$E$2:$E$61,0))&amp;"",""))</f>
        <v/>
      </c>
      <c r="R197" s="69">
        <f>IF($J197="","",IFERROR(INDEX(B!$J$2:$J$61,MATCH($J197,B!$E$2:$E$61,0))&amp;"",""))</f>
        <v/>
      </c>
      <c r="S197" s="69">
        <f>IF($J197="","",IFERROR(INDEX(B!$K$2:$K$61,MATCH($J197,B!$E$2:$E$61,0))&amp;"",""))</f>
        <v/>
      </c>
      <c r="T197" s="69">
        <f>IF($J197="","",IFERROR(INDEX(B!$L$2:$L$61,MATCH($J197,B!$E$2:$E$61,0))&amp;"",""))</f>
        <v/>
      </c>
      <c r="U197" s="20" t="n"/>
      <c r="V197" s="70">
        <f>IF($J197="","",IFERROR(INDEX(B!$M$2:$M$61,MATCH($J197,B!$E$2:$E$61,0))&amp;"",""))</f>
        <v/>
      </c>
      <c r="W197" s="71">
        <f>IF(I197="","",IFERROR(MID(I197,FIND("/d/",I197)+3,FIND("/edit",I197)-FIND("/d/",I197)-3),I197))</f>
        <v/>
      </c>
      <c r="X197" s="71">
        <f>IF($J197="","",IFERROR(INDEX(B!$C$2:$C$61,MATCH($J197,B!$E$2:$E$61,0))&amp;"",""))</f>
        <v/>
      </c>
      <c r="Y197" s="20" t="n"/>
      <c r="Z197" s="72">
        <f>IF($J197="",FALSE,ISNUMBER(SEARCH("scout",$K197)))</f>
        <v/>
      </c>
      <c r="AA197" s="72">
        <f>IF($J197="",FALSE,IFERROR(INDEX(B!$N$2:$N$61,MATCH($J197,B!$E$2:$E$61,0))="Sim",FALSE))</f>
        <v/>
      </c>
      <c r="AB197" s="72">
        <f>IF($J197="",FALSE,LEFT($X197,2)="XX")</f>
        <v/>
      </c>
      <c r="AC197" s="72">
        <f>IF($J197="",FALSE,IFERROR(INDEX(B!$P$2:$P$61,MATCH($J197,B!$E$2:$E$61,0))="Sim",FALSE))</f>
        <v/>
      </c>
      <c r="AD197" s="20" t="n"/>
      <c r="AE197" s="52">
        <f>IF(H197="","",HOUR(H197))</f>
        <v/>
      </c>
      <c r="AF197" s="52" t="n"/>
    </row>
    <row r="198" ht="19.5" customHeight="1" s="58">
      <c r="A198" s="62">
        <f>IF(G198="","",IF(G198=G197,"",COUNTIF($G$3:$G$976,G198)))</f>
        <v/>
      </c>
      <c r="B198" s="20" t="n"/>
      <c r="C198" s="63">
        <f>IF(G198="","",DAY(G198))</f>
        <v/>
      </c>
      <c r="D198" s="63">
        <f>IF(G198="","",MONTH(G198))</f>
        <v/>
      </c>
      <c r="E198" s="63">
        <f>IF(G198="","",YEAR(G198))</f>
        <v/>
      </c>
      <c r="F198" s="33">
        <f>IF(G198="","",CHOOSE(MONTH(G198),"Janeiro","Fevereiro","Março","Abril","Maio","Junho","Julho","Agosto","Setembro","Outubro","Novembro","Dezembro"))</f>
        <v/>
      </c>
      <c r="G198" s="64" t="n">
        <v>46058</v>
      </c>
      <c r="H198" s="65" t="n">
        <v>0.1348842592592593</v>
      </c>
      <c r="I198" s="66" t="inlineStr">
        <is>
          <t>https://docs.google.com/spreadsheets/d/1ZiCGoPjLCjuYvujDTXK9Ixbth3tekiLtFBzBrGjPCr4/edit?gid=0#gid=0</t>
        </is>
      </c>
      <c r="J198" s="67" t="inlineStr">
        <is>
          <t>Mais informações Gerais - [AA]</t>
        </is>
      </c>
      <c r="K198" s="67" t="inlineStr"/>
      <c r="L198" s="68" t="b">
        <v>0</v>
      </c>
      <c r="M198" s="20" t="n"/>
      <c r="N198" s="69">
        <f>IF($J198="","",IFERROR(INDEX(B!$F$2:$F$61,MATCH($J198,B!$E$2:$E$61,0))&amp;"",""))</f>
        <v/>
      </c>
      <c r="O198" s="69">
        <f>IF($J198="","",IFERROR(INDEX(B!$G$2:$G$61,MATCH($J198,B!$E$2:$E$61,0))&amp;"",""))</f>
        <v/>
      </c>
      <c r="P198" s="69">
        <f>IF($J198="","",IFERROR(INDEX(B!$H$2:$H$61,MATCH($J198,B!$E$2:$E$61,0))&amp;"",""))</f>
        <v/>
      </c>
      <c r="Q198" s="69">
        <f>IF($J198="","",IFERROR(INDEX(B!$I$2:$I$61,MATCH($J198,B!$E$2:$E$61,0))&amp;"",""))</f>
        <v/>
      </c>
      <c r="R198" s="69">
        <f>IF($J198="","",IFERROR(INDEX(B!$J$2:$J$61,MATCH($J198,B!$E$2:$E$61,0))&amp;"",""))</f>
        <v/>
      </c>
      <c r="S198" s="69">
        <f>IF($J198="","",IFERROR(INDEX(B!$K$2:$K$61,MATCH($J198,B!$E$2:$E$61,0))&amp;"",""))</f>
        <v/>
      </c>
      <c r="T198" s="69">
        <f>IF($J198="","",IFERROR(INDEX(B!$L$2:$L$61,MATCH($J198,B!$E$2:$E$61,0))&amp;"",""))</f>
        <v/>
      </c>
      <c r="U198" s="20" t="n"/>
      <c r="V198" s="70">
        <f>IF($J198="","",IFERROR(INDEX(B!$M$2:$M$61,MATCH($J198,B!$E$2:$E$61,0))&amp;"",""))</f>
        <v/>
      </c>
      <c r="W198" s="71">
        <f>IF(I198="","",IFERROR(MID(I198,FIND("/d/",I198)+3,FIND("/edit",I198)-FIND("/d/",I198)-3),I198))</f>
        <v/>
      </c>
      <c r="X198" s="71">
        <f>IF($J198="","",IFERROR(INDEX(B!$C$2:$C$61,MATCH($J198,B!$E$2:$E$61,0))&amp;"",""))</f>
        <v/>
      </c>
      <c r="Y198" s="20" t="n"/>
      <c r="Z198" s="72">
        <f>IF($J198="",FALSE,ISNUMBER(SEARCH("scout",$K198)))</f>
        <v/>
      </c>
      <c r="AA198" s="72">
        <f>IF($J198="",FALSE,IFERROR(INDEX(B!$N$2:$N$61,MATCH($J198,B!$E$2:$E$61,0))="Sim",FALSE))</f>
        <v/>
      </c>
      <c r="AB198" s="72">
        <f>IF($J198="",FALSE,LEFT($X198,2)="XX")</f>
        <v/>
      </c>
      <c r="AC198" s="72">
        <f>IF($J198="",FALSE,IFERROR(INDEX(B!$P$2:$P$61,MATCH($J198,B!$E$2:$E$61,0))="Sim",FALSE))</f>
        <v/>
      </c>
      <c r="AD198" s="20" t="n"/>
      <c r="AE198" s="52">
        <f>IF(H198="","",HOUR(H198))</f>
        <v/>
      </c>
      <c r="AF198" s="52" t="n"/>
    </row>
    <row r="199" ht="19.5" customHeight="1" s="58">
      <c r="A199" s="62">
        <f>IF(G199="","",IF(G199=G198,"",COUNTIF($G$3:$G$976,G199)))</f>
        <v/>
      </c>
      <c r="B199" s="20" t="n"/>
      <c r="C199" s="63">
        <f>IF(G199="","",DAY(G199))</f>
        <v/>
      </c>
      <c r="D199" s="63">
        <f>IF(G199="","",MONTH(G199))</f>
        <v/>
      </c>
      <c r="E199" s="63">
        <f>IF(G199="","",YEAR(G199))</f>
        <v/>
      </c>
      <c r="F199" s="33">
        <f>IF(G199="","",CHOOSE(MONTH(G199),"Janeiro","Fevereiro","Março","Abril","Maio","Junho","Julho","Agosto","Setembro","Outubro","Novembro","Dezembro"))</f>
        <v/>
      </c>
      <c r="G199" s="64" t="n">
        <v>46058</v>
      </c>
      <c r="H199" s="65" t="n">
        <v>0.1350810185185185</v>
      </c>
      <c r="I199" s="66" t="inlineStr">
        <is>
          <t>https://docs.google.com/spreadsheets/d/1ZiCGoPjLCjuYvujDTXK9Ixbth3tekiLtFBzBrGjPCr4/edit?gid=0#gid=0</t>
        </is>
      </c>
      <c r="J199" s="67" t="inlineStr">
        <is>
          <t>Transferência de LOB (Profissionalismo) - [TIPR]</t>
        </is>
      </c>
      <c r="K199" s="67" t="inlineStr">
        <is>
          <t>Scout</t>
        </is>
      </c>
      <c r="L199" s="68" t="b">
        <v>0</v>
      </c>
      <c r="M199" s="20" t="n"/>
      <c r="N199" s="69">
        <f>IF($J199="","",IFERROR(INDEX(B!$F$2:$F$61,MATCH($J199,B!$E$2:$E$61,0))&amp;"",""))</f>
        <v/>
      </c>
      <c r="O199" s="69">
        <f>IF($J199="","",IFERROR(INDEX(B!$G$2:$G$61,MATCH($J199,B!$E$2:$E$61,0))&amp;"",""))</f>
        <v/>
      </c>
      <c r="P199" s="69">
        <f>IF($J199="","",IFERROR(INDEX(B!$H$2:$H$61,MATCH($J199,B!$E$2:$E$61,0))&amp;"",""))</f>
        <v/>
      </c>
      <c r="Q199" s="69">
        <f>IF($J199="","",IFERROR(INDEX(B!$I$2:$I$61,MATCH($J199,B!$E$2:$E$61,0))&amp;"",""))</f>
        <v/>
      </c>
      <c r="R199" s="69">
        <f>IF($J199="","",IFERROR(INDEX(B!$J$2:$J$61,MATCH($J199,B!$E$2:$E$61,0))&amp;"",""))</f>
        <v/>
      </c>
      <c r="S199" s="69">
        <f>IF($J199="","",IFERROR(INDEX(B!$K$2:$K$61,MATCH($J199,B!$E$2:$E$61,0))&amp;"",""))</f>
        <v/>
      </c>
      <c r="T199" s="69">
        <f>IF($J199="","",IFERROR(INDEX(B!$L$2:$L$61,MATCH($J199,B!$E$2:$E$61,0))&amp;"",""))</f>
        <v/>
      </c>
      <c r="U199" s="20" t="n"/>
      <c r="V199" s="70">
        <f>IF($J199="","",IFERROR(INDEX(B!$M$2:$M$61,MATCH($J199,B!$E$2:$E$61,0))&amp;"",""))</f>
        <v/>
      </c>
      <c r="W199" s="71">
        <f>IF(I199="","",IFERROR(MID(I199,FIND("/d/",I199)+3,FIND("/edit",I199)-FIND("/d/",I199)-3),I199))</f>
        <v/>
      </c>
      <c r="X199" s="71">
        <f>IF($J199="","",IFERROR(INDEX(B!$C$2:$C$61,MATCH($J199,B!$E$2:$E$61,0))&amp;"",""))</f>
        <v/>
      </c>
      <c r="Y199" s="20" t="n"/>
      <c r="Z199" s="72">
        <f>IF($J199="",FALSE,ISNUMBER(SEARCH("scout",$K199)))</f>
        <v/>
      </c>
      <c r="AA199" s="72">
        <f>IF($J199="",FALSE,IFERROR(INDEX(B!$N$2:$N$61,MATCH($J199,B!$E$2:$E$61,0))="Sim",FALSE))</f>
        <v/>
      </c>
      <c r="AB199" s="72">
        <f>IF($J199="",FALSE,LEFT($X199,2)="XX")</f>
        <v/>
      </c>
      <c r="AC199" s="72">
        <f>IF($J199="",FALSE,IFERROR(INDEX(B!$P$2:$P$61,MATCH($J199,B!$E$2:$E$61,0))="Sim",FALSE))</f>
        <v/>
      </c>
      <c r="AD199" s="20" t="n"/>
      <c r="AE199" s="52">
        <f>IF(H199="","",HOUR(H199))</f>
        <v/>
      </c>
      <c r="AF199" s="52" t="n"/>
    </row>
    <row r="200" ht="19.5" customHeight="1" s="58">
      <c r="A200" s="62">
        <f>IF(G200="","",IF(G200=G199,"",COUNTIF($G$3:$G$976,G200)))</f>
        <v/>
      </c>
      <c r="B200" s="20" t="n"/>
      <c r="C200" s="63">
        <f>IF(G200="","",DAY(G200))</f>
        <v/>
      </c>
      <c r="D200" s="63">
        <f>IF(G200="","",MONTH(G200))</f>
        <v/>
      </c>
      <c r="E200" s="63">
        <f>IF(G200="","",YEAR(G200))</f>
        <v/>
      </c>
      <c r="F200" s="33">
        <f>IF(G200="","",CHOOSE(MONTH(G200),"Janeiro","Fevereiro","Março","Abril","Maio","Junho","Julho","Agosto","Setembro","Outubro","Novembro","Dezembro"))</f>
        <v/>
      </c>
      <c r="G200" s="64" t="n">
        <v>46058</v>
      </c>
      <c r="H200" s="65" t="n">
        <v>0.1411805555555556</v>
      </c>
      <c r="I200" s="66" t="inlineStr">
        <is>
          <t>https://docs.google.com/spreadsheets/d/1ZiCGoPjLCjuYvujDTXK9Ixbth3tekiLtFBzBrGjPCr4/edit?gid=0#gid=0</t>
        </is>
      </c>
      <c r="J200" s="67" t="inlineStr">
        <is>
          <t>Mais informações Gerais - [AA]</t>
        </is>
      </c>
      <c r="K200" s="67" t="inlineStr"/>
      <c r="L200" s="68" t="b">
        <v>0</v>
      </c>
      <c r="M200" s="20" t="n"/>
      <c r="N200" s="69">
        <f>IF($J200="","",IFERROR(INDEX(B!$F$2:$F$61,MATCH($J200,B!$E$2:$E$61,0))&amp;"",""))</f>
        <v/>
      </c>
      <c r="O200" s="69">
        <f>IF($J200="","",IFERROR(INDEX(B!$G$2:$G$61,MATCH($J200,B!$E$2:$E$61,0))&amp;"",""))</f>
        <v/>
      </c>
      <c r="P200" s="69">
        <f>IF($J200="","",IFERROR(INDEX(B!$H$2:$H$61,MATCH($J200,B!$E$2:$E$61,0))&amp;"",""))</f>
        <v/>
      </c>
      <c r="Q200" s="69">
        <f>IF($J200="","",IFERROR(INDEX(B!$I$2:$I$61,MATCH($J200,B!$E$2:$E$61,0))&amp;"",""))</f>
        <v/>
      </c>
      <c r="R200" s="69">
        <f>IF($J200="","",IFERROR(INDEX(B!$J$2:$J$61,MATCH($J200,B!$E$2:$E$61,0))&amp;"",""))</f>
        <v/>
      </c>
      <c r="S200" s="69">
        <f>IF($J200="","",IFERROR(INDEX(B!$K$2:$K$61,MATCH($J200,B!$E$2:$E$61,0))&amp;"",""))</f>
        <v/>
      </c>
      <c r="T200" s="69">
        <f>IF($J200="","",IFERROR(INDEX(B!$L$2:$L$61,MATCH($J200,B!$E$2:$E$61,0))&amp;"",""))</f>
        <v/>
      </c>
      <c r="U200" s="20" t="n"/>
      <c r="V200" s="70">
        <f>IF($J200="","",IFERROR(INDEX(B!$M$2:$M$61,MATCH($J200,B!$E$2:$E$61,0))&amp;"",""))</f>
        <v/>
      </c>
      <c r="W200" s="71">
        <f>IF(I200="","",IFERROR(MID(I200,FIND("/d/",I200)+3,FIND("/edit",I200)-FIND("/d/",I200)-3),I200))</f>
        <v/>
      </c>
      <c r="X200" s="71">
        <f>IF($J200="","",IFERROR(INDEX(B!$C$2:$C$61,MATCH($J200,B!$E$2:$E$61,0))&amp;"",""))</f>
        <v/>
      </c>
      <c r="Y200" s="20" t="n"/>
      <c r="Z200" s="72">
        <f>IF($J200="",FALSE,ISNUMBER(SEARCH("scout",$K200)))</f>
        <v/>
      </c>
      <c r="AA200" s="72">
        <f>IF($J200="",FALSE,IFERROR(INDEX(B!$N$2:$N$61,MATCH($J200,B!$E$2:$E$61,0))="Sim",FALSE))</f>
        <v/>
      </c>
      <c r="AB200" s="72">
        <f>IF($J200="",FALSE,LEFT($X200,2)="XX")</f>
        <v/>
      </c>
      <c r="AC200" s="72">
        <f>IF($J200="",FALSE,IFERROR(INDEX(B!$P$2:$P$61,MATCH($J200,B!$E$2:$E$61,0))="Sim",FALSE))</f>
        <v/>
      </c>
      <c r="AD200" s="20" t="n"/>
      <c r="AE200" s="52">
        <f>IF(H200="","",HOUR(H200))</f>
        <v/>
      </c>
      <c r="AF200" s="52" t="n"/>
    </row>
    <row r="201" ht="19.5" customHeight="1" s="58">
      <c r="A201" s="62">
        <f>IF(G201="","",IF(G201=G200,"",COUNTIF($G$3:$G$976,G201)))</f>
        <v/>
      </c>
      <c r="B201" s="20" t="n"/>
      <c r="C201" s="63">
        <f>IF(G201="","",DAY(G201))</f>
        <v/>
      </c>
      <c r="D201" s="63">
        <f>IF(G201="","",MONTH(G201))</f>
        <v/>
      </c>
      <c r="E201" s="63">
        <f>IF(G201="","",YEAR(G201))</f>
        <v/>
      </c>
      <c r="F201" s="33">
        <f>IF(G201="","",CHOOSE(MONTH(G201),"Janeiro","Fevereiro","Março","Abril","Maio","Junho","Julho","Agosto","Setembro","Outubro","Novembro","Dezembro"))</f>
        <v/>
      </c>
      <c r="G201" s="64" t="n">
        <v>46059</v>
      </c>
      <c r="H201" s="65" t="n">
        <v>0.01385416666666667</v>
      </c>
      <c r="I201" s="66" t="inlineStr">
        <is>
          <t>https://docs.google.com/spreadsheets/d/1ZiCGoPjLCjuYvujDTXK9Ixbth3tekiLtFBzBrGjPCr4/edit?gid=0#gid=0</t>
        </is>
      </c>
      <c r="J201" s="67" t="inlineStr">
        <is>
          <t>Pushback (Agradecimento) - [XXA]</t>
        </is>
      </c>
      <c r="K201" s="67" t="inlineStr">
        <is>
          <t>Scout</t>
        </is>
      </c>
      <c r="L201" s="68" t="b">
        <v>0</v>
      </c>
      <c r="M201" s="20" t="n"/>
      <c r="N201" s="69">
        <f>IF($J201="","",IFERROR(INDEX(B!$F$2:$F$61,MATCH($J201,B!$E$2:$E$61,0))&amp;"",""))</f>
        <v/>
      </c>
      <c r="O201" s="69">
        <f>IF($J201="","",IFERROR(INDEX(B!$G$2:$G$61,MATCH($J201,B!$E$2:$E$61,0))&amp;"",""))</f>
        <v/>
      </c>
      <c r="P201" s="69">
        <f>IF($J201="","",IFERROR(INDEX(B!$H$2:$H$61,MATCH($J201,B!$E$2:$E$61,0))&amp;"",""))</f>
        <v/>
      </c>
      <c r="Q201" s="69">
        <f>IF($J201="","",IFERROR(INDEX(B!$I$2:$I$61,MATCH($J201,B!$E$2:$E$61,0))&amp;"",""))</f>
        <v/>
      </c>
      <c r="R201" s="69">
        <f>IF($J201="","",IFERROR(INDEX(B!$J$2:$J$61,MATCH($J201,B!$E$2:$E$61,0))&amp;"",""))</f>
        <v/>
      </c>
      <c r="S201" s="69">
        <f>IF($J201="","",IFERROR(INDEX(B!$K$2:$K$61,MATCH($J201,B!$E$2:$E$61,0))&amp;"",""))</f>
        <v/>
      </c>
      <c r="T201" s="69">
        <f>IF($J201="","",IFERROR(INDEX(B!$L$2:$L$61,MATCH($J201,B!$E$2:$E$61,0))&amp;"",""))</f>
        <v/>
      </c>
      <c r="U201" s="20" t="n"/>
      <c r="V201" s="70">
        <f>IF($J201="","",IFERROR(INDEX(B!$M$2:$M$61,MATCH($J201,B!$E$2:$E$61,0))&amp;"",""))</f>
        <v/>
      </c>
      <c r="W201" s="71">
        <f>IF(I201="","",IFERROR(MID(I201,FIND("/d/",I201)+3,FIND("/edit",I201)-FIND("/d/",I201)-3),I201))</f>
        <v/>
      </c>
      <c r="X201" s="71">
        <f>IF($J201="","",IFERROR(INDEX(B!$C$2:$C$61,MATCH($J201,B!$E$2:$E$61,0))&amp;"",""))</f>
        <v/>
      </c>
      <c r="Y201" s="20" t="n"/>
      <c r="Z201" s="72">
        <f>IF($J201="",FALSE,ISNUMBER(SEARCH("scout",$K201)))</f>
        <v/>
      </c>
      <c r="AA201" s="72">
        <f>IF($J201="",FALSE,IFERROR(INDEX(B!$N$2:$N$61,MATCH($J201,B!$E$2:$E$61,0))="Sim",FALSE))</f>
        <v/>
      </c>
      <c r="AB201" s="72">
        <f>IF($J201="",FALSE,LEFT($X201,2)="XX")</f>
        <v/>
      </c>
      <c r="AC201" s="72">
        <f>IF($J201="",FALSE,IFERROR(INDEX(B!$P$2:$P$61,MATCH($J201,B!$E$2:$E$61,0))="Sim",FALSE))</f>
        <v/>
      </c>
      <c r="AD201" s="20" t="n"/>
      <c r="AE201" s="52">
        <f>IF(H201="","",HOUR(H201))</f>
        <v/>
      </c>
      <c r="AF201" s="52" t="n"/>
    </row>
    <row r="202" ht="19.5" customHeight="1" s="58">
      <c r="A202" s="62">
        <f>IF(G202="","",IF(G202=G201,"",COUNTIF($G$3:$G$976,G202)))</f>
        <v/>
      </c>
      <c r="B202" s="20" t="n"/>
      <c r="C202" s="63">
        <f>IF(G202="","",DAY(G202))</f>
        <v/>
      </c>
      <c r="D202" s="63">
        <f>IF(G202="","",MONTH(G202))</f>
        <v/>
      </c>
      <c r="E202" s="63">
        <f>IF(G202="","",YEAR(G202))</f>
        <v/>
      </c>
      <c r="F202" s="33">
        <f>IF(G202="","",CHOOSE(MONTH(G202),"Janeiro","Fevereiro","Março","Abril","Maio","Junho","Julho","Agosto","Setembro","Outubro","Novembro","Dezembro"))</f>
        <v/>
      </c>
      <c r="G202" s="64" t="n">
        <v>46059</v>
      </c>
      <c r="H202" s="65" t="n">
        <v>0.01439814814814815</v>
      </c>
      <c r="I202" s="66" t="inlineStr">
        <is>
          <t>https://docs.google.com/spreadsheets/d/1ZiCGoPjLCjuYvujDTXK9Ixbth3tekiLtFBzBrGjPCr4/edit?gid=0#gid=0</t>
        </is>
      </c>
      <c r="J202" s="67" t="inlineStr">
        <is>
          <t>Mais informações Gerais - [AA]</t>
        </is>
      </c>
      <c r="K202" s="67" t="inlineStr"/>
      <c r="L202" s="68" t="b">
        <v>0</v>
      </c>
      <c r="M202" s="20" t="n"/>
      <c r="N202" s="69">
        <f>IF($J202="","",IFERROR(INDEX(B!$F$2:$F$61,MATCH($J202,B!$E$2:$E$61,0))&amp;"",""))</f>
        <v/>
      </c>
      <c r="O202" s="69">
        <f>IF($J202="","",IFERROR(INDEX(B!$G$2:$G$61,MATCH($J202,B!$E$2:$E$61,0))&amp;"",""))</f>
        <v/>
      </c>
      <c r="P202" s="69">
        <f>IF($J202="","",IFERROR(INDEX(B!$H$2:$H$61,MATCH($J202,B!$E$2:$E$61,0))&amp;"",""))</f>
        <v/>
      </c>
      <c r="Q202" s="69">
        <f>IF($J202="","",IFERROR(INDEX(B!$I$2:$I$61,MATCH($J202,B!$E$2:$E$61,0))&amp;"",""))</f>
        <v/>
      </c>
      <c r="R202" s="69">
        <f>IF($J202="","",IFERROR(INDEX(B!$J$2:$J$61,MATCH($J202,B!$E$2:$E$61,0))&amp;"",""))</f>
        <v/>
      </c>
      <c r="S202" s="69">
        <f>IF($J202="","",IFERROR(INDEX(B!$K$2:$K$61,MATCH($J202,B!$E$2:$E$61,0))&amp;"",""))</f>
        <v/>
      </c>
      <c r="T202" s="69">
        <f>IF($J202="","",IFERROR(INDEX(B!$L$2:$L$61,MATCH($J202,B!$E$2:$E$61,0))&amp;"",""))</f>
        <v/>
      </c>
      <c r="U202" s="20" t="n"/>
      <c r="V202" s="70">
        <f>IF($J202="","",IFERROR(INDEX(B!$M$2:$M$61,MATCH($J202,B!$E$2:$E$61,0))&amp;"",""))</f>
        <v/>
      </c>
      <c r="W202" s="71">
        <f>IF(I202="","",IFERROR(MID(I202,FIND("/d/",I202)+3,FIND("/edit",I202)-FIND("/d/",I202)-3),I202))</f>
        <v/>
      </c>
      <c r="X202" s="71">
        <f>IF($J202="","",IFERROR(INDEX(B!$C$2:$C$61,MATCH($J202,B!$E$2:$E$61,0))&amp;"",""))</f>
        <v/>
      </c>
      <c r="Y202" s="20" t="n"/>
      <c r="Z202" s="72">
        <f>IF($J202="",FALSE,ISNUMBER(SEARCH("scout",$K202)))</f>
        <v/>
      </c>
      <c r="AA202" s="72">
        <f>IF($J202="",FALSE,IFERROR(INDEX(B!$N$2:$N$61,MATCH($J202,B!$E$2:$E$61,0))="Sim",FALSE))</f>
        <v/>
      </c>
      <c r="AB202" s="72">
        <f>IF($J202="",FALSE,LEFT($X202,2)="XX")</f>
        <v/>
      </c>
      <c r="AC202" s="72">
        <f>IF($J202="",FALSE,IFERROR(INDEX(B!$P$2:$P$61,MATCH($J202,B!$E$2:$E$61,0))="Sim",FALSE))</f>
        <v/>
      </c>
      <c r="AD202" s="20" t="n"/>
      <c r="AE202" s="52">
        <f>IF(H202="","",HOUR(H202))</f>
        <v/>
      </c>
      <c r="AF202" s="52" t="n"/>
    </row>
    <row r="203" ht="19.5" customHeight="1" s="58">
      <c r="A203" s="62">
        <f>IF(G203="","",IF(G203=G202,"",COUNTIF($G$3:$G$976,G203)))</f>
        <v/>
      </c>
      <c r="B203" s="20" t="n"/>
      <c r="C203" s="63">
        <f>IF(G203="","",DAY(G203))</f>
        <v/>
      </c>
      <c r="D203" s="63">
        <f>IF(G203="","",MONTH(G203))</f>
        <v/>
      </c>
      <c r="E203" s="63">
        <f>IF(G203="","",YEAR(G203))</f>
        <v/>
      </c>
      <c r="F203" s="33">
        <f>IF(G203="","",CHOOSE(MONTH(G203),"Janeiro","Fevereiro","Março","Abril","Maio","Junho","Julho","Agosto","Setembro","Outubro","Novembro","Dezembro"))</f>
        <v/>
      </c>
      <c r="G203" s="64" t="n">
        <v>46059</v>
      </c>
      <c r="H203" s="65" t="n">
        <v>0.01469907407407407</v>
      </c>
      <c r="I203" s="66" t="inlineStr">
        <is>
          <t>https://docs.google.com/spreadsheets/d/1ZiCGoPjLCjuYvujDTXK9Ixbth3tekiLtFBzBrGjPCr4/edit?gid=0#gid=0</t>
        </is>
      </c>
      <c r="J203" s="67" t="inlineStr">
        <is>
          <t>Taxa de Cancelamento Cobrada Corretamente - [TXCO]</t>
        </is>
      </c>
      <c r="K203" s="67" t="inlineStr"/>
      <c r="L203" s="68" t="b">
        <v>1</v>
      </c>
      <c r="M203" s="20" t="n"/>
      <c r="N203" s="69">
        <f>IF($J203="","",IFERROR(INDEX(B!$F$2:$F$61,MATCH($J203,B!$E$2:$E$61,0))&amp;"",""))</f>
        <v/>
      </c>
      <c r="O203" s="69">
        <f>IF($J203="","",IFERROR(INDEX(B!$G$2:$G$61,MATCH($J203,B!$E$2:$E$61,0))&amp;"",""))</f>
        <v/>
      </c>
      <c r="P203" s="69">
        <f>IF($J203="","",IFERROR(INDEX(B!$H$2:$H$61,MATCH($J203,B!$E$2:$E$61,0))&amp;"",""))</f>
        <v/>
      </c>
      <c r="Q203" s="69">
        <f>IF($J203="","",IFERROR(INDEX(B!$I$2:$I$61,MATCH($J203,B!$E$2:$E$61,0))&amp;"",""))</f>
        <v/>
      </c>
      <c r="R203" s="69">
        <f>IF($J203="","",IFERROR(INDEX(B!$J$2:$J$61,MATCH($J203,B!$E$2:$E$61,0))&amp;"",""))</f>
        <v/>
      </c>
      <c r="S203" s="69">
        <f>IF($J203="","",IFERROR(INDEX(B!$K$2:$K$61,MATCH($J203,B!$E$2:$E$61,0))&amp;"",""))</f>
        <v/>
      </c>
      <c r="T203" s="69">
        <f>IF($J203="","",IFERROR(INDEX(B!$L$2:$L$61,MATCH($J203,B!$E$2:$E$61,0))&amp;"",""))</f>
        <v/>
      </c>
      <c r="U203" s="20" t="n"/>
      <c r="V203" s="70">
        <f>IF($J203="","",IFERROR(INDEX(B!$M$2:$M$61,MATCH($J203,B!$E$2:$E$61,0))&amp;"",""))</f>
        <v/>
      </c>
      <c r="W203" s="71">
        <f>IF(I203="","",IFERROR(MID(I203,FIND("/d/",I203)+3,FIND("/edit",I203)-FIND("/d/",I203)-3),I203))</f>
        <v/>
      </c>
      <c r="X203" s="71">
        <f>IF($J203="","",IFERROR(INDEX(B!$C$2:$C$61,MATCH($J203,B!$E$2:$E$61,0))&amp;"",""))</f>
        <v/>
      </c>
      <c r="Y203" s="20" t="n"/>
      <c r="Z203" s="72">
        <f>IF($J203="",FALSE,ISNUMBER(SEARCH("scout",$K203)))</f>
        <v/>
      </c>
      <c r="AA203" s="72">
        <f>IF($J203="",FALSE,IFERROR(INDEX(B!$N$2:$N$61,MATCH($J203,B!$E$2:$E$61,0))="Sim",FALSE))</f>
        <v/>
      </c>
      <c r="AB203" s="72">
        <f>IF($J203="",FALSE,LEFT($X203,2)="XX")</f>
        <v/>
      </c>
      <c r="AC203" s="72">
        <f>IF($J203="",FALSE,IFERROR(INDEX(B!$P$2:$P$61,MATCH($J203,B!$E$2:$E$61,0))="Sim",FALSE))</f>
        <v/>
      </c>
      <c r="AD203" s="20" t="n"/>
      <c r="AE203" s="52">
        <f>IF(H203="","",HOUR(H203))</f>
        <v/>
      </c>
      <c r="AF203" s="52" t="n"/>
    </row>
    <row r="204" ht="19.5" customHeight="1" s="58">
      <c r="A204" s="62">
        <f>IF(G204="","",IF(G204=G203,"",COUNTIF($G$3:$G$976,G204)))</f>
        <v/>
      </c>
      <c r="B204" s="20" t="n"/>
      <c r="C204" s="63">
        <f>IF(G204="","",DAY(G204))</f>
        <v/>
      </c>
      <c r="D204" s="63">
        <f>IF(G204="","",MONTH(G204))</f>
        <v/>
      </c>
      <c r="E204" s="63">
        <f>IF(G204="","",YEAR(G204))</f>
        <v/>
      </c>
      <c r="F204" s="33">
        <f>IF(G204="","",CHOOSE(MONTH(G204),"Janeiro","Fevereiro","Março","Abril","Maio","Junho","Julho","Agosto","Setembro","Outubro","Novembro","Dezembro"))</f>
        <v/>
      </c>
      <c r="G204" s="64" t="n">
        <v>46059</v>
      </c>
      <c r="H204" s="65" t="n">
        <v>0.01586805555555556</v>
      </c>
      <c r="I204" s="66" t="inlineStr">
        <is>
          <t>https://docs.google.com/spreadsheets/d/1ZiCGoPjLCjuYvujDTXK9Ixbth3tekiLtFBzBrGjPCr4/edit?gid=0#gid=0</t>
        </is>
      </c>
      <c r="J204" s="67" t="inlineStr">
        <is>
          <t>Transferência de LOB (Profissionalismo) - [TIPR]</t>
        </is>
      </c>
      <c r="K204" s="67" t="inlineStr">
        <is>
          <t>Scout</t>
        </is>
      </c>
      <c r="L204" s="68" t="b">
        <v>0</v>
      </c>
      <c r="M204" s="20" t="n"/>
      <c r="N204" s="69">
        <f>IF($J204="","",IFERROR(INDEX(B!$F$2:$F$61,MATCH($J204,B!$E$2:$E$61,0))&amp;"",""))</f>
        <v/>
      </c>
      <c r="O204" s="69">
        <f>IF($J204="","",IFERROR(INDEX(B!$G$2:$G$61,MATCH($J204,B!$E$2:$E$61,0))&amp;"",""))</f>
        <v/>
      </c>
      <c r="P204" s="69">
        <f>IF($J204="","",IFERROR(INDEX(B!$H$2:$H$61,MATCH($J204,B!$E$2:$E$61,0))&amp;"",""))</f>
        <v/>
      </c>
      <c r="Q204" s="69">
        <f>IF($J204="","",IFERROR(INDEX(B!$I$2:$I$61,MATCH($J204,B!$E$2:$E$61,0))&amp;"",""))</f>
        <v/>
      </c>
      <c r="R204" s="69">
        <f>IF($J204="","",IFERROR(INDEX(B!$J$2:$J$61,MATCH($J204,B!$E$2:$E$61,0))&amp;"",""))</f>
        <v/>
      </c>
      <c r="S204" s="69">
        <f>IF($J204="","",IFERROR(INDEX(B!$K$2:$K$61,MATCH($J204,B!$E$2:$E$61,0))&amp;"",""))</f>
        <v/>
      </c>
      <c r="T204" s="69">
        <f>IF($J204="","",IFERROR(INDEX(B!$L$2:$L$61,MATCH($J204,B!$E$2:$E$61,0))&amp;"",""))</f>
        <v/>
      </c>
      <c r="U204" s="20" t="n"/>
      <c r="V204" s="70">
        <f>IF($J204="","",IFERROR(INDEX(B!$M$2:$M$61,MATCH($J204,B!$E$2:$E$61,0))&amp;"",""))</f>
        <v/>
      </c>
      <c r="W204" s="71">
        <f>IF(I204="","",IFERROR(MID(I204,FIND("/d/",I204)+3,FIND("/edit",I204)-FIND("/d/",I204)-3),I204))</f>
        <v/>
      </c>
      <c r="X204" s="71">
        <f>IF($J204="","",IFERROR(INDEX(B!$C$2:$C$61,MATCH($J204,B!$E$2:$E$61,0))&amp;"",""))</f>
        <v/>
      </c>
      <c r="Y204" s="20" t="n"/>
      <c r="Z204" s="72">
        <f>IF($J204="",FALSE,ISNUMBER(SEARCH("scout",$K204)))</f>
        <v/>
      </c>
      <c r="AA204" s="72">
        <f>IF($J204="",FALSE,IFERROR(INDEX(B!$N$2:$N$61,MATCH($J204,B!$E$2:$E$61,0))="Sim",FALSE))</f>
        <v/>
      </c>
      <c r="AB204" s="72">
        <f>IF($J204="",FALSE,LEFT($X204,2)="XX")</f>
        <v/>
      </c>
      <c r="AC204" s="72">
        <f>IF($J204="",FALSE,IFERROR(INDEX(B!$P$2:$P$61,MATCH($J204,B!$E$2:$E$61,0))="Sim",FALSE))</f>
        <v/>
      </c>
      <c r="AD204" s="20" t="n"/>
      <c r="AE204" s="52">
        <f>IF(H204="","",HOUR(H204))</f>
        <v/>
      </c>
      <c r="AF204" s="52" t="n"/>
    </row>
    <row r="205" ht="19.5" customHeight="1" s="58">
      <c r="A205" s="62">
        <f>IF(G205="","",IF(G205=G204,"",COUNTIF($G$3:$G$976,G205)))</f>
        <v/>
      </c>
      <c r="B205" s="20" t="n"/>
      <c r="C205" s="63">
        <f>IF(G205="","",DAY(G205))</f>
        <v/>
      </c>
      <c r="D205" s="63">
        <f>IF(G205="","",MONTH(G205))</f>
        <v/>
      </c>
      <c r="E205" s="63">
        <f>IF(G205="","",YEAR(G205))</f>
        <v/>
      </c>
      <c r="F205" s="33">
        <f>IF(G205="","",CHOOSE(MONTH(G205),"Janeiro","Fevereiro","Março","Abril","Maio","Junho","Julho","Agosto","Setembro","Outubro","Novembro","Dezembro"))</f>
        <v/>
      </c>
      <c r="G205" s="64" t="n">
        <v>46059</v>
      </c>
      <c r="H205" s="65" t="n">
        <v>0.01684027777777778</v>
      </c>
      <c r="I205" s="66" t="inlineStr">
        <is>
          <t>https://docs.google.com/spreadsheets/d/1ZiCGoPjLCjuYvujDTXK9Ixbth3tekiLtFBzBrGjPCr4/edit?gid=0#gid=0</t>
        </is>
      </c>
      <c r="J205" s="67" t="inlineStr">
        <is>
          <t>Trajeto Ruim - [TR]</t>
        </is>
      </c>
      <c r="K205" s="67" t="inlineStr"/>
      <c r="L205" s="68" t="b">
        <v>0</v>
      </c>
      <c r="M205" s="20" t="n"/>
      <c r="N205" s="69">
        <f>IF($J205="","",IFERROR(INDEX(B!$F$2:$F$61,MATCH($J205,B!$E$2:$E$61,0))&amp;"",""))</f>
        <v/>
      </c>
      <c r="O205" s="69">
        <f>IF($J205="","",IFERROR(INDEX(B!$G$2:$G$61,MATCH($J205,B!$E$2:$E$61,0))&amp;"",""))</f>
        <v/>
      </c>
      <c r="P205" s="69">
        <f>IF($J205="","",IFERROR(INDEX(B!$H$2:$H$61,MATCH($J205,B!$E$2:$E$61,0))&amp;"",""))</f>
        <v/>
      </c>
      <c r="Q205" s="69">
        <f>IF($J205="","",IFERROR(INDEX(B!$I$2:$I$61,MATCH($J205,B!$E$2:$E$61,0))&amp;"",""))</f>
        <v/>
      </c>
      <c r="R205" s="69">
        <f>IF($J205="","",IFERROR(INDEX(B!$J$2:$J$61,MATCH($J205,B!$E$2:$E$61,0))&amp;"",""))</f>
        <v/>
      </c>
      <c r="S205" s="69">
        <f>IF($J205="","",IFERROR(INDEX(B!$K$2:$K$61,MATCH($J205,B!$E$2:$E$61,0))&amp;"",""))</f>
        <v/>
      </c>
      <c r="T205" s="69">
        <f>IF($J205="","",IFERROR(INDEX(B!$L$2:$L$61,MATCH($J205,B!$E$2:$E$61,0))&amp;"",""))</f>
        <v/>
      </c>
      <c r="U205" s="20" t="n"/>
      <c r="V205" s="70">
        <f>IF($J205="","",IFERROR(INDEX(B!$M$2:$M$61,MATCH($J205,B!$E$2:$E$61,0))&amp;"",""))</f>
        <v/>
      </c>
      <c r="W205" s="71">
        <f>IF(I205="","",IFERROR(MID(I205,FIND("/d/",I205)+3,FIND("/edit",I205)-FIND("/d/",I205)-3),I205))</f>
        <v/>
      </c>
      <c r="X205" s="71">
        <f>IF($J205="","",IFERROR(INDEX(B!$C$2:$C$61,MATCH($J205,B!$E$2:$E$61,0))&amp;"",""))</f>
        <v/>
      </c>
      <c r="Y205" s="20" t="n"/>
      <c r="Z205" s="72">
        <f>IF($J205="",FALSE,ISNUMBER(SEARCH("scout",$K205)))</f>
        <v/>
      </c>
      <c r="AA205" s="72">
        <f>IF($J205="",FALSE,IFERROR(INDEX(B!$N$2:$N$61,MATCH($J205,B!$E$2:$E$61,0))="Sim",FALSE))</f>
        <v/>
      </c>
      <c r="AB205" s="72">
        <f>IF($J205="",FALSE,LEFT($X205,2)="XX")</f>
        <v/>
      </c>
      <c r="AC205" s="72">
        <f>IF($J205="",FALSE,IFERROR(INDEX(B!$P$2:$P$61,MATCH($J205,B!$E$2:$E$61,0))="Sim",FALSE))</f>
        <v/>
      </c>
      <c r="AD205" s="20" t="n"/>
      <c r="AE205" s="52">
        <f>IF(H205="","",HOUR(H205))</f>
        <v/>
      </c>
      <c r="AF205" s="52" t="n"/>
    </row>
    <row r="206" ht="19.5" customHeight="1" s="58">
      <c r="A206" s="62">
        <f>IF(G206="","",IF(G206=G205,"",COUNTIF($G$3:$G$976,G206)))</f>
        <v/>
      </c>
      <c r="B206" s="20" t="n"/>
      <c r="C206" s="63">
        <f>IF(G206="","",DAY(G206))</f>
        <v/>
      </c>
      <c r="D206" s="63">
        <f>IF(G206="","",MONTH(G206))</f>
        <v/>
      </c>
      <c r="E206" s="63">
        <f>IF(G206="","",YEAR(G206))</f>
        <v/>
      </c>
      <c r="F206" s="33">
        <f>IF(G206="","",CHOOSE(MONTH(G206),"Janeiro","Fevereiro","Março","Abril","Maio","Junho","Julho","Agosto","Setembro","Outubro","Novembro","Dezembro"))</f>
        <v/>
      </c>
      <c r="G206" s="64" t="n">
        <v>46059</v>
      </c>
      <c r="H206" s="65" t="n">
        <v>0.01832175925925926</v>
      </c>
      <c r="I206" s="66" t="inlineStr">
        <is>
          <t>https://docs.google.com/spreadsheets/d/1ZiCGoPjLCjuYvujDTXK9Ixbth3tekiLtFBzBrGjPCr4/edit?gid=0#gid=0</t>
        </is>
      </c>
      <c r="J206" s="67" t="inlineStr">
        <is>
          <t>Erro de Gps (Problema Técnico) - [GPS]</t>
        </is>
      </c>
      <c r="K206" s="67" t="inlineStr"/>
      <c r="L206" s="68" t="b">
        <v>0</v>
      </c>
      <c r="M206" s="20" t="n"/>
      <c r="N206" s="69">
        <f>IF($J206="","",IFERROR(INDEX(B!$F$2:$F$61,MATCH($J206,B!$E$2:$E$61,0))&amp;"",""))</f>
        <v/>
      </c>
      <c r="O206" s="69">
        <f>IF($J206="","",IFERROR(INDEX(B!$G$2:$G$61,MATCH($J206,B!$E$2:$E$61,0))&amp;"",""))</f>
        <v/>
      </c>
      <c r="P206" s="69">
        <f>IF($J206="","",IFERROR(INDEX(B!$H$2:$H$61,MATCH($J206,B!$E$2:$E$61,0))&amp;"",""))</f>
        <v/>
      </c>
      <c r="Q206" s="69">
        <f>IF($J206="","",IFERROR(INDEX(B!$I$2:$I$61,MATCH($J206,B!$E$2:$E$61,0))&amp;"",""))</f>
        <v/>
      </c>
      <c r="R206" s="69">
        <f>IF($J206="","",IFERROR(INDEX(B!$J$2:$J$61,MATCH($J206,B!$E$2:$E$61,0))&amp;"",""))</f>
        <v/>
      </c>
      <c r="S206" s="69">
        <f>IF($J206="","",IFERROR(INDEX(B!$K$2:$K$61,MATCH($J206,B!$E$2:$E$61,0))&amp;"",""))</f>
        <v/>
      </c>
      <c r="T206" s="69">
        <f>IF($J206="","",IFERROR(INDEX(B!$L$2:$L$61,MATCH($J206,B!$E$2:$E$61,0))&amp;"",""))</f>
        <v/>
      </c>
      <c r="U206" s="20" t="n"/>
      <c r="V206" s="70">
        <f>IF($J206="","",IFERROR(INDEX(B!$M$2:$M$61,MATCH($J206,B!$E$2:$E$61,0))&amp;"",""))</f>
        <v/>
      </c>
      <c r="W206" s="71">
        <f>IF(I206="","",IFERROR(MID(I206,FIND("/d/",I206)+3,FIND("/edit",I206)-FIND("/d/",I206)-3),I206))</f>
        <v/>
      </c>
      <c r="X206" s="71">
        <f>IF($J206="","",IFERROR(INDEX(B!$C$2:$C$61,MATCH($J206,B!$E$2:$E$61,0))&amp;"",""))</f>
        <v/>
      </c>
      <c r="Y206" s="20" t="n"/>
      <c r="Z206" s="72">
        <f>IF($J206="",FALSE,ISNUMBER(SEARCH("scout",$K206)))</f>
        <v/>
      </c>
      <c r="AA206" s="72">
        <f>IF($J206="",FALSE,IFERROR(INDEX(B!$N$2:$N$61,MATCH($J206,B!$E$2:$E$61,0))="Sim",FALSE))</f>
        <v/>
      </c>
      <c r="AB206" s="72">
        <f>IF($J206="",FALSE,LEFT($X206,2)="XX")</f>
        <v/>
      </c>
      <c r="AC206" s="72">
        <f>IF($J206="",FALSE,IFERROR(INDEX(B!$P$2:$P$61,MATCH($J206,B!$E$2:$E$61,0))="Sim",FALSE))</f>
        <v/>
      </c>
      <c r="AD206" s="20" t="n"/>
      <c r="AE206" s="52">
        <f>IF(H206="","",HOUR(H206))</f>
        <v/>
      </c>
      <c r="AF206" s="52" t="n"/>
    </row>
    <row r="207" ht="19.5" customHeight="1" s="58">
      <c r="A207" s="62">
        <f>IF(G207="","",IF(G207=G206,"",COUNTIF($G$3:$G$976,G207)))</f>
        <v/>
      </c>
      <c r="B207" s="20" t="n"/>
      <c r="C207" s="63">
        <f>IF(G207="","",DAY(G207))</f>
        <v/>
      </c>
      <c r="D207" s="63">
        <f>IF(G207="","",MONTH(G207))</f>
        <v/>
      </c>
      <c r="E207" s="63">
        <f>IF(G207="","",YEAR(G207))</f>
        <v/>
      </c>
      <c r="F207" s="33">
        <f>IF(G207="","",CHOOSE(MONTH(G207),"Janeiro","Fevereiro","Março","Abril","Maio","Junho","Julho","Agosto","Setembro","Outubro","Novembro","Dezembro"))</f>
        <v/>
      </c>
      <c r="G207" s="64" t="n">
        <v>46059</v>
      </c>
      <c r="H207" s="65" t="n">
        <v>0.01850694444444444</v>
      </c>
      <c r="I207" s="66" t="inlineStr">
        <is>
          <t>https://docs.google.com/spreadsheets/d/1ZiCGoPjLCjuYvujDTXK9Ixbth3tekiLtFBzBrGjPCr4/edit?gid=0#gid=0</t>
        </is>
      </c>
      <c r="J207" s="67" t="inlineStr">
        <is>
          <t>Pushback - [XX]</t>
        </is>
      </c>
      <c r="K207" s="67" t="inlineStr">
        <is>
          <t>Scout</t>
        </is>
      </c>
      <c r="L207" s="68" t="b">
        <v>0</v>
      </c>
      <c r="M207" s="20" t="n"/>
      <c r="N207" s="69">
        <f>IF($J207="","",IFERROR(INDEX(B!$F$2:$F$61,MATCH($J207,B!$E$2:$E$61,0))&amp;"",""))</f>
        <v/>
      </c>
      <c r="O207" s="69">
        <f>IF($J207="","",IFERROR(INDEX(B!$G$2:$G$61,MATCH($J207,B!$E$2:$E$61,0))&amp;"",""))</f>
        <v/>
      </c>
      <c r="P207" s="69">
        <f>IF($J207="","",IFERROR(INDEX(B!$H$2:$H$61,MATCH($J207,B!$E$2:$E$61,0))&amp;"",""))</f>
        <v/>
      </c>
      <c r="Q207" s="69">
        <f>IF($J207="","",IFERROR(INDEX(B!$I$2:$I$61,MATCH($J207,B!$E$2:$E$61,0))&amp;"",""))</f>
        <v/>
      </c>
      <c r="R207" s="69">
        <f>IF($J207="","",IFERROR(INDEX(B!$J$2:$J$61,MATCH($J207,B!$E$2:$E$61,0))&amp;"",""))</f>
        <v/>
      </c>
      <c r="S207" s="69">
        <f>IF($J207="","",IFERROR(INDEX(B!$K$2:$K$61,MATCH($J207,B!$E$2:$E$61,0))&amp;"",""))</f>
        <v/>
      </c>
      <c r="T207" s="69">
        <f>IF($J207="","",IFERROR(INDEX(B!$L$2:$L$61,MATCH($J207,B!$E$2:$E$61,0))&amp;"",""))</f>
        <v/>
      </c>
      <c r="U207" s="20" t="n"/>
      <c r="V207" s="70">
        <f>IF($J207="","",IFERROR(INDEX(B!$M$2:$M$61,MATCH($J207,B!$E$2:$E$61,0))&amp;"",""))</f>
        <v/>
      </c>
      <c r="W207" s="71">
        <f>IF(I207="","",IFERROR(MID(I207,FIND("/d/",I207)+3,FIND("/edit",I207)-FIND("/d/",I207)-3),I207))</f>
        <v/>
      </c>
      <c r="X207" s="71">
        <f>IF($J207="","",IFERROR(INDEX(B!$C$2:$C$61,MATCH($J207,B!$E$2:$E$61,0))&amp;"",""))</f>
        <v/>
      </c>
      <c r="Y207" s="20" t="n"/>
      <c r="Z207" s="72">
        <f>IF($J207="",FALSE,ISNUMBER(SEARCH("scout",$K207)))</f>
        <v/>
      </c>
      <c r="AA207" s="72">
        <f>IF($J207="",FALSE,IFERROR(INDEX(B!$N$2:$N$61,MATCH($J207,B!$E$2:$E$61,0))="Sim",FALSE))</f>
        <v/>
      </c>
      <c r="AB207" s="72">
        <f>IF($J207="",FALSE,LEFT($X207,2)="XX")</f>
        <v/>
      </c>
      <c r="AC207" s="72">
        <f>IF($J207="",FALSE,IFERROR(INDEX(B!$P$2:$P$61,MATCH($J207,B!$E$2:$E$61,0))="Sim",FALSE))</f>
        <v/>
      </c>
      <c r="AD207" s="20" t="n"/>
      <c r="AE207" s="52">
        <f>IF(H207="","",HOUR(H207))</f>
        <v/>
      </c>
      <c r="AF207" s="52" t="n"/>
    </row>
    <row r="208" ht="19.5" customHeight="1" s="58">
      <c r="A208" s="62">
        <f>IF(G208="","",IF(G208=G207,"",COUNTIF($G$3:$G$976,G208)))</f>
        <v/>
      </c>
      <c r="B208" s="20" t="n"/>
      <c r="C208" s="63">
        <f>IF(G208="","",DAY(G208))</f>
        <v/>
      </c>
      <c r="D208" s="63">
        <f>IF(G208="","",MONTH(G208))</f>
        <v/>
      </c>
      <c r="E208" s="63">
        <f>IF(G208="","",YEAR(G208))</f>
        <v/>
      </c>
      <c r="F208" s="33">
        <f>IF(G208="","",CHOOSE(MONTH(G208),"Janeiro","Fevereiro","Março","Abril","Maio","Junho","Julho","Agosto","Setembro","Outubro","Novembro","Dezembro"))</f>
        <v/>
      </c>
      <c r="G208" s="64" t="n">
        <v>46059</v>
      </c>
      <c r="H208" s="65" t="n">
        <v>0.03483796296296297</v>
      </c>
      <c r="I208" s="66" t="inlineStr">
        <is>
          <t>https://docs.google.com/spreadsheets/d/1ZiCGoPjLCjuYvujDTXK9Ixbth3tekiLtFBzBrGjPCr4/edit?gid=0#gid=0</t>
        </is>
      </c>
      <c r="J208" s="67" t="inlineStr">
        <is>
          <t>Evento Raro - [ER]</t>
        </is>
      </c>
      <c r="K208" s="67" t="inlineStr"/>
      <c r="L208" s="68" t="b">
        <v>0</v>
      </c>
      <c r="M208" s="20" t="n"/>
      <c r="N208" s="69">
        <f>IF($J208="","",IFERROR(INDEX(B!$F$2:$F$61,MATCH($J208,B!$E$2:$E$61,0))&amp;"",""))</f>
        <v/>
      </c>
      <c r="O208" s="69">
        <f>IF($J208="","",IFERROR(INDEX(B!$G$2:$G$61,MATCH($J208,B!$E$2:$E$61,0))&amp;"",""))</f>
        <v/>
      </c>
      <c r="P208" s="69">
        <f>IF($J208="","",IFERROR(INDEX(B!$H$2:$H$61,MATCH($J208,B!$E$2:$E$61,0))&amp;"",""))</f>
        <v/>
      </c>
      <c r="Q208" s="69">
        <f>IF($J208="","",IFERROR(INDEX(B!$I$2:$I$61,MATCH($J208,B!$E$2:$E$61,0))&amp;"",""))</f>
        <v/>
      </c>
      <c r="R208" s="69">
        <f>IF($J208="","",IFERROR(INDEX(B!$J$2:$J$61,MATCH($J208,B!$E$2:$E$61,0))&amp;"",""))</f>
        <v/>
      </c>
      <c r="S208" s="69">
        <f>IF($J208="","",IFERROR(INDEX(B!$K$2:$K$61,MATCH($J208,B!$E$2:$E$61,0))&amp;"",""))</f>
        <v/>
      </c>
      <c r="T208" s="69">
        <f>IF($J208="","",IFERROR(INDEX(B!$L$2:$L$61,MATCH($J208,B!$E$2:$E$61,0))&amp;"",""))</f>
        <v/>
      </c>
      <c r="U208" s="20" t="n"/>
      <c r="V208" s="70">
        <f>IF($J208="","",IFERROR(INDEX(B!$M$2:$M$61,MATCH($J208,B!$E$2:$E$61,0))&amp;"",""))</f>
        <v/>
      </c>
      <c r="W208" s="71">
        <f>IF(I208="","",IFERROR(MID(I208,FIND("/d/",I208)+3,FIND("/edit",I208)-FIND("/d/",I208)-3),I208))</f>
        <v/>
      </c>
      <c r="X208" s="71">
        <f>IF($J208="","",IFERROR(INDEX(B!$C$2:$C$61,MATCH($J208,B!$E$2:$E$61,0))&amp;"",""))</f>
        <v/>
      </c>
      <c r="Y208" s="20" t="n"/>
      <c r="Z208" s="72">
        <f>IF($J208="",FALSE,ISNUMBER(SEARCH("scout",$K208)))</f>
        <v/>
      </c>
      <c r="AA208" s="72">
        <f>IF($J208="",FALSE,IFERROR(INDEX(B!$N$2:$N$61,MATCH($J208,B!$E$2:$E$61,0))="Sim",FALSE))</f>
        <v/>
      </c>
      <c r="AB208" s="72">
        <f>IF($J208="",FALSE,LEFT($X208,2)="XX")</f>
        <v/>
      </c>
      <c r="AC208" s="72">
        <f>IF($J208="",FALSE,IFERROR(INDEX(B!$P$2:$P$61,MATCH($J208,B!$E$2:$E$61,0))="Sim",FALSE))</f>
        <v/>
      </c>
      <c r="AD208" s="20" t="n"/>
      <c r="AE208" s="52">
        <f>IF(H208="","",HOUR(H208))</f>
        <v/>
      </c>
      <c r="AF208" s="52" t="n"/>
    </row>
    <row r="209" ht="19.5" customHeight="1" s="58">
      <c r="A209" s="62">
        <f>IF(G209="","",IF(G209=G208,"",COUNTIF($G$3:$G$976,G209)))</f>
        <v/>
      </c>
      <c r="B209" s="20" t="n"/>
      <c r="C209" s="63">
        <f>IF(G209="","",DAY(G209))</f>
        <v/>
      </c>
      <c r="D209" s="63">
        <f>IF(G209="","",MONTH(G209))</f>
        <v/>
      </c>
      <c r="E209" s="63">
        <f>IF(G209="","",YEAR(G209))</f>
        <v/>
      </c>
      <c r="F209" s="33">
        <f>IF(G209="","",CHOOSE(MONTH(G209),"Janeiro","Fevereiro","Março","Abril","Maio","Junho","Julho","Agosto","Setembro","Outubro","Novembro","Dezembro"))</f>
        <v/>
      </c>
      <c r="G209" s="64" t="n">
        <v>46059</v>
      </c>
      <c r="H209" s="65" t="n">
        <v>0.0353587962962963</v>
      </c>
      <c r="I209" s="66" t="inlineStr">
        <is>
          <t>https://docs.google.com/spreadsheets/d/1ZiCGoPjLCjuYvujDTXK9Ixbth3tekiLtFBzBrGjPCr4/edit?gid=0#gid=0</t>
        </is>
      </c>
      <c r="J209" s="67" t="inlineStr">
        <is>
          <t>Erro de Gps (Problema Técnico) - [GPS]</t>
        </is>
      </c>
      <c r="K209" s="67" t="inlineStr"/>
      <c r="L209" s="68" t="b">
        <v>0</v>
      </c>
      <c r="M209" s="20" t="n"/>
      <c r="N209" s="69">
        <f>IF($J209="","",IFERROR(INDEX(B!$F$2:$F$61,MATCH($J209,B!$E$2:$E$61,0))&amp;"",""))</f>
        <v/>
      </c>
      <c r="O209" s="69">
        <f>IF($J209="","",IFERROR(INDEX(B!$G$2:$G$61,MATCH($J209,B!$E$2:$E$61,0))&amp;"",""))</f>
        <v/>
      </c>
      <c r="P209" s="69">
        <f>IF($J209="","",IFERROR(INDEX(B!$H$2:$H$61,MATCH($J209,B!$E$2:$E$61,0))&amp;"",""))</f>
        <v/>
      </c>
      <c r="Q209" s="69">
        <f>IF($J209="","",IFERROR(INDEX(B!$I$2:$I$61,MATCH($J209,B!$E$2:$E$61,0))&amp;"",""))</f>
        <v/>
      </c>
      <c r="R209" s="69">
        <f>IF($J209="","",IFERROR(INDEX(B!$J$2:$J$61,MATCH($J209,B!$E$2:$E$61,0))&amp;"",""))</f>
        <v/>
      </c>
      <c r="S209" s="69">
        <f>IF($J209="","",IFERROR(INDEX(B!$K$2:$K$61,MATCH($J209,B!$E$2:$E$61,0))&amp;"",""))</f>
        <v/>
      </c>
      <c r="T209" s="69">
        <f>IF($J209="","",IFERROR(INDEX(B!$L$2:$L$61,MATCH($J209,B!$E$2:$E$61,0))&amp;"",""))</f>
        <v/>
      </c>
      <c r="U209" s="20" t="n"/>
      <c r="V209" s="70">
        <f>IF($J209="","",IFERROR(INDEX(B!$M$2:$M$61,MATCH($J209,B!$E$2:$E$61,0))&amp;"",""))</f>
        <v/>
      </c>
      <c r="W209" s="71">
        <f>IF(I209="","",IFERROR(MID(I209,FIND("/d/",I209)+3,FIND("/edit",I209)-FIND("/d/",I209)-3),I209))</f>
        <v/>
      </c>
      <c r="X209" s="71">
        <f>IF($J209="","",IFERROR(INDEX(B!$C$2:$C$61,MATCH($J209,B!$E$2:$E$61,0))&amp;"",""))</f>
        <v/>
      </c>
      <c r="Y209" s="20" t="n"/>
      <c r="Z209" s="72">
        <f>IF($J209="",FALSE,ISNUMBER(SEARCH("scout",$K209)))</f>
        <v/>
      </c>
      <c r="AA209" s="72">
        <f>IF($J209="",FALSE,IFERROR(INDEX(B!$N$2:$N$61,MATCH($J209,B!$E$2:$E$61,0))="Sim",FALSE))</f>
        <v/>
      </c>
      <c r="AB209" s="72">
        <f>IF($J209="",FALSE,LEFT($X209,2)="XX")</f>
        <v/>
      </c>
      <c r="AC209" s="72">
        <f>IF($J209="",FALSE,IFERROR(INDEX(B!$P$2:$P$61,MATCH($J209,B!$E$2:$E$61,0))="Sim",FALSE))</f>
        <v/>
      </c>
      <c r="AD209" s="20" t="n"/>
      <c r="AE209" s="52">
        <f>IF(H209="","",HOUR(H209))</f>
        <v/>
      </c>
      <c r="AF209" s="52" t="n"/>
    </row>
    <row r="210" ht="19.5" customHeight="1" s="58">
      <c r="A210" s="62">
        <f>IF(G210="","",IF(G210=G209,"",COUNTIF($G$3:$G$976,G210)))</f>
        <v/>
      </c>
      <c r="B210" s="20" t="n"/>
      <c r="C210" s="63">
        <f>IF(G210="","",DAY(G210))</f>
        <v/>
      </c>
      <c r="D210" s="63">
        <f>IF(G210="","",MONTH(G210))</f>
        <v/>
      </c>
      <c r="E210" s="63">
        <f>IF(G210="","",YEAR(G210))</f>
        <v/>
      </c>
      <c r="F210" s="33">
        <f>IF(G210="","",CHOOSE(MONTH(G210),"Janeiro","Fevereiro","Março","Abril","Maio","Junho","Julho","Agosto","Setembro","Outubro","Novembro","Dezembro"))</f>
        <v/>
      </c>
      <c r="G210" s="64" t="n">
        <v>46059</v>
      </c>
      <c r="H210" s="65" t="n">
        <v>0.03550925925925926</v>
      </c>
      <c r="I210" s="66" t="inlineStr">
        <is>
          <t>https://docs.google.com/spreadsheets/d/1ZiCGoPjLCjuYvujDTXK9Ixbth3tekiLtFBzBrGjPCr4/edit?gid=0#gid=0</t>
        </is>
      </c>
      <c r="J210" s="67" t="inlineStr">
        <is>
          <t>Mais informações (Quanto Pagou?) - [AAV]</t>
        </is>
      </c>
      <c r="K210" s="67" t="inlineStr"/>
      <c r="L210" s="68" t="b">
        <v>0</v>
      </c>
      <c r="M210" s="20" t="n"/>
      <c r="N210" s="69">
        <f>IF($J210="","",IFERROR(INDEX(B!$F$2:$F$61,MATCH($J210,B!$E$2:$E$61,0))&amp;"",""))</f>
        <v/>
      </c>
      <c r="O210" s="69">
        <f>IF($J210="","",IFERROR(INDEX(B!$G$2:$G$61,MATCH($J210,B!$E$2:$E$61,0))&amp;"",""))</f>
        <v/>
      </c>
      <c r="P210" s="69">
        <f>IF($J210="","",IFERROR(INDEX(B!$H$2:$H$61,MATCH($J210,B!$E$2:$E$61,0))&amp;"",""))</f>
        <v/>
      </c>
      <c r="Q210" s="69">
        <f>IF($J210="","",IFERROR(INDEX(B!$I$2:$I$61,MATCH($J210,B!$E$2:$E$61,0))&amp;"",""))</f>
        <v/>
      </c>
      <c r="R210" s="69">
        <f>IF($J210="","",IFERROR(INDEX(B!$J$2:$J$61,MATCH($J210,B!$E$2:$E$61,0))&amp;"",""))</f>
        <v/>
      </c>
      <c r="S210" s="69">
        <f>IF($J210="","",IFERROR(INDEX(B!$K$2:$K$61,MATCH($J210,B!$E$2:$E$61,0))&amp;"",""))</f>
        <v/>
      </c>
      <c r="T210" s="69">
        <f>IF($J210="","",IFERROR(INDEX(B!$L$2:$L$61,MATCH($J210,B!$E$2:$E$61,0))&amp;"",""))</f>
        <v/>
      </c>
      <c r="U210" s="20" t="n"/>
      <c r="V210" s="70">
        <f>IF($J210="","",IFERROR(INDEX(B!$M$2:$M$61,MATCH($J210,B!$E$2:$E$61,0))&amp;"",""))</f>
        <v/>
      </c>
      <c r="W210" s="71">
        <f>IF(I210="","",IFERROR(MID(I210,FIND("/d/",I210)+3,FIND("/edit",I210)-FIND("/d/",I210)-3),I210))</f>
        <v/>
      </c>
      <c r="X210" s="71">
        <f>IF($J210="","",IFERROR(INDEX(B!$C$2:$C$61,MATCH($J210,B!$E$2:$E$61,0))&amp;"",""))</f>
        <v/>
      </c>
      <c r="Y210" s="20" t="n"/>
      <c r="Z210" s="72">
        <f>IF($J210="",FALSE,ISNUMBER(SEARCH("scout",$K210)))</f>
        <v/>
      </c>
      <c r="AA210" s="72">
        <f>IF($J210="",FALSE,IFERROR(INDEX(B!$N$2:$N$61,MATCH($J210,B!$E$2:$E$61,0))="Sim",FALSE))</f>
        <v/>
      </c>
      <c r="AB210" s="72">
        <f>IF($J210="",FALSE,LEFT($X210,2)="XX")</f>
        <v/>
      </c>
      <c r="AC210" s="72">
        <f>IF($J210="",FALSE,IFERROR(INDEX(B!$P$2:$P$61,MATCH($J210,B!$E$2:$E$61,0))="Sim",FALSE))</f>
        <v/>
      </c>
      <c r="AD210" s="20" t="n"/>
      <c r="AE210" s="52">
        <f>IF(H210="","",HOUR(H210))</f>
        <v/>
      </c>
      <c r="AF210" s="52" t="n"/>
    </row>
    <row r="211" ht="19.5" customHeight="1" s="58">
      <c r="A211" s="62">
        <f>IF(G211="","",IF(G211=G210,"",COUNTIF($G$3:$G$976,G211)))</f>
        <v/>
      </c>
      <c r="B211" s="20" t="n"/>
      <c r="C211" s="63">
        <f>IF(G211="","",DAY(G211))</f>
        <v/>
      </c>
      <c r="D211" s="63">
        <f>IF(G211="","",MONTH(G211))</f>
        <v/>
      </c>
      <c r="E211" s="63">
        <f>IF(G211="","",YEAR(G211))</f>
        <v/>
      </c>
      <c r="F211" s="33">
        <f>IF(G211="","",CHOOSE(MONTH(G211),"Janeiro","Fevereiro","Março","Abril","Maio","Junho","Julho","Agosto","Setembro","Outubro","Novembro","Dezembro"))</f>
        <v/>
      </c>
      <c r="G211" s="64" t="n">
        <v>46059</v>
      </c>
      <c r="H211" s="65" t="n">
        <v>0.03898148148148148</v>
      </c>
      <c r="I211" s="66" t="inlineStr">
        <is>
          <t>https://docs.google.com/spreadsheets/d/1ZiCGoPjLCjuYvujDTXK9Ixbth3tekiLtFBzBrGjPCr4/edit?gid=0#gid=0</t>
        </is>
      </c>
      <c r="J211" s="67" t="inlineStr">
        <is>
          <t>Outros Valores Retidos (Pedágio, Cartão, Taxa de Cancelamento...) - [OTV]</t>
        </is>
      </c>
      <c r="K211" s="67" t="inlineStr"/>
      <c r="L211" s="68" t="b">
        <v>0</v>
      </c>
      <c r="M211" s="20" t="n"/>
      <c r="N211" s="69">
        <f>IF($J211="","",IFERROR(INDEX(B!$F$2:$F$61,MATCH($J211,B!$E$2:$E$61,0))&amp;"",""))</f>
        <v/>
      </c>
      <c r="O211" s="69">
        <f>IF($J211="","",IFERROR(INDEX(B!$G$2:$G$61,MATCH($J211,B!$E$2:$E$61,0))&amp;"",""))</f>
        <v/>
      </c>
      <c r="P211" s="69">
        <f>IF($J211="","",IFERROR(INDEX(B!$H$2:$H$61,MATCH($J211,B!$E$2:$E$61,0))&amp;"",""))</f>
        <v/>
      </c>
      <c r="Q211" s="69">
        <f>IF($J211="","",IFERROR(INDEX(B!$I$2:$I$61,MATCH($J211,B!$E$2:$E$61,0))&amp;"",""))</f>
        <v/>
      </c>
      <c r="R211" s="69">
        <f>IF($J211="","",IFERROR(INDEX(B!$J$2:$J$61,MATCH($J211,B!$E$2:$E$61,0))&amp;"",""))</f>
        <v/>
      </c>
      <c r="S211" s="69">
        <f>IF($J211="","",IFERROR(INDEX(B!$K$2:$K$61,MATCH($J211,B!$E$2:$E$61,0))&amp;"",""))</f>
        <v/>
      </c>
      <c r="T211" s="69">
        <f>IF($J211="","",IFERROR(INDEX(B!$L$2:$L$61,MATCH($J211,B!$E$2:$E$61,0))&amp;"",""))</f>
        <v/>
      </c>
      <c r="U211" s="20" t="n"/>
      <c r="V211" s="70">
        <f>IF($J211="","",IFERROR(INDEX(B!$M$2:$M$61,MATCH($J211,B!$E$2:$E$61,0))&amp;"",""))</f>
        <v/>
      </c>
      <c r="W211" s="71">
        <f>IF(I211="","",IFERROR(MID(I211,FIND("/d/",I211)+3,FIND("/edit",I211)-FIND("/d/",I211)-3),I211))</f>
        <v/>
      </c>
      <c r="X211" s="71">
        <f>IF($J211="","",IFERROR(INDEX(B!$C$2:$C$61,MATCH($J211,B!$E$2:$E$61,0))&amp;"",""))</f>
        <v/>
      </c>
      <c r="Y211" s="20" t="n"/>
      <c r="Z211" s="72">
        <f>IF($J211="",FALSE,ISNUMBER(SEARCH("scout",$K211)))</f>
        <v/>
      </c>
      <c r="AA211" s="72">
        <f>IF($J211="",FALSE,IFERROR(INDEX(B!$N$2:$N$61,MATCH($J211,B!$E$2:$E$61,0))="Sim",FALSE))</f>
        <v/>
      </c>
      <c r="AB211" s="72">
        <f>IF($J211="",FALSE,LEFT($X211,2)="XX")</f>
        <v/>
      </c>
      <c r="AC211" s="72">
        <f>IF($J211="",FALSE,IFERROR(INDEX(B!$P$2:$P$61,MATCH($J211,B!$E$2:$E$61,0))="Sim",FALSE))</f>
        <v/>
      </c>
      <c r="AD211" s="20" t="n"/>
      <c r="AE211" s="52">
        <f>IF(H211="","",HOUR(H211))</f>
        <v/>
      </c>
      <c r="AF211" s="52" t="n"/>
    </row>
    <row r="212" ht="19.5" customHeight="1" s="58">
      <c r="A212" s="62">
        <f>IF(G212="","",IF(G212=G211,"",COUNTIF($G$3:$G$976,G212)))</f>
        <v/>
      </c>
      <c r="B212" s="20" t="n"/>
      <c r="C212" s="63">
        <f>IF(G212="","",DAY(G212))</f>
        <v/>
      </c>
      <c r="D212" s="63">
        <f>IF(G212="","",MONTH(G212))</f>
        <v/>
      </c>
      <c r="E212" s="63">
        <f>IF(G212="","",YEAR(G212))</f>
        <v/>
      </c>
      <c r="F212" s="33">
        <f>IF(G212="","",CHOOSE(MONTH(G212),"Janeiro","Fevereiro","Março","Abril","Maio","Junho","Julho","Agosto","Setembro","Outubro","Novembro","Dezembro"))</f>
        <v/>
      </c>
      <c r="G212" s="64" t="n">
        <v>46059</v>
      </c>
      <c r="H212" s="65" t="n">
        <v>0.04210648148148148</v>
      </c>
      <c r="I212" s="66" t="inlineStr">
        <is>
          <t>https://docs.google.com/spreadsheets/d/1ZiCGoPjLCjuYvujDTXK9Ixbth3tekiLtFBzBrGjPCr4/edit?gid=0#gid=0</t>
        </is>
      </c>
      <c r="J212" s="67" t="inlineStr">
        <is>
          <t>Transferência de LOB (Accounts) - [TIAC]</t>
        </is>
      </c>
      <c r="K212" s="67" t="inlineStr">
        <is>
          <t>Scout</t>
        </is>
      </c>
      <c r="L212" s="68" t="b">
        <v>0</v>
      </c>
      <c r="M212" s="20" t="n"/>
      <c r="N212" s="69">
        <f>IF($J212="","",IFERROR(INDEX(B!$F$2:$F$61,MATCH($J212,B!$E$2:$E$61,0))&amp;"",""))</f>
        <v/>
      </c>
      <c r="O212" s="69">
        <f>IF($J212="","",IFERROR(INDEX(B!$G$2:$G$61,MATCH($J212,B!$E$2:$E$61,0))&amp;"",""))</f>
        <v/>
      </c>
      <c r="P212" s="69">
        <f>IF($J212="","",IFERROR(INDEX(B!$H$2:$H$61,MATCH($J212,B!$E$2:$E$61,0))&amp;"",""))</f>
        <v/>
      </c>
      <c r="Q212" s="69">
        <f>IF($J212="","",IFERROR(INDEX(B!$I$2:$I$61,MATCH($J212,B!$E$2:$E$61,0))&amp;"",""))</f>
        <v/>
      </c>
      <c r="R212" s="69">
        <f>IF($J212="","",IFERROR(INDEX(B!$J$2:$J$61,MATCH($J212,B!$E$2:$E$61,0))&amp;"",""))</f>
        <v/>
      </c>
      <c r="S212" s="69">
        <f>IF($J212="","",IFERROR(INDEX(B!$K$2:$K$61,MATCH($J212,B!$E$2:$E$61,0))&amp;"",""))</f>
        <v/>
      </c>
      <c r="T212" s="69">
        <f>IF($J212="","",IFERROR(INDEX(B!$L$2:$L$61,MATCH($J212,B!$E$2:$E$61,0))&amp;"",""))</f>
        <v/>
      </c>
      <c r="U212" s="20" t="n"/>
      <c r="V212" s="70">
        <f>IF($J212="","",IFERROR(INDEX(B!$M$2:$M$61,MATCH($J212,B!$E$2:$E$61,0))&amp;"",""))</f>
        <v/>
      </c>
      <c r="W212" s="71">
        <f>IF(I212="","",IFERROR(MID(I212,FIND("/d/",I212)+3,FIND("/edit",I212)-FIND("/d/",I212)-3),I212))</f>
        <v/>
      </c>
      <c r="X212" s="71">
        <f>IF($J212="","",IFERROR(INDEX(B!$C$2:$C$61,MATCH($J212,B!$E$2:$E$61,0))&amp;"",""))</f>
        <v/>
      </c>
      <c r="Y212" s="20" t="n"/>
      <c r="Z212" s="72">
        <f>IF($J212="",FALSE,ISNUMBER(SEARCH("scout",$K212)))</f>
        <v/>
      </c>
      <c r="AA212" s="72">
        <f>IF($J212="",FALSE,IFERROR(INDEX(B!$N$2:$N$61,MATCH($J212,B!$E$2:$E$61,0))="Sim",FALSE))</f>
        <v/>
      </c>
      <c r="AB212" s="72">
        <f>IF($J212="",FALSE,LEFT($X212,2)="XX")</f>
        <v/>
      </c>
      <c r="AC212" s="72">
        <f>IF($J212="",FALSE,IFERROR(INDEX(B!$P$2:$P$61,MATCH($J212,B!$E$2:$E$61,0))="Sim",FALSE))</f>
        <v/>
      </c>
      <c r="AD212" s="20" t="n"/>
      <c r="AE212" s="52">
        <f>IF(H212="","",HOUR(H212))</f>
        <v/>
      </c>
      <c r="AF212" s="52" t="n"/>
    </row>
    <row r="213" ht="19.5" customHeight="1" s="58">
      <c r="A213" s="62">
        <f>IF(G213="","",IF(G213=G212,"",COUNTIF($G$3:$G$976,G213)))</f>
        <v/>
      </c>
      <c r="B213" s="20" t="n"/>
      <c r="C213" s="63">
        <f>IF(G213="","",DAY(G213))</f>
        <v/>
      </c>
      <c r="D213" s="63">
        <f>IF(G213="","",MONTH(G213))</f>
        <v/>
      </c>
      <c r="E213" s="63">
        <f>IF(G213="","",YEAR(G213))</f>
        <v/>
      </c>
      <c r="F213" s="33">
        <f>IF(G213="","",CHOOSE(MONTH(G213),"Janeiro","Fevereiro","Março","Abril","Maio","Junho","Julho","Agosto","Setembro","Outubro","Novembro","Dezembro"))</f>
        <v/>
      </c>
      <c r="G213" s="64" t="n">
        <v>46059</v>
      </c>
      <c r="H213" s="65" t="n">
        <v>0.04310185185185185</v>
      </c>
      <c r="I213" s="66" t="inlineStr">
        <is>
          <t>https://docs.google.com/spreadsheets/d/1ZiCGoPjLCjuYvujDTXK9Ixbth3tekiLtFBzBrGjPCr4/edit?gid=0#gid=0</t>
        </is>
      </c>
      <c r="J213" s="67" t="inlineStr">
        <is>
          <t>Taxa de Limpeza - [TXL]</t>
        </is>
      </c>
      <c r="K213" s="67" t="inlineStr">
        <is>
          <t>Scout</t>
        </is>
      </c>
      <c r="L213" s="68" t="b">
        <v>0</v>
      </c>
      <c r="M213" s="20" t="n"/>
      <c r="N213" s="69">
        <f>IF($J213="","",IFERROR(INDEX(B!$F$2:$F$61,MATCH($J213,B!$E$2:$E$61,0))&amp;"",""))</f>
        <v/>
      </c>
      <c r="O213" s="69">
        <f>IF($J213="","",IFERROR(INDEX(B!$G$2:$G$61,MATCH($J213,B!$E$2:$E$61,0))&amp;"",""))</f>
        <v/>
      </c>
      <c r="P213" s="69">
        <f>IF($J213="","",IFERROR(INDEX(B!$H$2:$H$61,MATCH($J213,B!$E$2:$E$61,0))&amp;"",""))</f>
        <v/>
      </c>
      <c r="Q213" s="69">
        <f>IF($J213="","",IFERROR(INDEX(B!$I$2:$I$61,MATCH($J213,B!$E$2:$E$61,0))&amp;"",""))</f>
        <v/>
      </c>
      <c r="R213" s="69">
        <f>IF($J213="","",IFERROR(INDEX(B!$J$2:$J$61,MATCH($J213,B!$E$2:$E$61,0))&amp;"",""))</f>
        <v/>
      </c>
      <c r="S213" s="69">
        <f>IF($J213="","",IFERROR(INDEX(B!$K$2:$K$61,MATCH($J213,B!$E$2:$E$61,0))&amp;"",""))</f>
        <v/>
      </c>
      <c r="T213" s="69">
        <f>IF($J213="","",IFERROR(INDEX(B!$L$2:$L$61,MATCH($J213,B!$E$2:$E$61,0))&amp;"",""))</f>
        <v/>
      </c>
      <c r="U213" s="20" t="n"/>
      <c r="V213" s="70">
        <f>IF($J213="","",IFERROR(INDEX(B!$M$2:$M$61,MATCH($J213,B!$E$2:$E$61,0))&amp;"",""))</f>
        <v/>
      </c>
      <c r="W213" s="71">
        <f>IF(I213="","",IFERROR(MID(I213,FIND("/d/",I213)+3,FIND("/edit",I213)-FIND("/d/",I213)-3),I213))</f>
        <v/>
      </c>
      <c r="X213" s="71">
        <f>IF($J213="","",IFERROR(INDEX(B!$C$2:$C$61,MATCH($J213,B!$E$2:$E$61,0))&amp;"",""))</f>
        <v/>
      </c>
      <c r="Y213" s="20" t="n"/>
      <c r="Z213" s="72">
        <f>IF($J213="",FALSE,ISNUMBER(SEARCH("scout",$K213)))</f>
        <v/>
      </c>
      <c r="AA213" s="72">
        <f>IF($J213="",FALSE,IFERROR(INDEX(B!$N$2:$N$61,MATCH($J213,B!$E$2:$E$61,0))="Sim",FALSE))</f>
        <v/>
      </c>
      <c r="AB213" s="72">
        <f>IF($J213="",FALSE,LEFT($X213,2)="XX")</f>
        <v/>
      </c>
      <c r="AC213" s="72">
        <f>IF($J213="",FALSE,IFERROR(INDEX(B!$P$2:$P$61,MATCH($J213,B!$E$2:$E$61,0))="Sim",FALSE))</f>
        <v/>
      </c>
      <c r="AD213" s="20" t="n"/>
      <c r="AE213" s="52">
        <f>IF(H213="","",HOUR(H213))</f>
        <v/>
      </c>
      <c r="AF213" s="52" t="n"/>
    </row>
    <row r="214" ht="19.5" customHeight="1" s="58">
      <c r="A214" s="62">
        <f>IF(G214="","",IF(G214=G213,"",COUNTIF($G$3:$G$976,G214)))</f>
        <v/>
      </c>
      <c r="B214" s="20" t="n"/>
      <c r="C214" s="63">
        <f>IF(G214="","",DAY(G214))</f>
        <v/>
      </c>
      <c r="D214" s="63">
        <f>IF(G214="","",MONTH(G214))</f>
        <v/>
      </c>
      <c r="E214" s="63">
        <f>IF(G214="","",YEAR(G214))</f>
        <v/>
      </c>
      <c r="F214" s="33">
        <f>IF(G214="","",CHOOSE(MONTH(G214),"Janeiro","Fevereiro","Março","Abril","Maio","Junho","Julho","Agosto","Setembro","Outubro","Novembro","Dezembro"))</f>
        <v/>
      </c>
      <c r="G214" s="64" t="n">
        <v>46059</v>
      </c>
      <c r="H214" s="65" t="n">
        <v>0.0465625</v>
      </c>
      <c r="I214" s="66" t="inlineStr">
        <is>
          <t>https://docs.google.com/spreadsheets/d/1ZiCGoPjLCjuYvujDTXK9Ixbth3tekiLtFBzBrGjPCr4/edit?gid=0#gid=0</t>
        </is>
      </c>
      <c r="J214" s="67" t="inlineStr">
        <is>
          <t>Não houve Taxa de Cancelamento - [NTX]</t>
        </is>
      </c>
      <c r="K214" s="67" t="inlineStr">
        <is>
          <t>Scout</t>
        </is>
      </c>
      <c r="L214" s="68" t="b">
        <v>0</v>
      </c>
      <c r="M214" s="20" t="n"/>
      <c r="N214" s="69">
        <f>IF($J214="","",IFERROR(INDEX(B!$F$2:$F$61,MATCH($J214,B!$E$2:$E$61,0))&amp;"",""))</f>
        <v/>
      </c>
      <c r="O214" s="69">
        <f>IF($J214="","",IFERROR(INDEX(B!$G$2:$G$61,MATCH($J214,B!$E$2:$E$61,0))&amp;"",""))</f>
        <v/>
      </c>
      <c r="P214" s="69">
        <f>IF($J214="","",IFERROR(INDEX(B!$H$2:$H$61,MATCH($J214,B!$E$2:$E$61,0))&amp;"",""))</f>
        <v/>
      </c>
      <c r="Q214" s="69">
        <f>IF($J214="","",IFERROR(INDEX(B!$I$2:$I$61,MATCH($J214,B!$E$2:$E$61,0))&amp;"",""))</f>
        <v/>
      </c>
      <c r="R214" s="69">
        <f>IF($J214="","",IFERROR(INDEX(B!$J$2:$J$61,MATCH($J214,B!$E$2:$E$61,0))&amp;"",""))</f>
        <v/>
      </c>
      <c r="S214" s="69">
        <f>IF($J214="","",IFERROR(INDEX(B!$K$2:$K$61,MATCH($J214,B!$E$2:$E$61,0))&amp;"",""))</f>
        <v/>
      </c>
      <c r="T214" s="69">
        <f>IF($J214="","",IFERROR(INDEX(B!$L$2:$L$61,MATCH($J214,B!$E$2:$E$61,0))&amp;"",""))</f>
        <v/>
      </c>
      <c r="U214" s="20" t="n"/>
      <c r="V214" s="70">
        <f>IF($J214="","",IFERROR(INDEX(B!$M$2:$M$61,MATCH($J214,B!$E$2:$E$61,0))&amp;"",""))</f>
        <v/>
      </c>
      <c r="W214" s="71">
        <f>IF(I214="","",IFERROR(MID(I214,FIND("/d/",I214)+3,FIND("/edit",I214)-FIND("/d/",I214)-3),I214))</f>
        <v/>
      </c>
      <c r="X214" s="71">
        <f>IF($J214="","",IFERROR(INDEX(B!$C$2:$C$61,MATCH($J214,B!$E$2:$E$61,0))&amp;"",""))</f>
        <v/>
      </c>
      <c r="Y214" s="20" t="n"/>
      <c r="Z214" s="72">
        <f>IF($J214="",FALSE,ISNUMBER(SEARCH("scout",$K214)))</f>
        <v/>
      </c>
      <c r="AA214" s="72">
        <f>IF($J214="",FALSE,IFERROR(INDEX(B!$N$2:$N$61,MATCH($J214,B!$E$2:$E$61,0))="Sim",FALSE))</f>
        <v/>
      </c>
      <c r="AB214" s="72">
        <f>IF($J214="",FALSE,LEFT($X214,2)="XX")</f>
        <v/>
      </c>
      <c r="AC214" s="72">
        <f>IF($J214="",FALSE,IFERROR(INDEX(B!$P$2:$P$61,MATCH($J214,B!$E$2:$E$61,0))="Sim",FALSE))</f>
        <v/>
      </c>
      <c r="AD214" s="20" t="n"/>
      <c r="AE214" s="52">
        <f>IF(H214="","",HOUR(H214))</f>
        <v/>
      </c>
      <c r="AF214" s="52" t="n"/>
    </row>
    <row r="215" ht="19.5" customHeight="1" s="58">
      <c r="A215" s="62">
        <f>IF(G215="","",IF(G215=G214,"",COUNTIF($G$3:$G$976,G215)))</f>
        <v/>
      </c>
      <c r="B215" s="20" t="n"/>
      <c r="C215" s="63">
        <f>IF(G215="","",DAY(G215))</f>
        <v/>
      </c>
      <c r="D215" s="63">
        <f>IF(G215="","",MONTH(G215))</f>
        <v/>
      </c>
      <c r="E215" s="63">
        <f>IF(G215="","",YEAR(G215))</f>
        <v/>
      </c>
      <c r="F215" s="33">
        <f>IF(G215="","",CHOOSE(MONTH(G215),"Janeiro","Fevereiro","Março","Abril","Maio","Junho","Julho","Agosto","Setembro","Outubro","Novembro","Dezembro"))</f>
        <v/>
      </c>
      <c r="G215" s="64" t="n">
        <v>46060</v>
      </c>
      <c r="H215" s="65" t="n">
        <v>0.007210648148148148</v>
      </c>
      <c r="I215" s="66" t="inlineStr">
        <is>
          <t>https://docs.google.com/spreadsheets/d/1ZiCGoPjLCjuYvujDTXK9Ixbth3tekiLtFBzBrGjPCr4/edit?gid=0#gid=0</t>
        </is>
      </c>
      <c r="J215" s="67" t="inlineStr">
        <is>
          <t>Transferência de LOB (Profissionalismo) - [TIPR]</t>
        </is>
      </c>
      <c r="K215" s="67" t="inlineStr"/>
      <c r="L215" s="68" t="b">
        <v>0</v>
      </c>
      <c r="M215" s="20" t="n"/>
      <c r="N215" s="69">
        <f>IF($J215="","",IFERROR(INDEX(B!$F$2:$F$61,MATCH($J215,B!$E$2:$E$61,0))&amp;"",""))</f>
        <v/>
      </c>
      <c r="O215" s="69">
        <f>IF($J215="","",IFERROR(INDEX(B!$G$2:$G$61,MATCH($J215,B!$E$2:$E$61,0))&amp;"",""))</f>
        <v/>
      </c>
      <c r="P215" s="69">
        <f>IF($J215="","",IFERROR(INDEX(B!$H$2:$H$61,MATCH($J215,B!$E$2:$E$61,0))&amp;"",""))</f>
        <v/>
      </c>
      <c r="Q215" s="69">
        <f>IF($J215="","",IFERROR(INDEX(B!$I$2:$I$61,MATCH($J215,B!$E$2:$E$61,0))&amp;"",""))</f>
        <v/>
      </c>
      <c r="R215" s="69">
        <f>IF($J215="","",IFERROR(INDEX(B!$J$2:$J$61,MATCH($J215,B!$E$2:$E$61,0))&amp;"",""))</f>
        <v/>
      </c>
      <c r="S215" s="69">
        <f>IF($J215="","",IFERROR(INDEX(B!$K$2:$K$61,MATCH($J215,B!$E$2:$E$61,0))&amp;"",""))</f>
        <v/>
      </c>
      <c r="T215" s="69">
        <f>IF($J215="","",IFERROR(INDEX(B!$L$2:$L$61,MATCH($J215,B!$E$2:$E$61,0))&amp;"",""))</f>
        <v/>
      </c>
      <c r="U215" s="20" t="n"/>
      <c r="V215" s="70">
        <f>IF($J215="","",IFERROR(INDEX(B!$M$2:$M$61,MATCH($J215,B!$E$2:$E$61,0))&amp;"",""))</f>
        <v/>
      </c>
      <c r="W215" s="71">
        <f>IF(I215="","",IFERROR(MID(I215,FIND("/d/",I215)+3,FIND("/edit",I215)-FIND("/d/",I215)-3),I215))</f>
        <v/>
      </c>
      <c r="X215" s="71">
        <f>IF($J215="","",IFERROR(INDEX(B!$C$2:$C$61,MATCH($J215,B!$E$2:$E$61,0))&amp;"",""))</f>
        <v/>
      </c>
      <c r="Y215" s="20" t="n"/>
      <c r="Z215" s="72">
        <f>IF($J215="",FALSE,ISNUMBER(SEARCH("scout",$K215)))</f>
        <v/>
      </c>
      <c r="AA215" s="72">
        <f>IF($J215="",FALSE,IFERROR(INDEX(B!$N$2:$N$61,MATCH($J215,B!$E$2:$E$61,0))="Sim",FALSE))</f>
        <v/>
      </c>
      <c r="AB215" s="72">
        <f>IF($J215="",FALSE,LEFT($X215,2)="XX")</f>
        <v/>
      </c>
      <c r="AC215" s="72">
        <f>IF($J215="",FALSE,IFERROR(INDEX(B!$P$2:$P$61,MATCH($J215,B!$E$2:$E$61,0))="Sim",FALSE))</f>
        <v/>
      </c>
      <c r="AD215" s="20" t="n"/>
      <c r="AE215" s="52">
        <f>IF(H215="","",HOUR(H215))</f>
        <v/>
      </c>
      <c r="AF215" s="52" t="n"/>
    </row>
    <row r="216" ht="19.5" customHeight="1" s="58">
      <c r="A216" s="62">
        <f>IF(G216="","",IF(G216=G215,"",COUNTIF($G$3:$G$976,G216)))</f>
        <v/>
      </c>
      <c r="B216" s="20" t="n"/>
      <c r="C216" s="63">
        <f>IF(G216="","",DAY(G216))</f>
        <v/>
      </c>
      <c r="D216" s="63">
        <f>IF(G216="","",MONTH(G216))</f>
        <v/>
      </c>
      <c r="E216" s="63">
        <f>IF(G216="","",YEAR(G216))</f>
        <v/>
      </c>
      <c r="F216" s="33">
        <f>IF(G216="","",CHOOSE(MONTH(G216),"Janeiro","Fevereiro","Março","Abril","Maio","Junho","Julho","Agosto","Setembro","Outubro","Novembro","Dezembro"))</f>
        <v/>
      </c>
      <c r="G216" s="64" t="n">
        <v>46060</v>
      </c>
      <c r="H216" s="65" t="n">
        <v>0.009942129629629629</v>
      </c>
      <c r="I216" s="66" t="inlineStr">
        <is>
          <t>https://docs.google.com/spreadsheets/d/1ZiCGoPjLCjuYvujDTXK9Ixbth3tekiLtFBzBrGjPCr4/edit?gid=0#gid=0</t>
        </is>
      </c>
      <c r="J216" s="67" t="inlineStr">
        <is>
          <t>Transferência de LOB (Lost Items) - [TILI]</t>
        </is>
      </c>
      <c r="K216" s="67" t="inlineStr"/>
      <c r="L216" s="68" t="b">
        <v>0</v>
      </c>
      <c r="M216" s="20" t="n"/>
      <c r="N216" s="69">
        <f>IF($J216="","",IFERROR(INDEX(B!$F$2:$F$61,MATCH($J216,B!$E$2:$E$61,0))&amp;"",""))</f>
        <v/>
      </c>
      <c r="O216" s="69">
        <f>IF($J216="","",IFERROR(INDEX(B!$G$2:$G$61,MATCH($J216,B!$E$2:$E$61,0))&amp;"",""))</f>
        <v/>
      </c>
      <c r="P216" s="69">
        <f>IF($J216="","",IFERROR(INDEX(B!$H$2:$H$61,MATCH($J216,B!$E$2:$E$61,0))&amp;"",""))</f>
        <v/>
      </c>
      <c r="Q216" s="69">
        <f>IF($J216="","",IFERROR(INDEX(B!$I$2:$I$61,MATCH($J216,B!$E$2:$E$61,0))&amp;"",""))</f>
        <v/>
      </c>
      <c r="R216" s="69">
        <f>IF($J216="","",IFERROR(INDEX(B!$J$2:$J$61,MATCH($J216,B!$E$2:$E$61,0))&amp;"",""))</f>
        <v/>
      </c>
      <c r="S216" s="69">
        <f>IF($J216="","",IFERROR(INDEX(B!$K$2:$K$61,MATCH($J216,B!$E$2:$E$61,0))&amp;"",""))</f>
        <v/>
      </c>
      <c r="T216" s="69">
        <f>IF($J216="","",IFERROR(INDEX(B!$L$2:$L$61,MATCH($J216,B!$E$2:$E$61,0))&amp;"",""))</f>
        <v/>
      </c>
      <c r="U216" s="20" t="n"/>
      <c r="V216" s="70">
        <f>IF($J216="","",IFERROR(INDEX(B!$M$2:$M$61,MATCH($J216,B!$E$2:$E$61,0))&amp;"",""))</f>
        <v/>
      </c>
      <c r="W216" s="71">
        <f>IF(I216="","",IFERROR(MID(I216,FIND("/d/",I216)+3,FIND("/edit",I216)-FIND("/d/",I216)-3),I216))</f>
        <v/>
      </c>
      <c r="X216" s="71">
        <f>IF($J216="","",IFERROR(INDEX(B!$C$2:$C$61,MATCH($J216,B!$E$2:$E$61,0))&amp;"",""))</f>
        <v/>
      </c>
      <c r="Y216" s="20" t="n"/>
      <c r="Z216" s="72">
        <f>IF($J216="",FALSE,ISNUMBER(SEARCH("scout",$K216)))</f>
        <v/>
      </c>
      <c r="AA216" s="72">
        <f>IF($J216="",FALSE,IFERROR(INDEX(B!$N$2:$N$61,MATCH($J216,B!$E$2:$E$61,0))="Sim",FALSE))</f>
        <v/>
      </c>
      <c r="AB216" s="72">
        <f>IF($J216="",FALSE,LEFT($X216,2)="XX")</f>
        <v/>
      </c>
      <c r="AC216" s="72">
        <f>IF($J216="",FALSE,IFERROR(INDEX(B!$P$2:$P$61,MATCH($J216,B!$E$2:$E$61,0))="Sim",FALSE))</f>
        <v/>
      </c>
      <c r="AD216" s="20" t="n"/>
      <c r="AE216" s="52">
        <f>IF(H216="","",HOUR(H216))</f>
        <v/>
      </c>
      <c r="AF216" s="52" t="n"/>
    </row>
    <row r="217" ht="19.5" customHeight="1" s="58">
      <c r="A217" s="62">
        <f>IF(G217="","",IF(G217=G216,"",COUNTIF($G$3:$G$976,G217)))</f>
        <v/>
      </c>
      <c r="B217" s="20" t="n"/>
      <c r="C217" s="63">
        <f>IF(G217="","",DAY(G217))</f>
        <v/>
      </c>
      <c r="D217" s="63">
        <f>IF(G217="","",MONTH(G217))</f>
        <v/>
      </c>
      <c r="E217" s="63">
        <f>IF(G217="","",YEAR(G217))</f>
        <v/>
      </c>
      <c r="F217" s="33">
        <f>IF(G217="","",CHOOSE(MONTH(G217),"Janeiro","Fevereiro","Março","Abril","Maio","Junho","Julho","Agosto","Setembro","Outubro","Novembro","Dezembro"))</f>
        <v/>
      </c>
      <c r="G217" s="64" t="n">
        <v>46060</v>
      </c>
      <c r="H217" s="65" t="n">
        <v>0.01070601851851852</v>
      </c>
      <c r="I217" s="66" t="inlineStr">
        <is>
          <t>https://docs.google.com/spreadsheets/d/1ZiCGoPjLCjuYvujDTXK9Ixbth3tekiLtFBzBrGjPCr4/edit?gid=0#gid=0</t>
        </is>
      </c>
      <c r="J217" s="67" t="inlineStr">
        <is>
          <t>Overpaid, Excede o limite, Sem comprovante - [OPEN]</t>
        </is>
      </c>
      <c r="K217" s="67" t="inlineStr"/>
      <c r="L217" s="68" t="b">
        <v>0</v>
      </c>
      <c r="M217" s="20" t="n"/>
      <c r="N217" s="69">
        <f>IF($J217="","",IFERROR(INDEX(B!$F$2:$F$61,MATCH($J217,B!$E$2:$E$61,0))&amp;"",""))</f>
        <v/>
      </c>
      <c r="O217" s="69">
        <f>IF($J217="","",IFERROR(INDEX(B!$G$2:$G$61,MATCH($J217,B!$E$2:$E$61,0))&amp;"",""))</f>
        <v/>
      </c>
      <c r="P217" s="69">
        <f>IF($J217="","",IFERROR(INDEX(B!$H$2:$H$61,MATCH($J217,B!$E$2:$E$61,0))&amp;"",""))</f>
        <v/>
      </c>
      <c r="Q217" s="69">
        <f>IF($J217="","",IFERROR(INDEX(B!$I$2:$I$61,MATCH($J217,B!$E$2:$E$61,0))&amp;"",""))</f>
        <v/>
      </c>
      <c r="R217" s="69">
        <f>IF($J217="","",IFERROR(INDEX(B!$J$2:$J$61,MATCH($J217,B!$E$2:$E$61,0))&amp;"",""))</f>
        <v/>
      </c>
      <c r="S217" s="69">
        <f>IF($J217="","",IFERROR(INDEX(B!$K$2:$K$61,MATCH($J217,B!$E$2:$E$61,0))&amp;"",""))</f>
        <v/>
      </c>
      <c r="T217" s="69">
        <f>IF($J217="","",IFERROR(INDEX(B!$L$2:$L$61,MATCH($J217,B!$E$2:$E$61,0))&amp;"",""))</f>
        <v/>
      </c>
      <c r="U217" s="20" t="n"/>
      <c r="V217" s="70">
        <f>IF($J217="","",IFERROR(INDEX(B!$M$2:$M$61,MATCH($J217,B!$E$2:$E$61,0))&amp;"",""))</f>
        <v/>
      </c>
      <c r="W217" s="71">
        <f>IF(I217="","",IFERROR(MID(I217,FIND("/d/",I217)+3,FIND("/edit",I217)-FIND("/d/",I217)-3),I217))</f>
        <v/>
      </c>
      <c r="X217" s="71">
        <f>IF($J217="","",IFERROR(INDEX(B!$C$2:$C$61,MATCH($J217,B!$E$2:$E$61,0))&amp;"",""))</f>
        <v/>
      </c>
      <c r="Y217" s="20" t="n"/>
      <c r="Z217" s="72">
        <f>IF($J217="",FALSE,ISNUMBER(SEARCH("scout",$K217)))</f>
        <v/>
      </c>
      <c r="AA217" s="72">
        <f>IF($J217="",FALSE,IFERROR(INDEX(B!$N$2:$N$61,MATCH($J217,B!$E$2:$E$61,0))="Sim",FALSE))</f>
        <v/>
      </c>
      <c r="AB217" s="72">
        <f>IF($J217="",FALSE,LEFT($X217,2)="XX")</f>
        <v/>
      </c>
      <c r="AC217" s="72">
        <f>IF($J217="",FALSE,IFERROR(INDEX(B!$P$2:$P$61,MATCH($J217,B!$E$2:$E$61,0))="Sim",FALSE))</f>
        <v/>
      </c>
      <c r="AD217" s="20" t="n"/>
      <c r="AE217" s="52">
        <f>IF(H217="","",HOUR(H217))</f>
        <v/>
      </c>
      <c r="AF217" s="52" t="n"/>
    </row>
    <row r="218" ht="19.5" customHeight="1" s="58">
      <c r="A218" s="62">
        <f>IF(G218="","",IF(G218=G217,"",COUNTIF($G$3:$G$976,G218)))</f>
        <v/>
      </c>
      <c r="B218" s="20" t="n"/>
      <c r="C218" s="63">
        <f>IF(G218="","",DAY(G218))</f>
        <v/>
      </c>
      <c r="D218" s="63">
        <f>IF(G218="","",MONTH(G218))</f>
        <v/>
      </c>
      <c r="E218" s="63">
        <f>IF(G218="","",YEAR(G218))</f>
        <v/>
      </c>
      <c r="F218" s="33">
        <f>IF(G218="","",CHOOSE(MONTH(G218),"Janeiro","Fevereiro","Março","Abril","Maio","Junho","Julho","Agosto","Setembro","Outubro","Novembro","Dezembro"))</f>
        <v/>
      </c>
      <c r="G218" s="64" t="n">
        <v>46060</v>
      </c>
      <c r="H218" s="65" t="n">
        <v>0.01363425925925926</v>
      </c>
      <c r="I218" s="66" t="inlineStr">
        <is>
          <t>https://docs.google.com/spreadsheets/d/1ZiCGoPjLCjuYvujDTXK9Ixbth3tekiLtFBzBrGjPCr4/edit?gid=0#gid=0</t>
        </is>
      </c>
      <c r="J218" s="67" t="inlineStr">
        <is>
          <t>Comprovante de Pagamento - [CP]</t>
        </is>
      </c>
      <c r="K218" s="67" t="inlineStr"/>
      <c r="L218" s="68" t="b">
        <v>0</v>
      </c>
      <c r="M218" s="20" t="n"/>
      <c r="N218" s="69">
        <f>IF($J218="","",IFERROR(INDEX(B!$F$2:$F$61,MATCH($J218,B!$E$2:$E$61,0))&amp;"",""))</f>
        <v/>
      </c>
      <c r="O218" s="69">
        <f>IF($J218="","",IFERROR(INDEX(B!$G$2:$G$61,MATCH($J218,B!$E$2:$E$61,0))&amp;"",""))</f>
        <v/>
      </c>
      <c r="P218" s="69">
        <f>IF($J218="","",IFERROR(INDEX(B!$H$2:$H$61,MATCH($J218,B!$E$2:$E$61,0))&amp;"",""))</f>
        <v/>
      </c>
      <c r="Q218" s="69">
        <f>IF($J218="","",IFERROR(INDEX(B!$I$2:$I$61,MATCH($J218,B!$E$2:$E$61,0))&amp;"",""))</f>
        <v/>
      </c>
      <c r="R218" s="69">
        <f>IF($J218="","",IFERROR(INDEX(B!$J$2:$J$61,MATCH($J218,B!$E$2:$E$61,0))&amp;"",""))</f>
        <v/>
      </c>
      <c r="S218" s="69">
        <f>IF($J218="","",IFERROR(INDEX(B!$K$2:$K$61,MATCH($J218,B!$E$2:$E$61,0))&amp;"",""))</f>
        <v/>
      </c>
      <c r="T218" s="69">
        <f>IF($J218="","",IFERROR(INDEX(B!$L$2:$L$61,MATCH($J218,B!$E$2:$E$61,0))&amp;"",""))</f>
        <v/>
      </c>
      <c r="U218" s="20" t="n"/>
      <c r="V218" s="70">
        <f>IF($J218="","",IFERROR(INDEX(B!$M$2:$M$61,MATCH($J218,B!$E$2:$E$61,0))&amp;"",""))</f>
        <v/>
      </c>
      <c r="W218" s="71">
        <f>IF(I218="","",IFERROR(MID(I218,FIND("/d/",I218)+3,FIND("/edit",I218)-FIND("/d/",I218)-3),I218))</f>
        <v/>
      </c>
      <c r="X218" s="71">
        <f>IF($J218="","",IFERROR(INDEX(B!$C$2:$C$61,MATCH($J218,B!$E$2:$E$61,0))&amp;"",""))</f>
        <v/>
      </c>
      <c r="Y218" s="20" t="n"/>
      <c r="Z218" s="72">
        <f>IF($J218="",FALSE,ISNUMBER(SEARCH("scout",$K218)))</f>
        <v/>
      </c>
      <c r="AA218" s="72">
        <f>IF($J218="",FALSE,IFERROR(INDEX(B!$N$2:$N$61,MATCH($J218,B!$E$2:$E$61,0))="Sim",FALSE))</f>
        <v/>
      </c>
      <c r="AB218" s="72">
        <f>IF($J218="",FALSE,LEFT($X218,2)="XX")</f>
        <v/>
      </c>
      <c r="AC218" s="72">
        <f>IF($J218="",FALSE,IFERROR(INDEX(B!$P$2:$P$61,MATCH($J218,B!$E$2:$E$61,0))="Sim",FALSE))</f>
        <v/>
      </c>
      <c r="AD218" s="20" t="n"/>
      <c r="AE218" s="52">
        <f>IF(H218="","",HOUR(H218))</f>
        <v/>
      </c>
      <c r="AF218" s="52" t="n"/>
    </row>
    <row r="219" ht="19.5" customHeight="1" s="58">
      <c r="A219" s="62">
        <f>IF(G219="","",IF(G219=G218,"",COUNTIF($G$3:$G$976,G219)))</f>
        <v/>
      </c>
      <c r="B219" s="20" t="n"/>
      <c r="C219" s="63">
        <f>IF(G219="","",DAY(G219))</f>
        <v/>
      </c>
      <c r="D219" s="63">
        <f>IF(G219="","",MONTH(G219))</f>
        <v/>
      </c>
      <c r="E219" s="63">
        <f>IF(G219="","",YEAR(G219))</f>
        <v/>
      </c>
      <c r="F219" s="33">
        <f>IF(G219="","",CHOOSE(MONTH(G219),"Janeiro","Fevereiro","Março","Abril","Maio","Junho","Julho","Agosto","Setembro","Outubro","Novembro","Dezembro"))</f>
        <v/>
      </c>
      <c r="G219" s="64" t="n">
        <v>46060</v>
      </c>
      <c r="H219" s="65" t="n">
        <v>0.01792824074074074</v>
      </c>
      <c r="I219" s="66" t="inlineStr">
        <is>
          <t>https://docs.google.com/spreadsheets/d/1ZiCGoPjLCjuYvujDTXK9Ixbth3tekiLtFBzBrGjPCr4/edit?gid=0#gid=0</t>
        </is>
      </c>
      <c r="J219" s="67" t="inlineStr">
        <is>
          <t>Taxa de Limpeza - [TXL]</t>
        </is>
      </c>
      <c r="K219" s="67" t="inlineStr"/>
      <c r="L219" s="68" t="b">
        <v>0</v>
      </c>
      <c r="M219" s="20" t="n"/>
      <c r="N219" s="69">
        <f>IF($J219="","",IFERROR(INDEX(B!$F$2:$F$61,MATCH($J219,B!$E$2:$E$61,0))&amp;"",""))</f>
        <v/>
      </c>
      <c r="O219" s="69">
        <f>IF($J219="","",IFERROR(INDEX(B!$G$2:$G$61,MATCH($J219,B!$E$2:$E$61,0))&amp;"",""))</f>
        <v/>
      </c>
      <c r="P219" s="69">
        <f>IF($J219="","",IFERROR(INDEX(B!$H$2:$H$61,MATCH($J219,B!$E$2:$E$61,0))&amp;"",""))</f>
        <v/>
      </c>
      <c r="Q219" s="69">
        <f>IF($J219="","",IFERROR(INDEX(B!$I$2:$I$61,MATCH($J219,B!$E$2:$E$61,0))&amp;"",""))</f>
        <v/>
      </c>
      <c r="R219" s="69">
        <f>IF($J219="","",IFERROR(INDEX(B!$J$2:$J$61,MATCH($J219,B!$E$2:$E$61,0))&amp;"",""))</f>
        <v/>
      </c>
      <c r="S219" s="69">
        <f>IF($J219="","",IFERROR(INDEX(B!$K$2:$K$61,MATCH($J219,B!$E$2:$E$61,0))&amp;"",""))</f>
        <v/>
      </c>
      <c r="T219" s="69">
        <f>IF($J219="","",IFERROR(INDEX(B!$L$2:$L$61,MATCH($J219,B!$E$2:$E$61,0))&amp;"",""))</f>
        <v/>
      </c>
      <c r="U219" s="20" t="n"/>
      <c r="V219" s="70">
        <f>IF($J219="","",IFERROR(INDEX(B!$M$2:$M$61,MATCH($J219,B!$E$2:$E$61,0))&amp;"",""))</f>
        <v/>
      </c>
      <c r="W219" s="71">
        <f>IF(I219="","",IFERROR(MID(I219,FIND("/d/",I219)+3,FIND("/edit",I219)-FIND("/d/",I219)-3),I219))</f>
        <v/>
      </c>
      <c r="X219" s="71">
        <f>IF($J219="","",IFERROR(INDEX(B!$C$2:$C$61,MATCH($J219,B!$E$2:$E$61,0))&amp;"",""))</f>
        <v/>
      </c>
      <c r="Y219" s="20" t="n"/>
      <c r="Z219" s="72">
        <f>IF($J219="",FALSE,ISNUMBER(SEARCH("scout",$K219)))</f>
        <v/>
      </c>
      <c r="AA219" s="72">
        <f>IF($J219="",FALSE,IFERROR(INDEX(B!$N$2:$N$61,MATCH($J219,B!$E$2:$E$61,0))="Sim",FALSE))</f>
        <v/>
      </c>
      <c r="AB219" s="72">
        <f>IF($J219="",FALSE,LEFT($X219,2)="XX")</f>
        <v/>
      </c>
      <c r="AC219" s="72">
        <f>IF($J219="",FALSE,IFERROR(INDEX(B!$P$2:$P$61,MATCH($J219,B!$E$2:$E$61,0))="Sim",FALSE))</f>
        <v/>
      </c>
      <c r="AD219" s="20" t="n"/>
      <c r="AE219" s="52">
        <f>IF(H219="","",HOUR(H219))</f>
        <v/>
      </c>
      <c r="AF219" s="52" t="n"/>
    </row>
    <row r="220" ht="19.5" customHeight="1" s="58">
      <c r="A220" s="62">
        <f>IF(G220="","",IF(G220=G219,"",COUNTIF($G$3:$G$976,G220)))</f>
        <v/>
      </c>
      <c r="B220" s="20" t="n"/>
      <c r="C220" s="63">
        <f>IF(G220="","",DAY(G220))</f>
        <v/>
      </c>
      <c r="D220" s="63">
        <f>IF(G220="","",MONTH(G220))</f>
        <v/>
      </c>
      <c r="E220" s="63">
        <f>IF(G220="","",YEAR(G220))</f>
        <v/>
      </c>
      <c r="F220" s="33">
        <f>IF(G220="","",CHOOSE(MONTH(G220),"Janeiro","Fevereiro","Março","Abril","Maio","Junho","Julho","Agosto","Setembro","Outubro","Novembro","Dezembro"))</f>
        <v/>
      </c>
      <c r="G220" s="64" t="n">
        <v>46060</v>
      </c>
      <c r="H220" s="65" t="n">
        <v>0.02049768518518518</v>
      </c>
      <c r="I220" s="66" t="inlineStr">
        <is>
          <t>https://docs.google.com/spreadsheets/d/1ZiCGoPjLCjuYvujDTXK9Ixbth3tekiLtFBzBrGjPCr4/edit?gid=0#gid=0</t>
        </is>
      </c>
      <c r="J220" s="67" t="inlineStr">
        <is>
          <t>Taxa de Cancelamento - [TXC]</t>
        </is>
      </c>
      <c r="K220" s="67" t="inlineStr"/>
      <c r="L220" s="68" t="b">
        <v>0</v>
      </c>
      <c r="M220" s="20" t="n"/>
      <c r="N220" s="69">
        <f>IF($J220="","",IFERROR(INDEX(B!$F$2:$F$61,MATCH($J220,B!$E$2:$E$61,0))&amp;"",""))</f>
        <v/>
      </c>
      <c r="O220" s="69">
        <f>IF($J220="","",IFERROR(INDEX(B!$G$2:$G$61,MATCH($J220,B!$E$2:$E$61,0))&amp;"",""))</f>
        <v/>
      </c>
      <c r="P220" s="69">
        <f>IF($J220="","",IFERROR(INDEX(B!$H$2:$H$61,MATCH($J220,B!$E$2:$E$61,0))&amp;"",""))</f>
        <v/>
      </c>
      <c r="Q220" s="69">
        <f>IF($J220="","",IFERROR(INDEX(B!$I$2:$I$61,MATCH($J220,B!$E$2:$E$61,0))&amp;"",""))</f>
        <v/>
      </c>
      <c r="R220" s="69">
        <f>IF($J220="","",IFERROR(INDEX(B!$J$2:$J$61,MATCH($J220,B!$E$2:$E$61,0))&amp;"",""))</f>
        <v/>
      </c>
      <c r="S220" s="69">
        <f>IF($J220="","",IFERROR(INDEX(B!$K$2:$K$61,MATCH($J220,B!$E$2:$E$61,0))&amp;"",""))</f>
        <v/>
      </c>
      <c r="T220" s="69">
        <f>IF($J220="","",IFERROR(INDEX(B!$L$2:$L$61,MATCH($J220,B!$E$2:$E$61,0))&amp;"",""))</f>
        <v/>
      </c>
      <c r="U220" s="20" t="n"/>
      <c r="V220" s="70">
        <f>IF($J220="","",IFERROR(INDEX(B!$M$2:$M$61,MATCH($J220,B!$E$2:$E$61,0))&amp;"",""))</f>
        <v/>
      </c>
      <c r="W220" s="71">
        <f>IF(I220="","",IFERROR(MID(I220,FIND("/d/",I220)+3,FIND("/edit",I220)-FIND("/d/",I220)-3),I220))</f>
        <v/>
      </c>
      <c r="X220" s="71">
        <f>IF($J220="","",IFERROR(INDEX(B!$C$2:$C$61,MATCH($J220,B!$E$2:$E$61,0))&amp;"",""))</f>
        <v/>
      </c>
      <c r="Y220" s="20" t="n"/>
      <c r="Z220" s="72">
        <f>IF($J220="",FALSE,ISNUMBER(SEARCH("scout",$K220)))</f>
        <v/>
      </c>
      <c r="AA220" s="72">
        <f>IF($J220="",FALSE,IFERROR(INDEX(B!$N$2:$N$61,MATCH($J220,B!$E$2:$E$61,0))="Sim",FALSE))</f>
        <v/>
      </c>
      <c r="AB220" s="72">
        <f>IF($J220="",FALSE,LEFT($X220,2)="XX")</f>
        <v/>
      </c>
      <c r="AC220" s="72">
        <f>IF($J220="",FALSE,IFERROR(INDEX(B!$P$2:$P$61,MATCH($J220,B!$E$2:$E$61,0))="Sim",FALSE))</f>
        <v/>
      </c>
      <c r="AD220" s="20" t="n"/>
      <c r="AE220" s="52">
        <f>IF(H220="","",HOUR(H220))</f>
        <v/>
      </c>
      <c r="AF220" s="52" t="n"/>
    </row>
    <row r="221" ht="19.5" customHeight="1" s="58">
      <c r="A221" s="62">
        <f>IF(G221="","",IF(G221=G220,"",COUNTIF($G$3:$G$976,G221)))</f>
        <v/>
      </c>
      <c r="B221" s="20" t="n"/>
      <c r="C221" s="63">
        <f>IF(G221="","",DAY(G221))</f>
        <v/>
      </c>
      <c r="D221" s="63">
        <f>IF(G221="","",MONTH(G221))</f>
        <v/>
      </c>
      <c r="E221" s="63">
        <f>IF(G221="","",YEAR(G221))</f>
        <v/>
      </c>
      <c r="F221" s="33">
        <f>IF(G221="","",CHOOSE(MONTH(G221),"Janeiro","Fevereiro","Março","Abril","Maio","Junho","Julho","Agosto","Setembro","Outubro","Novembro","Dezembro"))</f>
        <v/>
      </c>
      <c r="G221" s="64" t="n">
        <v>46060</v>
      </c>
      <c r="H221" s="65" t="n">
        <v>0.0212037037037037</v>
      </c>
      <c r="I221" s="66" t="inlineStr">
        <is>
          <t>https://docs.google.com/spreadsheets/d/1ZiCGoPjLCjuYvujDTXK9Ixbth3tekiLtFBzBrGjPCr4/edit?gid=0#gid=0</t>
        </is>
      </c>
      <c r="J221" s="67" t="inlineStr">
        <is>
          <t>Transferência de LOB (Safety) - [TIST]</t>
        </is>
      </c>
      <c r="K221" s="67" t="inlineStr">
        <is>
          <t>Scout</t>
        </is>
      </c>
      <c r="L221" s="68" t="b">
        <v>0</v>
      </c>
      <c r="M221" s="20" t="n"/>
      <c r="N221" s="69">
        <f>IF($J221="","",IFERROR(INDEX(B!$F$2:$F$61,MATCH($J221,B!$E$2:$E$61,0))&amp;"",""))</f>
        <v/>
      </c>
      <c r="O221" s="69">
        <f>IF($J221="","",IFERROR(INDEX(B!$G$2:$G$61,MATCH($J221,B!$E$2:$E$61,0))&amp;"",""))</f>
        <v/>
      </c>
      <c r="P221" s="69">
        <f>IF($J221="","",IFERROR(INDEX(B!$H$2:$H$61,MATCH($J221,B!$E$2:$E$61,0))&amp;"",""))</f>
        <v/>
      </c>
      <c r="Q221" s="69">
        <f>IF($J221="","",IFERROR(INDEX(B!$I$2:$I$61,MATCH($J221,B!$E$2:$E$61,0))&amp;"",""))</f>
        <v/>
      </c>
      <c r="R221" s="69">
        <f>IF($J221="","",IFERROR(INDEX(B!$J$2:$J$61,MATCH($J221,B!$E$2:$E$61,0))&amp;"",""))</f>
        <v/>
      </c>
      <c r="S221" s="69">
        <f>IF($J221="","",IFERROR(INDEX(B!$K$2:$K$61,MATCH($J221,B!$E$2:$E$61,0))&amp;"",""))</f>
        <v/>
      </c>
      <c r="T221" s="69">
        <f>IF($J221="","",IFERROR(INDEX(B!$L$2:$L$61,MATCH($J221,B!$E$2:$E$61,0))&amp;"",""))</f>
        <v/>
      </c>
      <c r="U221" s="20" t="n"/>
      <c r="V221" s="70">
        <f>IF($J221="","",IFERROR(INDEX(B!$M$2:$M$61,MATCH($J221,B!$E$2:$E$61,0))&amp;"",""))</f>
        <v/>
      </c>
      <c r="W221" s="71">
        <f>IF(I221="","",IFERROR(MID(I221,FIND("/d/",I221)+3,FIND("/edit",I221)-FIND("/d/",I221)-3),I221))</f>
        <v/>
      </c>
      <c r="X221" s="71">
        <f>IF($J221="","",IFERROR(INDEX(B!$C$2:$C$61,MATCH($J221,B!$E$2:$E$61,0))&amp;"",""))</f>
        <v/>
      </c>
      <c r="Y221" s="20" t="n"/>
      <c r="Z221" s="72">
        <f>IF($J221="",FALSE,ISNUMBER(SEARCH("scout",$K221)))</f>
        <v/>
      </c>
      <c r="AA221" s="72">
        <f>IF($J221="",FALSE,IFERROR(INDEX(B!$N$2:$N$61,MATCH($J221,B!$E$2:$E$61,0))="Sim",FALSE))</f>
        <v/>
      </c>
      <c r="AB221" s="72">
        <f>IF($J221="",FALSE,LEFT($X221,2)="XX")</f>
        <v/>
      </c>
      <c r="AC221" s="72">
        <f>IF($J221="",FALSE,IFERROR(INDEX(B!$P$2:$P$61,MATCH($J221,B!$E$2:$E$61,0))="Sim",FALSE))</f>
        <v/>
      </c>
      <c r="AD221" s="20" t="n"/>
      <c r="AE221" s="52">
        <f>IF(H221="","",HOUR(H221))</f>
        <v/>
      </c>
      <c r="AF221" s="52" t="n"/>
    </row>
    <row r="222" ht="19.5" customHeight="1" s="58">
      <c r="A222" s="62">
        <f>IF(G222="","",IF(G222=G221,"",COUNTIF($G$3:$G$976,G222)))</f>
        <v/>
      </c>
      <c r="B222" s="20" t="n"/>
      <c r="C222" s="63">
        <f>IF(G222="","",DAY(G222))</f>
        <v/>
      </c>
      <c r="D222" s="63">
        <f>IF(G222="","",MONTH(G222))</f>
        <v/>
      </c>
      <c r="E222" s="63">
        <f>IF(G222="","",YEAR(G222))</f>
        <v/>
      </c>
      <c r="F222" s="33">
        <f>IF(G222="","",CHOOSE(MONTH(G222),"Janeiro","Fevereiro","Março","Abril","Maio","Junho","Julho","Agosto","Setembro","Outubro","Novembro","Dezembro"))</f>
        <v/>
      </c>
      <c r="G222" s="64" t="n">
        <v>46060</v>
      </c>
      <c r="H222" s="65" t="n">
        <v>0.02269675925925926</v>
      </c>
      <c r="I222" s="66" t="inlineStr">
        <is>
          <t>https://docs.google.com/spreadsheets/d/1ZiCGoPjLCjuYvujDTXK9Ixbth3tekiLtFBzBrGjPCr4/edit?gid=0#gid=0</t>
        </is>
      </c>
      <c r="J222" s="67" t="inlineStr">
        <is>
          <t>Taxa de Cancelamento - [TXC]</t>
        </is>
      </c>
      <c r="K222" s="67" t="inlineStr"/>
      <c r="L222" s="68" t="b">
        <v>0</v>
      </c>
      <c r="M222" s="20" t="n"/>
      <c r="N222" s="69">
        <f>IF($J222="","",IFERROR(INDEX(B!$F$2:$F$61,MATCH($J222,B!$E$2:$E$61,0))&amp;"",""))</f>
        <v/>
      </c>
      <c r="O222" s="69">
        <f>IF($J222="","",IFERROR(INDEX(B!$G$2:$G$61,MATCH($J222,B!$E$2:$E$61,0))&amp;"",""))</f>
        <v/>
      </c>
      <c r="P222" s="69">
        <f>IF($J222="","",IFERROR(INDEX(B!$H$2:$H$61,MATCH($J222,B!$E$2:$E$61,0))&amp;"",""))</f>
        <v/>
      </c>
      <c r="Q222" s="69">
        <f>IF($J222="","",IFERROR(INDEX(B!$I$2:$I$61,MATCH($J222,B!$E$2:$E$61,0))&amp;"",""))</f>
        <v/>
      </c>
      <c r="R222" s="69">
        <f>IF($J222="","",IFERROR(INDEX(B!$J$2:$J$61,MATCH($J222,B!$E$2:$E$61,0))&amp;"",""))</f>
        <v/>
      </c>
      <c r="S222" s="69">
        <f>IF($J222="","",IFERROR(INDEX(B!$K$2:$K$61,MATCH($J222,B!$E$2:$E$61,0))&amp;"",""))</f>
        <v/>
      </c>
      <c r="T222" s="69">
        <f>IF($J222="","",IFERROR(INDEX(B!$L$2:$L$61,MATCH($J222,B!$E$2:$E$61,0))&amp;"",""))</f>
        <v/>
      </c>
      <c r="U222" s="20" t="n"/>
      <c r="V222" s="70">
        <f>IF($J222="","",IFERROR(INDEX(B!$M$2:$M$61,MATCH($J222,B!$E$2:$E$61,0))&amp;"",""))</f>
        <v/>
      </c>
      <c r="W222" s="71">
        <f>IF(I222="","",IFERROR(MID(I222,FIND("/d/",I222)+3,FIND("/edit",I222)-FIND("/d/",I222)-3),I222))</f>
        <v/>
      </c>
      <c r="X222" s="71">
        <f>IF($J222="","",IFERROR(INDEX(B!$C$2:$C$61,MATCH($J222,B!$E$2:$E$61,0))&amp;"",""))</f>
        <v/>
      </c>
      <c r="Y222" s="20" t="n"/>
      <c r="Z222" s="72">
        <f>IF($J222="",FALSE,ISNUMBER(SEARCH("scout",$K222)))</f>
        <v/>
      </c>
      <c r="AA222" s="72">
        <f>IF($J222="",FALSE,IFERROR(INDEX(B!$N$2:$N$61,MATCH($J222,B!$E$2:$E$61,0))="Sim",FALSE))</f>
        <v/>
      </c>
      <c r="AB222" s="72">
        <f>IF($J222="",FALSE,LEFT($X222,2)="XX")</f>
        <v/>
      </c>
      <c r="AC222" s="72">
        <f>IF($J222="",FALSE,IFERROR(INDEX(B!$P$2:$P$61,MATCH($J222,B!$E$2:$E$61,0))="Sim",FALSE))</f>
        <v/>
      </c>
      <c r="AD222" s="20" t="n"/>
      <c r="AE222" s="52">
        <f>IF(H222="","",HOUR(H222))</f>
        <v/>
      </c>
      <c r="AF222" s="52" t="n"/>
    </row>
    <row r="223" ht="19.5" customHeight="1" s="58">
      <c r="A223" s="62">
        <f>IF(G223="","",IF(G223=G222,"",COUNTIF($G$3:$G$976,G223)))</f>
        <v/>
      </c>
      <c r="B223" s="20" t="n"/>
      <c r="C223" s="63">
        <f>IF(G223="","",DAY(G223))</f>
        <v/>
      </c>
      <c r="D223" s="63">
        <f>IF(G223="","",MONTH(G223))</f>
        <v/>
      </c>
      <c r="E223" s="63">
        <f>IF(G223="","",YEAR(G223))</f>
        <v/>
      </c>
      <c r="F223" s="33">
        <f>IF(G223="","",CHOOSE(MONTH(G223),"Janeiro","Fevereiro","Março","Abril","Maio","Junho","Julho","Agosto","Setembro","Outubro","Novembro","Dezembro"))</f>
        <v/>
      </c>
      <c r="G223" s="64" t="n">
        <v>46060</v>
      </c>
      <c r="H223" s="65" t="n">
        <v>0.02502314814814815</v>
      </c>
      <c r="I223" s="66" t="inlineStr">
        <is>
          <t>https://docs.google.com/spreadsheets/d/1ZiCGoPjLCjuYvujDTXK9Ixbth3tekiLtFBzBrGjPCr4/edit?gid=0#gid=0</t>
        </is>
      </c>
      <c r="J223" s="67" t="inlineStr">
        <is>
          <t>Trajeto Ruim - [TR]</t>
        </is>
      </c>
      <c r="K223" s="67" t="inlineStr"/>
      <c r="L223" s="68" t="b">
        <v>0</v>
      </c>
      <c r="M223" s="20" t="n"/>
      <c r="N223" s="69">
        <f>IF($J223="","",IFERROR(INDEX(B!$F$2:$F$61,MATCH($J223,B!$E$2:$E$61,0))&amp;"",""))</f>
        <v/>
      </c>
      <c r="O223" s="69">
        <f>IF($J223="","",IFERROR(INDEX(B!$G$2:$G$61,MATCH($J223,B!$E$2:$E$61,0))&amp;"",""))</f>
        <v/>
      </c>
      <c r="P223" s="69">
        <f>IF($J223="","",IFERROR(INDEX(B!$H$2:$H$61,MATCH($J223,B!$E$2:$E$61,0))&amp;"",""))</f>
        <v/>
      </c>
      <c r="Q223" s="69">
        <f>IF($J223="","",IFERROR(INDEX(B!$I$2:$I$61,MATCH($J223,B!$E$2:$E$61,0))&amp;"",""))</f>
        <v/>
      </c>
      <c r="R223" s="69">
        <f>IF($J223="","",IFERROR(INDEX(B!$J$2:$J$61,MATCH($J223,B!$E$2:$E$61,0))&amp;"",""))</f>
        <v/>
      </c>
      <c r="S223" s="69">
        <f>IF($J223="","",IFERROR(INDEX(B!$K$2:$K$61,MATCH($J223,B!$E$2:$E$61,0))&amp;"",""))</f>
        <v/>
      </c>
      <c r="T223" s="69">
        <f>IF($J223="","",IFERROR(INDEX(B!$L$2:$L$61,MATCH($J223,B!$E$2:$E$61,0))&amp;"",""))</f>
        <v/>
      </c>
      <c r="U223" s="20" t="n"/>
      <c r="V223" s="70">
        <f>IF($J223="","",IFERROR(INDEX(B!$M$2:$M$61,MATCH($J223,B!$E$2:$E$61,0))&amp;"",""))</f>
        <v/>
      </c>
      <c r="W223" s="71">
        <f>IF(I223="","",IFERROR(MID(I223,FIND("/d/",I223)+3,FIND("/edit",I223)-FIND("/d/",I223)-3),I223))</f>
        <v/>
      </c>
      <c r="X223" s="71">
        <f>IF($J223="","",IFERROR(INDEX(B!$C$2:$C$61,MATCH($J223,B!$E$2:$E$61,0))&amp;"",""))</f>
        <v/>
      </c>
      <c r="Y223" s="20" t="n"/>
      <c r="Z223" s="72">
        <f>IF($J223="",FALSE,ISNUMBER(SEARCH("scout",$K223)))</f>
        <v/>
      </c>
      <c r="AA223" s="72">
        <f>IF($J223="",FALSE,IFERROR(INDEX(B!$N$2:$N$61,MATCH($J223,B!$E$2:$E$61,0))="Sim",FALSE))</f>
        <v/>
      </c>
      <c r="AB223" s="72">
        <f>IF($J223="",FALSE,LEFT($X223,2)="XX")</f>
        <v/>
      </c>
      <c r="AC223" s="72">
        <f>IF($J223="",FALSE,IFERROR(INDEX(B!$P$2:$P$61,MATCH($J223,B!$E$2:$E$61,0))="Sim",FALSE))</f>
        <v/>
      </c>
      <c r="AD223" s="20" t="n"/>
      <c r="AE223" s="52">
        <f>IF(H223="","",HOUR(H223))</f>
        <v/>
      </c>
      <c r="AF223" s="52" t="n"/>
    </row>
    <row r="224" ht="19.5" customHeight="1" s="58">
      <c r="A224" s="62">
        <f>IF(G224="","",IF(G224=G223,"",COUNTIF($G$3:$G$976,G224)))</f>
        <v/>
      </c>
      <c r="B224" s="20" t="n"/>
      <c r="C224" s="63">
        <f>IF(G224="","",DAY(G224))</f>
        <v/>
      </c>
      <c r="D224" s="63">
        <f>IF(G224="","",MONTH(G224))</f>
        <v/>
      </c>
      <c r="E224" s="63">
        <f>IF(G224="","",YEAR(G224))</f>
        <v/>
      </c>
      <c r="F224" s="33">
        <f>IF(G224="","",CHOOSE(MONTH(G224),"Janeiro","Fevereiro","Março","Abril","Maio","Junho","Julho","Agosto","Setembro","Outubro","Novembro","Dezembro"))</f>
        <v/>
      </c>
      <c r="G224" s="64" t="n">
        <v>46060</v>
      </c>
      <c r="H224" s="65" t="n">
        <v>0.0253587962962963</v>
      </c>
      <c r="I224" s="66" t="inlineStr">
        <is>
          <t>https://docs.google.com/spreadsheets/d/1ZiCGoPjLCjuYvujDTXK9Ixbth3tekiLtFBzBrGjPCr4/edit?gid=0#gid=0</t>
        </is>
      </c>
      <c r="J224" s="67" t="inlineStr">
        <is>
          <t>Overpaid, Excede o limite, Sem comprovante - [OPEN]</t>
        </is>
      </c>
      <c r="K224" s="67" t="inlineStr"/>
      <c r="L224" s="68" t="b">
        <v>0</v>
      </c>
      <c r="M224" s="20" t="n"/>
      <c r="N224" s="69">
        <f>IF($J224="","",IFERROR(INDEX(B!$F$2:$F$61,MATCH($J224,B!$E$2:$E$61,0))&amp;"",""))</f>
        <v/>
      </c>
      <c r="O224" s="69">
        <f>IF($J224="","",IFERROR(INDEX(B!$G$2:$G$61,MATCH($J224,B!$E$2:$E$61,0))&amp;"",""))</f>
        <v/>
      </c>
      <c r="P224" s="69">
        <f>IF($J224="","",IFERROR(INDEX(B!$H$2:$H$61,MATCH($J224,B!$E$2:$E$61,0))&amp;"",""))</f>
        <v/>
      </c>
      <c r="Q224" s="69">
        <f>IF($J224="","",IFERROR(INDEX(B!$I$2:$I$61,MATCH($J224,B!$E$2:$E$61,0))&amp;"",""))</f>
        <v/>
      </c>
      <c r="R224" s="69">
        <f>IF($J224="","",IFERROR(INDEX(B!$J$2:$J$61,MATCH($J224,B!$E$2:$E$61,0))&amp;"",""))</f>
        <v/>
      </c>
      <c r="S224" s="69">
        <f>IF($J224="","",IFERROR(INDEX(B!$K$2:$K$61,MATCH($J224,B!$E$2:$E$61,0))&amp;"",""))</f>
        <v/>
      </c>
      <c r="T224" s="69">
        <f>IF($J224="","",IFERROR(INDEX(B!$L$2:$L$61,MATCH($J224,B!$E$2:$E$61,0))&amp;"",""))</f>
        <v/>
      </c>
      <c r="U224" s="20" t="n"/>
      <c r="V224" s="70">
        <f>IF($J224="","",IFERROR(INDEX(B!$M$2:$M$61,MATCH($J224,B!$E$2:$E$61,0))&amp;"",""))</f>
        <v/>
      </c>
      <c r="W224" s="71">
        <f>IF(I224="","",IFERROR(MID(I224,FIND("/d/",I224)+3,FIND("/edit",I224)-FIND("/d/",I224)-3),I224))</f>
        <v/>
      </c>
      <c r="X224" s="71">
        <f>IF($J224="","",IFERROR(INDEX(B!$C$2:$C$61,MATCH($J224,B!$E$2:$E$61,0))&amp;"",""))</f>
        <v/>
      </c>
      <c r="Y224" s="20" t="n"/>
      <c r="Z224" s="72">
        <f>IF($J224="",FALSE,ISNUMBER(SEARCH("scout",$K224)))</f>
        <v/>
      </c>
      <c r="AA224" s="72">
        <f>IF($J224="",FALSE,IFERROR(INDEX(B!$N$2:$N$61,MATCH($J224,B!$E$2:$E$61,0))="Sim",FALSE))</f>
        <v/>
      </c>
      <c r="AB224" s="72">
        <f>IF($J224="",FALSE,LEFT($X224,2)="XX")</f>
        <v/>
      </c>
      <c r="AC224" s="72">
        <f>IF($J224="",FALSE,IFERROR(INDEX(B!$P$2:$P$61,MATCH($J224,B!$E$2:$E$61,0))="Sim",FALSE))</f>
        <v/>
      </c>
      <c r="AD224" s="20" t="n"/>
      <c r="AE224" s="52">
        <f>IF(H224="","",HOUR(H224))</f>
        <v/>
      </c>
      <c r="AF224" s="52" t="n"/>
    </row>
    <row r="225" ht="19.5" customHeight="1" s="58">
      <c r="A225" s="62">
        <f>IF(G225="","",IF(G225=G224,"",COUNTIF($G$3:$G$976,G225)))</f>
        <v/>
      </c>
      <c r="B225" s="20" t="n"/>
      <c r="C225" s="63">
        <f>IF(G225="","",DAY(G225))</f>
        <v/>
      </c>
      <c r="D225" s="63">
        <f>IF(G225="","",MONTH(G225))</f>
        <v/>
      </c>
      <c r="E225" s="63">
        <f>IF(G225="","",YEAR(G225))</f>
        <v/>
      </c>
      <c r="F225" s="33">
        <f>IF(G225="","",CHOOSE(MONTH(G225),"Janeiro","Fevereiro","Março","Abril","Maio","Junho","Julho","Agosto","Setembro","Outubro","Novembro","Dezembro"))</f>
        <v/>
      </c>
      <c r="G225" s="64" t="n">
        <v>46060</v>
      </c>
      <c r="H225" s="65" t="n">
        <v>0.036875</v>
      </c>
      <c r="I225" s="66" t="inlineStr">
        <is>
          <t>https://docs.google.com/spreadsheets/d/1ZiCGoPjLCjuYvujDTXK9Ixbth3tekiLtFBzBrGjPCr4/edit?gid=0#gid=0</t>
        </is>
      </c>
      <c r="J225" s="67" t="inlineStr">
        <is>
          <t>Overpaid, Excede o limite Com comprovante - [OPEC]</t>
        </is>
      </c>
      <c r="K225" s="67" t="inlineStr"/>
      <c r="L225" s="68" t="b">
        <v>0</v>
      </c>
      <c r="M225" s="20" t="n"/>
      <c r="N225" s="69">
        <f>IF($J225="","",IFERROR(INDEX(B!$F$2:$F$61,MATCH($J225,B!$E$2:$E$61,0))&amp;"",""))</f>
        <v/>
      </c>
      <c r="O225" s="69">
        <f>IF($J225="","",IFERROR(INDEX(B!$G$2:$G$61,MATCH($J225,B!$E$2:$E$61,0))&amp;"",""))</f>
        <v/>
      </c>
      <c r="P225" s="69">
        <f>IF($J225="","",IFERROR(INDEX(B!$H$2:$H$61,MATCH($J225,B!$E$2:$E$61,0))&amp;"",""))</f>
        <v/>
      </c>
      <c r="Q225" s="69">
        <f>IF($J225="","",IFERROR(INDEX(B!$I$2:$I$61,MATCH($J225,B!$E$2:$E$61,0))&amp;"",""))</f>
        <v/>
      </c>
      <c r="R225" s="69">
        <f>IF($J225="","",IFERROR(INDEX(B!$J$2:$J$61,MATCH($J225,B!$E$2:$E$61,0))&amp;"",""))</f>
        <v/>
      </c>
      <c r="S225" s="69">
        <f>IF($J225="","",IFERROR(INDEX(B!$K$2:$K$61,MATCH($J225,B!$E$2:$E$61,0))&amp;"",""))</f>
        <v/>
      </c>
      <c r="T225" s="69">
        <f>IF($J225="","",IFERROR(INDEX(B!$L$2:$L$61,MATCH($J225,B!$E$2:$E$61,0))&amp;"",""))</f>
        <v/>
      </c>
      <c r="U225" s="20" t="n"/>
      <c r="V225" s="70">
        <f>IF($J225="","",IFERROR(INDEX(B!$M$2:$M$61,MATCH($J225,B!$E$2:$E$61,0))&amp;"",""))</f>
        <v/>
      </c>
      <c r="W225" s="71">
        <f>IF(I225="","",IFERROR(MID(I225,FIND("/d/",I225)+3,FIND("/edit",I225)-FIND("/d/",I225)-3),I225))</f>
        <v/>
      </c>
      <c r="X225" s="71">
        <f>IF($J225="","",IFERROR(INDEX(B!$C$2:$C$61,MATCH($J225,B!$E$2:$E$61,0))&amp;"",""))</f>
        <v/>
      </c>
      <c r="Y225" s="20" t="n"/>
      <c r="Z225" s="72">
        <f>IF($J225="",FALSE,ISNUMBER(SEARCH("scout",$K225)))</f>
        <v/>
      </c>
      <c r="AA225" s="72">
        <f>IF($J225="",FALSE,IFERROR(INDEX(B!$N$2:$N$61,MATCH($J225,B!$E$2:$E$61,0))="Sim",FALSE))</f>
        <v/>
      </c>
      <c r="AB225" s="72">
        <f>IF($J225="",FALSE,LEFT($X225,2)="XX")</f>
        <v/>
      </c>
      <c r="AC225" s="72">
        <f>IF($J225="",FALSE,IFERROR(INDEX(B!$P$2:$P$61,MATCH($J225,B!$E$2:$E$61,0))="Sim",FALSE))</f>
        <v/>
      </c>
      <c r="AD225" s="20" t="n"/>
      <c r="AE225" s="52">
        <f>IF(H225="","",HOUR(H225))</f>
        <v/>
      </c>
      <c r="AF225" s="52" t="n"/>
    </row>
    <row r="226" ht="19.5" customHeight="1" s="58">
      <c r="A226" s="62">
        <f>IF(G226="","",IF(G226=G225,"",COUNTIF($G$3:$G$976,G226)))</f>
        <v/>
      </c>
      <c r="B226" s="20" t="n"/>
      <c r="C226" s="63">
        <f>IF(G226="","",DAY(G226))</f>
        <v/>
      </c>
      <c r="D226" s="63">
        <f>IF(G226="","",MONTH(G226))</f>
        <v/>
      </c>
      <c r="E226" s="63">
        <f>IF(G226="","",YEAR(G226))</f>
        <v/>
      </c>
      <c r="F226" s="33">
        <f>IF(G226="","",CHOOSE(MONTH(G226),"Janeiro","Fevereiro","Março","Abril","Maio","Junho","Julho","Agosto","Setembro","Outubro","Novembro","Dezembro"))</f>
        <v/>
      </c>
      <c r="G226" s="64" t="n">
        <v>46060</v>
      </c>
      <c r="H226" s="65" t="n">
        <v>0.03881944444444444</v>
      </c>
      <c r="I226" s="66" t="inlineStr">
        <is>
          <t>https://docs.google.com/spreadsheets/d/1ZiCGoPjLCjuYvujDTXK9Ixbth3tekiLtFBzBrGjPCr4/edit?gid=0#gid=0</t>
        </is>
      </c>
      <c r="J226" s="67" t="inlineStr">
        <is>
          <t>Taxa de Limpeza - [TXL]</t>
        </is>
      </c>
      <c r="K226" s="67" t="inlineStr"/>
      <c r="L226" s="68" t="b">
        <v>0</v>
      </c>
      <c r="M226" s="20" t="n"/>
      <c r="N226" s="69">
        <f>IF($J226="","",IFERROR(INDEX(B!$F$2:$F$61,MATCH($J226,B!$E$2:$E$61,0))&amp;"",""))</f>
        <v/>
      </c>
      <c r="O226" s="69">
        <f>IF($J226="","",IFERROR(INDEX(B!$G$2:$G$61,MATCH($J226,B!$E$2:$E$61,0))&amp;"",""))</f>
        <v/>
      </c>
      <c r="P226" s="69">
        <f>IF($J226="","",IFERROR(INDEX(B!$H$2:$H$61,MATCH($J226,B!$E$2:$E$61,0))&amp;"",""))</f>
        <v/>
      </c>
      <c r="Q226" s="69">
        <f>IF($J226="","",IFERROR(INDEX(B!$I$2:$I$61,MATCH($J226,B!$E$2:$E$61,0))&amp;"",""))</f>
        <v/>
      </c>
      <c r="R226" s="69">
        <f>IF($J226="","",IFERROR(INDEX(B!$J$2:$J$61,MATCH($J226,B!$E$2:$E$61,0))&amp;"",""))</f>
        <v/>
      </c>
      <c r="S226" s="69">
        <f>IF($J226="","",IFERROR(INDEX(B!$K$2:$K$61,MATCH($J226,B!$E$2:$E$61,0))&amp;"",""))</f>
        <v/>
      </c>
      <c r="T226" s="69">
        <f>IF($J226="","",IFERROR(INDEX(B!$L$2:$L$61,MATCH($J226,B!$E$2:$E$61,0))&amp;"",""))</f>
        <v/>
      </c>
      <c r="U226" s="20" t="n"/>
      <c r="V226" s="70">
        <f>IF($J226="","",IFERROR(INDEX(B!$M$2:$M$61,MATCH($J226,B!$E$2:$E$61,0))&amp;"",""))</f>
        <v/>
      </c>
      <c r="W226" s="71">
        <f>IF(I226="","",IFERROR(MID(I226,FIND("/d/",I226)+3,FIND("/edit",I226)-FIND("/d/",I226)-3),I226))</f>
        <v/>
      </c>
      <c r="X226" s="71">
        <f>IF($J226="","",IFERROR(INDEX(B!$C$2:$C$61,MATCH($J226,B!$E$2:$E$61,0))&amp;"",""))</f>
        <v/>
      </c>
      <c r="Y226" s="20" t="n"/>
      <c r="Z226" s="72">
        <f>IF($J226="",FALSE,ISNUMBER(SEARCH("scout",$K226)))</f>
        <v/>
      </c>
      <c r="AA226" s="72">
        <f>IF($J226="",FALSE,IFERROR(INDEX(B!$N$2:$N$61,MATCH($J226,B!$E$2:$E$61,0))="Sim",FALSE))</f>
        <v/>
      </c>
      <c r="AB226" s="72">
        <f>IF($J226="",FALSE,LEFT($X226,2)="XX")</f>
        <v/>
      </c>
      <c r="AC226" s="72">
        <f>IF($J226="",FALSE,IFERROR(INDEX(B!$P$2:$P$61,MATCH($J226,B!$E$2:$E$61,0))="Sim",FALSE))</f>
        <v/>
      </c>
      <c r="AD226" s="20" t="n"/>
      <c r="AE226" s="52">
        <f>IF(H226="","",HOUR(H226))</f>
        <v/>
      </c>
      <c r="AF226" s="52" t="n"/>
    </row>
    <row r="227" ht="19.5" customHeight="1" s="58">
      <c r="A227" s="62">
        <f>IF(G227="","",IF(G227=G226,"",COUNTIF($G$3:$G$976,G227)))</f>
        <v/>
      </c>
      <c r="B227" s="20" t="n"/>
      <c r="C227" s="63">
        <f>IF(G227="","",DAY(G227))</f>
        <v/>
      </c>
      <c r="D227" s="63">
        <f>IF(G227="","",MONTH(G227))</f>
        <v/>
      </c>
      <c r="E227" s="63">
        <f>IF(G227="","",YEAR(G227))</f>
        <v/>
      </c>
      <c r="F227" s="33">
        <f>IF(G227="","",CHOOSE(MONTH(G227),"Janeiro","Fevereiro","Março","Abril","Maio","Junho","Julho","Agosto","Setembro","Outubro","Novembro","Dezembro"))</f>
        <v/>
      </c>
      <c r="G227" s="64" t="n">
        <v>46061</v>
      </c>
      <c r="H227" s="65" t="n">
        <v>0.002974537037037037</v>
      </c>
      <c r="I227" s="66" t="inlineStr">
        <is>
          <t>https://docs.google.com/spreadsheets/d/1ZiCGoPjLCjuYvujDTXK9Ixbth3tekiLtFBzBrGjPCr4/edit?gid=0#gid=0</t>
        </is>
      </c>
      <c r="J227" s="67" t="inlineStr">
        <is>
          <t>Trajeto Ruim - [TR]</t>
        </is>
      </c>
      <c r="K227" s="67" t="inlineStr"/>
      <c r="L227" s="68" t="b">
        <v>0</v>
      </c>
      <c r="M227" s="20" t="n"/>
      <c r="N227" s="69">
        <f>IF($J227="","",IFERROR(INDEX(B!$F$2:$F$61,MATCH($J227,B!$E$2:$E$61,0))&amp;"",""))</f>
        <v/>
      </c>
      <c r="O227" s="69">
        <f>IF($J227="","",IFERROR(INDEX(B!$G$2:$G$61,MATCH($J227,B!$E$2:$E$61,0))&amp;"",""))</f>
        <v/>
      </c>
      <c r="P227" s="69">
        <f>IF($J227="","",IFERROR(INDEX(B!$H$2:$H$61,MATCH($J227,B!$E$2:$E$61,0))&amp;"",""))</f>
        <v/>
      </c>
      <c r="Q227" s="69">
        <f>IF($J227="","",IFERROR(INDEX(B!$I$2:$I$61,MATCH($J227,B!$E$2:$E$61,0))&amp;"",""))</f>
        <v/>
      </c>
      <c r="R227" s="69">
        <f>IF($J227="","",IFERROR(INDEX(B!$J$2:$J$61,MATCH($J227,B!$E$2:$E$61,0))&amp;"",""))</f>
        <v/>
      </c>
      <c r="S227" s="69">
        <f>IF($J227="","",IFERROR(INDEX(B!$K$2:$K$61,MATCH($J227,B!$E$2:$E$61,0))&amp;"",""))</f>
        <v/>
      </c>
      <c r="T227" s="69">
        <f>IF($J227="","",IFERROR(INDEX(B!$L$2:$L$61,MATCH($J227,B!$E$2:$E$61,0))&amp;"",""))</f>
        <v/>
      </c>
      <c r="U227" s="20" t="n"/>
      <c r="V227" s="70">
        <f>IF($J227="","",IFERROR(INDEX(B!$M$2:$M$61,MATCH($J227,B!$E$2:$E$61,0))&amp;"",""))</f>
        <v/>
      </c>
      <c r="W227" s="71">
        <f>IF(I227="","",IFERROR(MID(I227,FIND("/d/",I227)+3,FIND("/edit",I227)-FIND("/d/",I227)-3),I227))</f>
        <v/>
      </c>
      <c r="X227" s="71">
        <f>IF($J227="","",IFERROR(INDEX(B!$C$2:$C$61,MATCH($J227,B!$E$2:$E$61,0))&amp;"",""))</f>
        <v/>
      </c>
      <c r="Y227" s="20" t="n"/>
      <c r="Z227" s="72">
        <f>IF($J227="",FALSE,ISNUMBER(SEARCH("scout",$K227)))</f>
        <v/>
      </c>
      <c r="AA227" s="72">
        <f>IF($J227="",FALSE,IFERROR(INDEX(B!$N$2:$N$61,MATCH($J227,B!$E$2:$E$61,0))="Sim",FALSE))</f>
        <v/>
      </c>
      <c r="AB227" s="72">
        <f>IF($J227="",FALSE,LEFT($X227,2)="XX")</f>
        <v/>
      </c>
      <c r="AC227" s="72">
        <f>IF($J227="",FALSE,IFERROR(INDEX(B!$P$2:$P$61,MATCH($J227,B!$E$2:$E$61,0))="Sim",FALSE))</f>
        <v/>
      </c>
      <c r="AD227" s="20" t="n"/>
      <c r="AE227" s="52">
        <f>IF(H227="","",HOUR(H227))</f>
        <v/>
      </c>
      <c r="AF227" s="52" t="n"/>
    </row>
    <row r="228" ht="19.5" customHeight="1" s="58">
      <c r="A228" s="62">
        <f>IF(G228="","",IF(G228=G227,"",COUNTIF($G$3:$G$976,G228)))</f>
        <v/>
      </c>
      <c r="B228" s="20" t="n"/>
      <c r="C228" s="63">
        <f>IF(G228="","",DAY(G228))</f>
        <v/>
      </c>
      <c r="D228" s="63">
        <f>IF(G228="","",MONTH(G228))</f>
        <v/>
      </c>
      <c r="E228" s="63">
        <f>IF(G228="","",YEAR(G228))</f>
        <v/>
      </c>
      <c r="F228" s="33">
        <f>IF(G228="","",CHOOSE(MONTH(G228),"Janeiro","Fevereiro","Março","Abril","Maio","Junho","Julho","Agosto","Setembro","Outubro","Novembro","Dezembro"))</f>
        <v/>
      </c>
      <c r="G228" s="64" t="n">
        <v>46061</v>
      </c>
      <c r="H228" s="65" t="n">
        <v>0.01042824074074074</v>
      </c>
      <c r="I228" s="66" t="inlineStr">
        <is>
          <t>https://docs.google.com/spreadsheets/d/1ZiCGoPjLCjuYvujDTXK9Ixbth3tekiLtFBzBrGjPCr4/edit?gid=0#gid=0</t>
        </is>
      </c>
      <c r="J228" s="67" t="inlineStr">
        <is>
          <t>Erro de Gps (Problema Técnico) - [GPS]</t>
        </is>
      </c>
      <c r="K228" s="67" t="inlineStr"/>
      <c r="L228" s="68" t="b">
        <v>0</v>
      </c>
      <c r="M228" s="20" t="n"/>
      <c r="N228" s="69">
        <f>IF($J228="","",IFERROR(INDEX(B!$F$2:$F$61,MATCH($J228,B!$E$2:$E$61,0))&amp;"",""))</f>
        <v/>
      </c>
      <c r="O228" s="69">
        <f>IF($J228="","",IFERROR(INDEX(B!$G$2:$G$61,MATCH($J228,B!$E$2:$E$61,0))&amp;"",""))</f>
        <v/>
      </c>
      <c r="P228" s="69">
        <f>IF($J228="","",IFERROR(INDEX(B!$H$2:$H$61,MATCH($J228,B!$E$2:$E$61,0))&amp;"",""))</f>
        <v/>
      </c>
      <c r="Q228" s="69">
        <f>IF($J228="","",IFERROR(INDEX(B!$I$2:$I$61,MATCH($J228,B!$E$2:$E$61,0))&amp;"",""))</f>
        <v/>
      </c>
      <c r="R228" s="69">
        <f>IF($J228="","",IFERROR(INDEX(B!$J$2:$J$61,MATCH($J228,B!$E$2:$E$61,0))&amp;"",""))</f>
        <v/>
      </c>
      <c r="S228" s="69">
        <f>IF($J228="","",IFERROR(INDEX(B!$K$2:$K$61,MATCH($J228,B!$E$2:$E$61,0))&amp;"",""))</f>
        <v/>
      </c>
      <c r="T228" s="69">
        <f>IF($J228="","",IFERROR(INDEX(B!$L$2:$L$61,MATCH($J228,B!$E$2:$E$61,0))&amp;"",""))</f>
        <v/>
      </c>
      <c r="U228" s="20" t="n"/>
      <c r="V228" s="70">
        <f>IF($J228="","",IFERROR(INDEX(B!$M$2:$M$61,MATCH($J228,B!$E$2:$E$61,0))&amp;"",""))</f>
        <v/>
      </c>
      <c r="W228" s="71">
        <f>IF(I228="","",IFERROR(MID(I228,FIND("/d/",I228)+3,FIND("/edit",I228)-FIND("/d/",I228)-3),I228))</f>
        <v/>
      </c>
      <c r="X228" s="71">
        <f>IF($J228="","",IFERROR(INDEX(B!$C$2:$C$61,MATCH($J228,B!$E$2:$E$61,0))&amp;"",""))</f>
        <v/>
      </c>
      <c r="Y228" s="20" t="n"/>
      <c r="Z228" s="72">
        <f>IF($J228="",FALSE,ISNUMBER(SEARCH("scout",$K228)))</f>
        <v/>
      </c>
      <c r="AA228" s="72">
        <f>IF($J228="",FALSE,IFERROR(INDEX(B!$N$2:$N$61,MATCH($J228,B!$E$2:$E$61,0))="Sim",FALSE))</f>
        <v/>
      </c>
      <c r="AB228" s="72">
        <f>IF($J228="",FALSE,LEFT($X228,2)="XX")</f>
        <v/>
      </c>
      <c r="AC228" s="72">
        <f>IF($J228="",FALSE,IFERROR(INDEX(B!$P$2:$P$61,MATCH($J228,B!$E$2:$E$61,0))="Sim",FALSE))</f>
        <v/>
      </c>
      <c r="AD228" s="20" t="n"/>
      <c r="AE228" s="52">
        <f>IF(H228="","",HOUR(H228))</f>
        <v/>
      </c>
      <c r="AF228" s="52" t="n"/>
    </row>
    <row r="229" ht="19.5" customHeight="1" s="58">
      <c r="A229" s="62">
        <f>IF(G229="","",IF(G229=G228,"",COUNTIF($G$3:$G$976,G229)))</f>
        <v/>
      </c>
      <c r="B229" s="20" t="n"/>
      <c r="C229" s="63">
        <f>IF(G229="","",DAY(G229))</f>
        <v/>
      </c>
      <c r="D229" s="63">
        <f>IF(G229="","",MONTH(G229))</f>
        <v/>
      </c>
      <c r="E229" s="63">
        <f>IF(G229="","",YEAR(G229))</f>
        <v/>
      </c>
      <c r="F229" s="33">
        <f>IF(G229="","",CHOOSE(MONTH(G229),"Janeiro","Fevereiro","Março","Abril","Maio","Junho","Julho","Agosto","Setembro","Outubro","Novembro","Dezembro"))</f>
        <v/>
      </c>
      <c r="G229" s="64" t="n">
        <v>46061</v>
      </c>
      <c r="H229" s="65" t="n">
        <v>0.01289351851851852</v>
      </c>
      <c r="I229" s="66" t="inlineStr">
        <is>
          <t>https://docs.google.com/spreadsheets/d/1ZiCGoPjLCjuYvujDTXK9Ixbth3tekiLtFBzBrGjPCr4/edit?gid=0#gid=0</t>
        </is>
      </c>
      <c r="J229" s="67" t="inlineStr">
        <is>
          <t>Comprovante de Pagamento - [CP]</t>
        </is>
      </c>
      <c r="K229" s="67" t="inlineStr"/>
      <c r="L229" s="68" t="b">
        <v>0</v>
      </c>
      <c r="M229" s="20" t="n"/>
      <c r="N229" s="69">
        <f>IF($J229="","",IFERROR(INDEX(B!$F$2:$F$61,MATCH($J229,B!$E$2:$E$61,0))&amp;"",""))</f>
        <v/>
      </c>
      <c r="O229" s="69">
        <f>IF($J229="","",IFERROR(INDEX(B!$G$2:$G$61,MATCH($J229,B!$E$2:$E$61,0))&amp;"",""))</f>
        <v/>
      </c>
      <c r="P229" s="69">
        <f>IF($J229="","",IFERROR(INDEX(B!$H$2:$H$61,MATCH($J229,B!$E$2:$E$61,0))&amp;"",""))</f>
        <v/>
      </c>
      <c r="Q229" s="69">
        <f>IF($J229="","",IFERROR(INDEX(B!$I$2:$I$61,MATCH($J229,B!$E$2:$E$61,0))&amp;"",""))</f>
        <v/>
      </c>
      <c r="R229" s="69">
        <f>IF($J229="","",IFERROR(INDEX(B!$J$2:$J$61,MATCH($J229,B!$E$2:$E$61,0))&amp;"",""))</f>
        <v/>
      </c>
      <c r="S229" s="69">
        <f>IF($J229="","",IFERROR(INDEX(B!$K$2:$K$61,MATCH($J229,B!$E$2:$E$61,0))&amp;"",""))</f>
        <v/>
      </c>
      <c r="T229" s="69">
        <f>IF($J229="","",IFERROR(INDEX(B!$L$2:$L$61,MATCH($J229,B!$E$2:$E$61,0))&amp;"",""))</f>
        <v/>
      </c>
      <c r="U229" s="20" t="n"/>
      <c r="V229" s="70">
        <f>IF($J229="","",IFERROR(INDEX(B!$M$2:$M$61,MATCH($J229,B!$E$2:$E$61,0))&amp;"",""))</f>
        <v/>
      </c>
      <c r="W229" s="71">
        <f>IF(I229="","",IFERROR(MID(I229,FIND("/d/",I229)+3,FIND("/edit",I229)-FIND("/d/",I229)-3),I229))</f>
        <v/>
      </c>
      <c r="X229" s="71">
        <f>IF($J229="","",IFERROR(INDEX(B!$C$2:$C$61,MATCH($J229,B!$E$2:$E$61,0))&amp;"",""))</f>
        <v/>
      </c>
      <c r="Y229" s="20" t="n"/>
      <c r="Z229" s="72">
        <f>IF($J229="",FALSE,ISNUMBER(SEARCH("scout",$K229)))</f>
        <v/>
      </c>
      <c r="AA229" s="72">
        <f>IF($J229="",FALSE,IFERROR(INDEX(B!$N$2:$N$61,MATCH($J229,B!$E$2:$E$61,0))="Sim",FALSE))</f>
        <v/>
      </c>
      <c r="AB229" s="72">
        <f>IF($J229="",FALSE,LEFT($X229,2)="XX")</f>
        <v/>
      </c>
      <c r="AC229" s="72">
        <f>IF($J229="",FALSE,IFERROR(INDEX(B!$P$2:$P$61,MATCH($J229,B!$E$2:$E$61,0))="Sim",FALSE))</f>
        <v/>
      </c>
      <c r="AD229" s="20" t="n"/>
      <c r="AE229" s="52">
        <f>IF(H229="","",HOUR(H229))</f>
        <v/>
      </c>
      <c r="AF229" s="52" t="n"/>
    </row>
    <row r="230" ht="19.5" customHeight="1" s="58">
      <c r="A230" s="62">
        <f>IF(G230="","",IF(G230=G229,"",COUNTIF($G$3:$G$976,G230)))</f>
        <v/>
      </c>
      <c r="B230" s="20" t="n"/>
      <c r="C230" s="63">
        <f>IF(G230="","",DAY(G230))</f>
        <v/>
      </c>
      <c r="D230" s="63">
        <f>IF(G230="","",MONTH(G230))</f>
        <v/>
      </c>
      <c r="E230" s="63">
        <f>IF(G230="","",YEAR(G230))</f>
        <v/>
      </c>
      <c r="F230" s="33">
        <f>IF(G230="","",CHOOSE(MONTH(G230),"Janeiro","Fevereiro","Março","Abril","Maio","Junho","Julho","Agosto","Setembro","Outubro","Novembro","Dezembro"))</f>
        <v/>
      </c>
      <c r="G230" s="64" t="n">
        <v>46061</v>
      </c>
      <c r="H230" s="65" t="n">
        <v>0.01324074074074074</v>
      </c>
      <c r="I230" s="66" t="inlineStr">
        <is>
          <t>https://docs.google.com/spreadsheets/d/1ZiCGoPjLCjuYvujDTXK9Ixbth3tekiLtFBzBrGjPCr4/edit?gid=0#gid=0</t>
        </is>
      </c>
      <c r="J230" s="67" t="inlineStr">
        <is>
          <t>Taxa de Cancelamento - [TXC]</t>
        </is>
      </c>
      <c r="K230" s="67" t="inlineStr">
        <is>
          <t>Scout</t>
        </is>
      </c>
      <c r="L230" s="68" t="b">
        <v>1</v>
      </c>
      <c r="M230" s="20" t="n"/>
      <c r="N230" s="69">
        <f>IF($J230="","",IFERROR(INDEX(B!$F$2:$F$61,MATCH($J230,B!$E$2:$E$61,0))&amp;"",""))</f>
        <v/>
      </c>
      <c r="O230" s="69">
        <f>IF($J230="","",IFERROR(INDEX(B!$G$2:$G$61,MATCH($J230,B!$E$2:$E$61,0))&amp;"",""))</f>
        <v/>
      </c>
      <c r="P230" s="69">
        <f>IF($J230="","",IFERROR(INDEX(B!$H$2:$H$61,MATCH($J230,B!$E$2:$E$61,0))&amp;"",""))</f>
        <v/>
      </c>
      <c r="Q230" s="69">
        <f>IF($J230="","",IFERROR(INDEX(B!$I$2:$I$61,MATCH($J230,B!$E$2:$E$61,0))&amp;"",""))</f>
        <v/>
      </c>
      <c r="R230" s="69">
        <f>IF($J230="","",IFERROR(INDEX(B!$J$2:$J$61,MATCH($J230,B!$E$2:$E$61,0))&amp;"",""))</f>
        <v/>
      </c>
      <c r="S230" s="69">
        <f>IF($J230="","",IFERROR(INDEX(B!$K$2:$K$61,MATCH($J230,B!$E$2:$E$61,0))&amp;"",""))</f>
        <v/>
      </c>
      <c r="T230" s="69">
        <f>IF($J230="","",IFERROR(INDEX(B!$L$2:$L$61,MATCH($J230,B!$E$2:$E$61,0))&amp;"",""))</f>
        <v/>
      </c>
      <c r="U230" s="20" t="n"/>
      <c r="V230" s="70">
        <f>IF($J230="","",IFERROR(INDEX(B!$M$2:$M$61,MATCH($J230,B!$E$2:$E$61,0))&amp;"",""))</f>
        <v/>
      </c>
      <c r="W230" s="71">
        <f>IF(I230="","",IFERROR(MID(I230,FIND("/d/",I230)+3,FIND("/edit",I230)-FIND("/d/",I230)-3),I230))</f>
        <v/>
      </c>
      <c r="X230" s="71">
        <f>IF($J230="","",IFERROR(INDEX(B!$C$2:$C$61,MATCH($J230,B!$E$2:$E$61,0))&amp;"",""))</f>
        <v/>
      </c>
      <c r="Y230" s="20" t="n"/>
      <c r="Z230" s="72">
        <f>IF($J230="",FALSE,ISNUMBER(SEARCH("scout",$K230)))</f>
        <v/>
      </c>
      <c r="AA230" s="72">
        <f>IF($J230="",FALSE,IFERROR(INDEX(B!$N$2:$N$61,MATCH($J230,B!$E$2:$E$61,0))="Sim",FALSE))</f>
        <v/>
      </c>
      <c r="AB230" s="72">
        <f>IF($J230="",FALSE,LEFT($X230,2)="XX")</f>
        <v/>
      </c>
      <c r="AC230" s="72">
        <f>IF($J230="",FALSE,IFERROR(INDEX(B!$P$2:$P$61,MATCH($J230,B!$E$2:$E$61,0))="Sim",FALSE))</f>
        <v/>
      </c>
      <c r="AD230" s="20" t="n"/>
      <c r="AE230" s="52">
        <f>IF(H230="","",HOUR(H230))</f>
        <v/>
      </c>
      <c r="AF230" s="52" t="n"/>
    </row>
    <row r="231" ht="19.5" customHeight="1" s="58">
      <c r="A231" s="62">
        <f>IF(G231="","",IF(G231=G230,"",COUNTIF($G$3:$G$976,G231)))</f>
        <v/>
      </c>
      <c r="B231" s="20" t="n"/>
      <c r="C231" s="63">
        <f>IF(G231="","",DAY(G231))</f>
        <v/>
      </c>
      <c r="D231" s="63">
        <f>IF(G231="","",MONTH(G231))</f>
        <v/>
      </c>
      <c r="E231" s="63">
        <f>IF(G231="","",YEAR(G231))</f>
        <v/>
      </c>
      <c r="F231" s="33">
        <f>IF(G231="","",CHOOSE(MONTH(G231),"Janeiro","Fevereiro","Março","Abril","Maio","Junho","Julho","Agosto","Setembro","Outubro","Novembro","Dezembro"))</f>
        <v/>
      </c>
      <c r="G231" s="64" t="n">
        <v>46061</v>
      </c>
      <c r="H231" s="65" t="n">
        <v>0.03621527777777778</v>
      </c>
      <c r="I231" s="66" t="inlineStr">
        <is>
          <t>https://docs.google.com/spreadsheets/d/1ZiCGoPjLCjuYvujDTXK9Ixbth3tekiLtFBzBrGjPCr4/edit?gid=0#gid=0</t>
        </is>
      </c>
      <c r="J231" s="67" t="inlineStr">
        <is>
          <t>Transferência de LOB (Lost Items) - [TILI]</t>
        </is>
      </c>
      <c r="K231" s="67" t="inlineStr"/>
      <c r="L231" s="68" t="b">
        <v>0</v>
      </c>
      <c r="M231" s="20" t="n"/>
      <c r="N231" s="69">
        <f>IF($J231="","",IFERROR(INDEX(B!$F$2:$F$61,MATCH($J231,B!$E$2:$E$61,0))&amp;"",""))</f>
        <v/>
      </c>
      <c r="O231" s="69">
        <f>IF($J231="","",IFERROR(INDEX(B!$G$2:$G$61,MATCH($J231,B!$E$2:$E$61,0))&amp;"",""))</f>
        <v/>
      </c>
      <c r="P231" s="69">
        <f>IF($J231="","",IFERROR(INDEX(B!$H$2:$H$61,MATCH($J231,B!$E$2:$E$61,0))&amp;"",""))</f>
        <v/>
      </c>
      <c r="Q231" s="69">
        <f>IF($J231="","",IFERROR(INDEX(B!$I$2:$I$61,MATCH($J231,B!$E$2:$E$61,0))&amp;"",""))</f>
        <v/>
      </c>
      <c r="R231" s="69">
        <f>IF($J231="","",IFERROR(INDEX(B!$J$2:$J$61,MATCH($J231,B!$E$2:$E$61,0))&amp;"",""))</f>
        <v/>
      </c>
      <c r="S231" s="69">
        <f>IF($J231="","",IFERROR(INDEX(B!$K$2:$K$61,MATCH($J231,B!$E$2:$E$61,0))&amp;"",""))</f>
        <v/>
      </c>
      <c r="T231" s="69">
        <f>IF($J231="","",IFERROR(INDEX(B!$L$2:$L$61,MATCH($J231,B!$E$2:$E$61,0))&amp;"",""))</f>
        <v/>
      </c>
      <c r="U231" s="20" t="n"/>
      <c r="V231" s="70">
        <f>IF($J231="","",IFERROR(INDEX(B!$M$2:$M$61,MATCH($J231,B!$E$2:$E$61,0))&amp;"",""))</f>
        <v/>
      </c>
      <c r="W231" s="71">
        <f>IF(I231="","",IFERROR(MID(I231,FIND("/d/",I231)+3,FIND("/edit",I231)-FIND("/d/",I231)-3),I231))</f>
        <v/>
      </c>
      <c r="X231" s="71">
        <f>IF($J231="","",IFERROR(INDEX(B!$C$2:$C$61,MATCH($J231,B!$E$2:$E$61,0))&amp;"",""))</f>
        <v/>
      </c>
      <c r="Y231" s="20" t="n"/>
      <c r="Z231" s="72">
        <f>IF($J231="",FALSE,ISNUMBER(SEARCH("scout",$K231)))</f>
        <v/>
      </c>
      <c r="AA231" s="72">
        <f>IF($J231="",FALSE,IFERROR(INDEX(B!$N$2:$N$61,MATCH($J231,B!$E$2:$E$61,0))="Sim",FALSE))</f>
        <v/>
      </c>
      <c r="AB231" s="72">
        <f>IF($J231="",FALSE,LEFT($X231,2)="XX")</f>
        <v/>
      </c>
      <c r="AC231" s="72">
        <f>IF($J231="",FALSE,IFERROR(INDEX(B!$P$2:$P$61,MATCH($J231,B!$E$2:$E$61,0))="Sim",FALSE))</f>
        <v/>
      </c>
      <c r="AD231" s="20" t="n"/>
      <c r="AE231" s="52">
        <f>IF(H231="","",HOUR(H231))</f>
        <v/>
      </c>
      <c r="AF231" s="52" t="n"/>
    </row>
    <row r="232" ht="19.5" customHeight="1" s="58">
      <c r="A232" s="62">
        <f>IF(G232="","",IF(G232=G231,"",COUNTIF($G$3:$G$976,G232)))</f>
        <v/>
      </c>
      <c r="B232" s="20" t="n"/>
      <c r="C232" s="63">
        <f>IF(G232="","",DAY(G232))</f>
        <v/>
      </c>
      <c r="D232" s="63">
        <f>IF(G232="","",MONTH(G232))</f>
        <v/>
      </c>
      <c r="E232" s="63">
        <f>IF(G232="","",YEAR(G232))</f>
        <v/>
      </c>
      <c r="F232" s="33">
        <f>IF(G232="","",CHOOSE(MONTH(G232),"Janeiro","Fevereiro","Março","Abril","Maio","Junho","Julho","Agosto","Setembro","Outubro","Novembro","Dezembro"))</f>
        <v/>
      </c>
      <c r="G232" s="64" t="n">
        <v>46061</v>
      </c>
      <c r="H232" s="65" t="n">
        <v>0.03923611111111111</v>
      </c>
      <c r="I232" s="66" t="inlineStr">
        <is>
          <t>https://docs.google.com/spreadsheets/d/1ZiCGoPjLCjuYvujDTXK9Ixbth3tekiLtFBzBrGjPCr4/edit?gid=0#gid=0</t>
        </is>
      </c>
      <c r="J232" s="67" t="inlineStr">
        <is>
          <t>Comprovante de Pagamento - [CP]</t>
        </is>
      </c>
      <c r="K232" s="67" t="inlineStr">
        <is>
          <t>Scout</t>
        </is>
      </c>
      <c r="L232" s="68" t="b">
        <v>1</v>
      </c>
      <c r="M232" s="20" t="n"/>
      <c r="N232" s="69">
        <f>IF($J232="","",IFERROR(INDEX(B!$F$2:$F$61,MATCH($J232,B!$E$2:$E$61,0))&amp;"",""))</f>
        <v/>
      </c>
      <c r="O232" s="69">
        <f>IF($J232="","",IFERROR(INDEX(B!$G$2:$G$61,MATCH($J232,B!$E$2:$E$61,0))&amp;"",""))</f>
        <v/>
      </c>
      <c r="P232" s="69">
        <f>IF($J232="","",IFERROR(INDEX(B!$H$2:$H$61,MATCH($J232,B!$E$2:$E$61,0))&amp;"",""))</f>
        <v/>
      </c>
      <c r="Q232" s="69">
        <f>IF($J232="","",IFERROR(INDEX(B!$I$2:$I$61,MATCH($J232,B!$E$2:$E$61,0))&amp;"",""))</f>
        <v/>
      </c>
      <c r="R232" s="69">
        <f>IF($J232="","",IFERROR(INDEX(B!$J$2:$J$61,MATCH($J232,B!$E$2:$E$61,0))&amp;"",""))</f>
        <v/>
      </c>
      <c r="S232" s="69">
        <f>IF($J232="","",IFERROR(INDEX(B!$K$2:$K$61,MATCH($J232,B!$E$2:$E$61,0))&amp;"",""))</f>
        <v/>
      </c>
      <c r="T232" s="69">
        <f>IF($J232="","",IFERROR(INDEX(B!$L$2:$L$61,MATCH($J232,B!$E$2:$E$61,0))&amp;"",""))</f>
        <v/>
      </c>
      <c r="U232" s="20" t="n"/>
      <c r="V232" s="70">
        <f>IF($J232="","",IFERROR(INDEX(B!$M$2:$M$61,MATCH($J232,B!$E$2:$E$61,0))&amp;"",""))</f>
        <v/>
      </c>
      <c r="W232" s="71">
        <f>IF(I232="","",IFERROR(MID(I232,FIND("/d/",I232)+3,FIND("/edit",I232)-FIND("/d/",I232)-3),I232))</f>
        <v/>
      </c>
      <c r="X232" s="71">
        <f>IF($J232="","",IFERROR(INDEX(B!$C$2:$C$61,MATCH($J232,B!$E$2:$E$61,0))&amp;"",""))</f>
        <v/>
      </c>
      <c r="Y232" s="20" t="n"/>
      <c r="Z232" s="72">
        <f>IF($J232="",FALSE,ISNUMBER(SEARCH("scout",$K232)))</f>
        <v/>
      </c>
      <c r="AA232" s="72">
        <f>IF($J232="",FALSE,IFERROR(INDEX(B!$N$2:$N$61,MATCH($J232,B!$E$2:$E$61,0))="Sim",FALSE))</f>
        <v/>
      </c>
      <c r="AB232" s="72">
        <f>IF($J232="",FALSE,LEFT($X232,2)="XX")</f>
        <v/>
      </c>
      <c r="AC232" s="72">
        <f>IF($J232="",FALSE,IFERROR(INDEX(B!$P$2:$P$61,MATCH($J232,B!$E$2:$E$61,0))="Sim",FALSE))</f>
        <v/>
      </c>
      <c r="AD232" s="20" t="n"/>
      <c r="AE232" s="52">
        <f>IF(H232="","",HOUR(H232))</f>
        <v/>
      </c>
      <c r="AF232" s="52" t="n"/>
    </row>
    <row r="233" ht="19.5" customHeight="1" s="58">
      <c r="A233" s="62">
        <f>IF(G233="","",IF(G233=G232,"",COUNTIF($G$3:$G$976,G233)))</f>
        <v/>
      </c>
      <c r="B233" s="20" t="n"/>
      <c r="C233" s="63">
        <f>IF(G233="","",DAY(G233))</f>
        <v/>
      </c>
      <c r="D233" s="63">
        <f>IF(G233="","",MONTH(G233))</f>
        <v/>
      </c>
      <c r="E233" s="63">
        <f>IF(G233="","",YEAR(G233))</f>
        <v/>
      </c>
      <c r="F233" s="33">
        <f>IF(G233="","",CHOOSE(MONTH(G233),"Janeiro","Fevereiro","Março","Abril","Maio","Junho","Julho","Agosto","Setembro","Outubro","Novembro","Dezembro"))</f>
        <v/>
      </c>
      <c r="G233" s="64" t="n">
        <v>46061</v>
      </c>
      <c r="H233" s="65" t="n">
        <v>0.04143518518518519</v>
      </c>
      <c r="I233" s="66" t="inlineStr">
        <is>
          <t>https://docs.google.com/spreadsheets/d/1ZiCGoPjLCjuYvujDTXK9Ixbth3tekiLtFBzBrGjPCr4/edit?gid=0#gid=0</t>
        </is>
      </c>
      <c r="J233" s="67" t="inlineStr">
        <is>
          <t>Erro de Gps (Problema Técnico) - [GPS]</t>
        </is>
      </c>
      <c r="K233" s="67" t="inlineStr"/>
      <c r="L233" s="68" t="b">
        <v>0</v>
      </c>
      <c r="M233" s="20" t="n"/>
      <c r="N233" s="69">
        <f>IF($J233="","",IFERROR(INDEX(B!$F$2:$F$61,MATCH($J233,B!$E$2:$E$61,0))&amp;"",""))</f>
        <v/>
      </c>
      <c r="O233" s="69">
        <f>IF($J233="","",IFERROR(INDEX(B!$G$2:$G$61,MATCH($J233,B!$E$2:$E$61,0))&amp;"",""))</f>
        <v/>
      </c>
      <c r="P233" s="69">
        <f>IF($J233="","",IFERROR(INDEX(B!$H$2:$H$61,MATCH($J233,B!$E$2:$E$61,0))&amp;"",""))</f>
        <v/>
      </c>
      <c r="Q233" s="69">
        <f>IF($J233="","",IFERROR(INDEX(B!$I$2:$I$61,MATCH($J233,B!$E$2:$E$61,0))&amp;"",""))</f>
        <v/>
      </c>
      <c r="R233" s="69">
        <f>IF($J233="","",IFERROR(INDEX(B!$J$2:$J$61,MATCH($J233,B!$E$2:$E$61,0))&amp;"",""))</f>
        <v/>
      </c>
      <c r="S233" s="69">
        <f>IF($J233="","",IFERROR(INDEX(B!$K$2:$K$61,MATCH($J233,B!$E$2:$E$61,0))&amp;"",""))</f>
        <v/>
      </c>
      <c r="T233" s="69">
        <f>IF($J233="","",IFERROR(INDEX(B!$L$2:$L$61,MATCH($J233,B!$E$2:$E$61,0))&amp;"",""))</f>
        <v/>
      </c>
      <c r="U233" s="20" t="n"/>
      <c r="V233" s="70">
        <f>IF($J233="","",IFERROR(INDEX(B!$M$2:$M$61,MATCH($J233,B!$E$2:$E$61,0))&amp;"",""))</f>
        <v/>
      </c>
      <c r="W233" s="71">
        <f>IF(I233="","",IFERROR(MID(I233,FIND("/d/",I233)+3,FIND("/edit",I233)-FIND("/d/",I233)-3),I233))</f>
        <v/>
      </c>
      <c r="X233" s="71">
        <f>IF($J233="","",IFERROR(INDEX(B!$C$2:$C$61,MATCH($J233,B!$E$2:$E$61,0))&amp;"",""))</f>
        <v/>
      </c>
      <c r="Y233" s="20" t="n"/>
      <c r="Z233" s="72">
        <f>IF($J233="",FALSE,ISNUMBER(SEARCH("scout",$K233)))</f>
        <v/>
      </c>
      <c r="AA233" s="72">
        <f>IF($J233="",FALSE,IFERROR(INDEX(B!$N$2:$N$61,MATCH($J233,B!$E$2:$E$61,0))="Sim",FALSE))</f>
        <v/>
      </c>
      <c r="AB233" s="72">
        <f>IF($J233="",FALSE,LEFT($X233,2)="XX")</f>
        <v/>
      </c>
      <c r="AC233" s="72">
        <f>IF($J233="",FALSE,IFERROR(INDEX(B!$P$2:$P$61,MATCH($J233,B!$E$2:$E$61,0))="Sim",FALSE))</f>
        <v/>
      </c>
      <c r="AD233" s="20" t="n"/>
      <c r="AE233" s="52">
        <f>IF(H233="","",HOUR(H233))</f>
        <v/>
      </c>
      <c r="AF233" s="52" t="n"/>
    </row>
    <row r="234" ht="19.5" customHeight="1" s="58">
      <c r="A234" s="62">
        <f>IF(G234="","",IF(G234=G233,"",COUNTIF($G$3:$G$976,G234)))</f>
        <v/>
      </c>
      <c r="B234" s="20" t="n"/>
      <c r="C234" s="63">
        <f>IF(G234="","",DAY(G234))</f>
        <v/>
      </c>
      <c r="D234" s="63">
        <f>IF(G234="","",MONTH(G234))</f>
        <v/>
      </c>
      <c r="E234" s="63">
        <f>IF(G234="","",YEAR(G234))</f>
        <v/>
      </c>
      <c r="F234" s="33">
        <f>IF(G234="","",CHOOSE(MONTH(G234),"Janeiro","Fevereiro","Março","Abril","Maio","Junho","Julho","Agosto","Setembro","Outubro","Novembro","Dezembro"))</f>
        <v/>
      </c>
      <c r="G234" s="64" t="n">
        <v>46061</v>
      </c>
      <c r="H234" s="65" t="n">
        <v>0.05180555555555556</v>
      </c>
      <c r="I234" s="66" t="inlineStr">
        <is>
          <t>https://docs.google.com/spreadsheets/d/1ZiCGoPjLCjuYvujDTXK9Ixbth3tekiLtFBzBrGjPCr4/edit?gid=0#gid=0</t>
        </is>
      </c>
      <c r="J234" s="67" t="inlineStr">
        <is>
          <t>Overpaid, Não excede o limite, Sem comprovante - [OPNN]</t>
        </is>
      </c>
      <c r="K234" s="67" t="inlineStr"/>
      <c r="L234" s="68" t="b">
        <v>0</v>
      </c>
      <c r="M234" s="20" t="n"/>
      <c r="N234" s="69">
        <f>IF($J234="","",IFERROR(INDEX(B!$F$2:$F$61,MATCH($J234,B!$E$2:$E$61,0))&amp;"",""))</f>
        <v/>
      </c>
      <c r="O234" s="69">
        <f>IF($J234="","",IFERROR(INDEX(B!$G$2:$G$61,MATCH($J234,B!$E$2:$E$61,0))&amp;"",""))</f>
        <v/>
      </c>
      <c r="P234" s="69">
        <f>IF($J234="","",IFERROR(INDEX(B!$H$2:$H$61,MATCH($J234,B!$E$2:$E$61,0))&amp;"",""))</f>
        <v/>
      </c>
      <c r="Q234" s="69">
        <f>IF($J234="","",IFERROR(INDEX(B!$I$2:$I$61,MATCH($J234,B!$E$2:$E$61,0))&amp;"",""))</f>
        <v/>
      </c>
      <c r="R234" s="69">
        <f>IF($J234="","",IFERROR(INDEX(B!$J$2:$J$61,MATCH($J234,B!$E$2:$E$61,0))&amp;"",""))</f>
        <v/>
      </c>
      <c r="S234" s="69">
        <f>IF($J234="","",IFERROR(INDEX(B!$K$2:$K$61,MATCH($J234,B!$E$2:$E$61,0))&amp;"",""))</f>
        <v/>
      </c>
      <c r="T234" s="69">
        <f>IF($J234="","",IFERROR(INDEX(B!$L$2:$L$61,MATCH($J234,B!$E$2:$E$61,0))&amp;"",""))</f>
        <v/>
      </c>
      <c r="U234" s="20" t="n"/>
      <c r="V234" s="70">
        <f>IF($J234="","",IFERROR(INDEX(B!$M$2:$M$61,MATCH($J234,B!$E$2:$E$61,0))&amp;"",""))</f>
        <v/>
      </c>
      <c r="W234" s="71">
        <f>IF(I234="","",IFERROR(MID(I234,FIND("/d/",I234)+3,FIND("/edit",I234)-FIND("/d/",I234)-3),I234))</f>
        <v/>
      </c>
      <c r="X234" s="71">
        <f>IF($J234="","",IFERROR(INDEX(B!$C$2:$C$61,MATCH($J234,B!$E$2:$E$61,0))&amp;"",""))</f>
        <v/>
      </c>
      <c r="Y234" s="20" t="n"/>
      <c r="Z234" s="72">
        <f>IF($J234="",FALSE,ISNUMBER(SEARCH("scout",$K234)))</f>
        <v/>
      </c>
      <c r="AA234" s="72">
        <f>IF($J234="",FALSE,IFERROR(INDEX(B!$N$2:$N$61,MATCH($J234,B!$E$2:$E$61,0))="Sim",FALSE))</f>
        <v/>
      </c>
      <c r="AB234" s="72">
        <f>IF($J234="",FALSE,LEFT($X234,2)="XX")</f>
        <v/>
      </c>
      <c r="AC234" s="72">
        <f>IF($J234="",FALSE,IFERROR(INDEX(B!$P$2:$P$61,MATCH($J234,B!$E$2:$E$61,0))="Sim",FALSE))</f>
        <v/>
      </c>
      <c r="AD234" s="20" t="n"/>
      <c r="AE234" s="52">
        <f>IF(H234="","",HOUR(H234))</f>
        <v/>
      </c>
      <c r="AF234" s="52" t="n"/>
    </row>
    <row r="235" ht="19.5" customHeight="1" s="58">
      <c r="A235" s="62">
        <f>IF(G235="","",IF(G235=G234,"",COUNTIF($G$3:$G$976,G235)))</f>
        <v/>
      </c>
      <c r="B235" s="20" t="n"/>
      <c r="C235" s="63">
        <f>IF(G235="","",DAY(G235))</f>
        <v/>
      </c>
      <c r="D235" s="63">
        <f>IF(G235="","",MONTH(G235))</f>
        <v/>
      </c>
      <c r="E235" s="63">
        <f>IF(G235="","",YEAR(G235))</f>
        <v/>
      </c>
      <c r="F235" s="33">
        <f>IF(G235="","",CHOOSE(MONTH(G235),"Janeiro","Fevereiro","Março","Abril","Maio","Junho","Julho","Agosto","Setembro","Outubro","Novembro","Dezembro"))</f>
        <v/>
      </c>
      <c r="G235" s="64" t="n">
        <v>46061</v>
      </c>
      <c r="H235" s="65" t="n">
        <v>0.05273148148148148</v>
      </c>
      <c r="I235" s="66" t="inlineStr">
        <is>
          <t>https://docs.google.com/spreadsheets/d/1ZiCGoPjLCjuYvujDTXK9Ixbth3tekiLtFBzBrGjPCr4/edit?gid=0#gid=0</t>
        </is>
      </c>
      <c r="J235" s="67" t="inlineStr">
        <is>
          <t>Transferência de LOB (Accounts) - [TIAC]</t>
        </is>
      </c>
      <c r="K235" s="67" t="inlineStr"/>
      <c r="L235" s="68" t="b">
        <v>0</v>
      </c>
      <c r="M235" s="20" t="n"/>
      <c r="N235" s="69">
        <f>IF($J235="","",IFERROR(INDEX(B!$F$2:$F$61,MATCH($J235,B!$E$2:$E$61,0))&amp;"",""))</f>
        <v/>
      </c>
      <c r="O235" s="69">
        <f>IF($J235="","",IFERROR(INDEX(B!$G$2:$G$61,MATCH($J235,B!$E$2:$E$61,0))&amp;"",""))</f>
        <v/>
      </c>
      <c r="P235" s="69">
        <f>IF($J235="","",IFERROR(INDEX(B!$H$2:$H$61,MATCH($J235,B!$E$2:$E$61,0))&amp;"",""))</f>
        <v/>
      </c>
      <c r="Q235" s="69">
        <f>IF($J235="","",IFERROR(INDEX(B!$I$2:$I$61,MATCH($J235,B!$E$2:$E$61,0))&amp;"",""))</f>
        <v/>
      </c>
      <c r="R235" s="69">
        <f>IF($J235="","",IFERROR(INDEX(B!$J$2:$J$61,MATCH($J235,B!$E$2:$E$61,0))&amp;"",""))</f>
        <v/>
      </c>
      <c r="S235" s="69">
        <f>IF($J235="","",IFERROR(INDEX(B!$K$2:$K$61,MATCH($J235,B!$E$2:$E$61,0))&amp;"",""))</f>
        <v/>
      </c>
      <c r="T235" s="69">
        <f>IF($J235="","",IFERROR(INDEX(B!$L$2:$L$61,MATCH($J235,B!$E$2:$E$61,0))&amp;"",""))</f>
        <v/>
      </c>
      <c r="U235" s="20" t="n"/>
      <c r="V235" s="70">
        <f>IF($J235="","",IFERROR(INDEX(B!$M$2:$M$61,MATCH($J235,B!$E$2:$E$61,0))&amp;"",""))</f>
        <v/>
      </c>
      <c r="W235" s="71">
        <f>IF(I235="","",IFERROR(MID(I235,FIND("/d/",I235)+3,FIND("/edit",I235)-FIND("/d/",I235)-3),I235))</f>
        <v/>
      </c>
      <c r="X235" s="71">
        <f>IF($J235="","",IFERROR(INDEX(B!$C$2:$C$61,MATCH($J235,B!$E$2:$E$61,0))&amp;"",""))</f>
        <v/>
      </c>
      <c r="Y235" s="20" t="n"/>
      <c r="Z235" s="72">
        <f>IF($J235="",FALSE,ISNUMBER(SEARCH("scout",$K235)))</f>
        <v/>
      </c>
      <c r="AA235" s="72">
        <f>IF($J235="",FALSE,IFERROR(INDEX(B!$N$2:$N$61,MATCH($J235,B!$E$2:$E$61,0))="Sim",FALSE))</f>
        <v/>
      </c>
      <c r="AB235" s="72">
        <f>IF($J235="",FALSE,LEFT($X235,2)="XX")</f>
        <v/>
      </c>
      <c r="AC235" s="72">
        <f>IF($J235="",FALSE,IFERROR(INDEX(B!$P$2:$P$61,MATCH($J235,B!$E$2:$E$61,0))="Sim",FALSE))</f>
        <v/>
      </c>
      <c r="AD235" s="20" t="n"/>
      <c r="AE235" s="52">
        <f>IF(H235="","",HOUR(H235))</f>
        <v/>
      </c>
      <c r="AF235" s="52" t="n"/>
    </row>
    <row r="236" ht="19.5" customHeight="1" s="58">
      <c r="A236" s="62">
        <f>IF(G236="","",IF(G236=G235,"",COUNTIF($G$3:$G$976,G236)))</f>
        <v/>
      </c>
      <c r="B236" s="20" t="n"/>
      <c r="C236" s="63">
        <f>IF(G236="","",DAY(G236))</f>
        <v/>
      </c>
      <c r="D236" s="63">
        <f>IF(G236="","",MONTH(G236))</f>
        <v/>
      </c>
      <c r="E236" s="63">
        <f>IF(G236="","",YEAR(G236))</f>
        <v/>
      </c>
      <c r="F236" s="33">
        <f>IF(G236="","",CHOOSE(MONTH(G236),"Janeiro","Fevereiro","Março","Abril","Maio","Junho","Julho","Agosto","Setembro","Outubro","Novembro","Dezembro"))</f>
        <v/>
      </c>
      <c r="G236" s="64" t="n">
        <v>46061</v>
      </c>
      <c r="H236" s="65" t="n">
        <v>0.05458333333333333</v>
      </c>
      <c r="I236" s="66" t="inlineStr">
        <is>
          <t>https://docs.google.com/spreadsheets/d/1ZiCGoPjLCjuYvujDTXK9Ixbth3tekiLtFBzBrGjPCr4/edit?gid=0#gid=0</t>
        </is>
      </c>
      <c r="J236" s="67" t="inlineStr">
        <is>
          <t>Não houve Taxa de Cancelamento - [NTX]</t>
        </is>
      </c>
      <c r="K236" s="67" t="inlineStr"/>
      <c r="L236" s="68" t="b">
        <v>0</v>
      </c>
      <c r="M236" s="20" t="n"/>
      <c r="N236" s="69">
        <f>IF($J236="","",IFERROR(INDEX(B!$F$2:$F$61,MATCH($J236,B!$E$2:$E$61,0))&amp;"",""))</f>
        <v/>
      </c>
      <c r="O236" s="69">
        <f>IF($J236="","",IFERROR(INDEX(B!$G$2:$G$61,MATCH($J236,B!$E$2:$E$61,0))&amp;"",""))</f>
        <v/>
      </c>
      <c r="P236" s="69">
        <f>IF($J236="","",IFERROR(INDEX(B!$H$2:$H$61,MATCH($J236,B!$E$2:$E$61,0))&amp;"",""))</f>
        <v/>
      </c>
      <c r="Q236" s="69">
        <f>IF($J236="","",IFERROR(INDEX(B!$I$2:$I$61,MATCH($J236,B!$E$2:$E$61,0))&amp;"",""))</f>
        <v/>
      </c>
      <c r="R236" s="69">
        <f>IF($J236="","",IFERROR(INDEX(B!$J$2:$J$61,MATCH($J236,B!$E$2:$E$61,0))&amp;"",""))</f>
        <v/>
      </c>
      <c r="S236" s="69">
        <f>IF($J236="","",IFERROR(INDEX(B!$K$2:$K$61,MATCH($J236,B!$E$2:$E$61,0))&amp;"",""))</f>
        <v/>
      </c>
      <c r="T236" s="69">
        <f>IF($J236="","",IFERROR(INDEX(B!$L$2:$L$61,MATCH($J236,B!$E$2:$E$61,0))&amp;"",""))</f>
        <v/>
      </c>
      <c r="U236" s="20" t="n"/>
      <c r="V236" s="70">
        <f>IF($J236="","",IFERROR(INDEX(B!$M$2:$M$61,MATCH($J236,B!$E$2:$E$61,0))&amp;"",""))</f>
        <v/>
      </c>
      <c r="W236" s="71">
        <f>IF(I236="","",IFERROR(MID(I236,FIND("/d/",I236)+3,FIND("/edit",I236)-FIND("/d/",I236)-3),I236))</f>
        <v/>
      </c>
      <c r="X236" s="71">
        <f>IF($J236="","",IFERROR(INDEX(B!$C$2:$C$61,MATCH($J236,B!$E$2:$E$61,0))&amp;"",""))</f>
        <v/>
      </c>
      <c r="Y236" s="20" t="n"/>
      <c r="Z236" s="72">
        <f>IF($J236="",FALSE,ISNUMBER(SEARCH("scout",$K236)))</f>
        <v/>
      </c>
      <c r="AA236" s="72">
        <f>IF($J236="",FALSE,IFERROR(INDEX(B!$N$2:$N$61,MATCH($J236,B!$E$2:$E$61,0))="Sim",FALSE))</f>
        <v/>
      </c>
      <c r="AB236" s="72">
        <f>IF($J236="",FALSE,LEFT($X236,2)="XX")</f>
        <v/>
      </c>
      <c r="AC236" s="72">
        <f>IF($J236="",FALSE,IFERROR(INDEX(B!$P$2:$P$61,MATCH($J236,B!$E$2:$E$61,0))="Sim",FALSE))</f>
        <v/>
      </c>
      <c r="AD236" s="20" t="n"/>
      <c r="AE236" s="52">
        <f>IF(H236="","",HOUR(H236))</f>
        <v/>
      </c>
      <c r="AF236" s="52" t="n"/>
    </row>
    <row r="237" ht="19.5" customHeight="1" s="58">
      <c r="A237" s="62">
        <f>IF(G237="","",IF(G237=G236,"",COUNTIF($G$3:$G$976,G237)))</f>
        <v/>
      </c>
      <c r="B237" s="20" t="n"/>
      <c r="C237" s="63">
        <f>IF(G237="","",DAY(G237))</f>
        <v/>
      </c>
      <c r="D237" s="63">
        <f>IF(G237="","",MONTH(G237))</f>
        <v/>
      </c>
      <c r="E237" s="63">
        <f>IF(G237="","",YEAR(G237))</f>
        <v/>
      </c>
      <c r="F237" s="33">
        <f>IF(G237="","",CHOOSE(MONTH(G237),"Janeiro","Fevereiro","Março","Abril","Maio","Junho","Julho","Agosto","Setembro","Outubro","Novembro","Dezembro"))</f>
        <v/>
      </c>
      <c r="G237" s="64" t="n">
        <v>46061</v>
      </c>
      <c r="H237" s="65" t="n">
        <v>0.06048611111111111</v>
      </c>
      <c r="I237" s="66" t="inlineStr">
        <is>
          <t>https://docs.google.com/spreadsheets/d/1ZiCGoPjLCjuYvujDTXK9Ixbth3tekiLtFBzBrGjPCr4/edit?gid=0#gid=0</t>
        </is>
      </c>
      <c r="J237" s="67" t="inlineStr">
        <is>
          <t>Overpaid, Excede o limite, Sem comprovante - [OPEN]</t>
        </is>
      </c>
      <c r="K237" s="67" t="inlineStr"/>
      <c r="L237" s="68" t="b">
        <v>0</v>
      </c>
      <c r="M237" s="20" t="n"/>
      <c r="N237" s="69">
        <f>IF($J237="","",IFERROR(INDEX(B!$F$2:$F$61,MATCH($J237,B!$E$2:$E$61,0))&amp;"",""))</f>
        <v/>
      </c>
      <c r="O237" s="69">
        <f>IF($J237="","",IFERROR(INDEX(B!$G$2:$G$61,MATCH($J237,B!$E$2:$E$61,0))&amp;"",""))</f>
        <v/>
      </c>
      <c r="P237" s="69">
        <f>IF($J237="","",IFERROR(INDEX(B!$H$2:$H$61,MATCH($J237,B!$E$2:$E$61,0))&amp;"",""))</f>
        <v/>
      </c>
      <c r="Q237" s="69">
        <f>IF($J237="","",IFERROR(INDEX(B!$I$2:$I$61,MATCH($J237,B!$E$2:$E$61,0))&amp;"",""))</f>
        <v/>
      </c>
      <c r="R237" s="69">
        <f>IF($J237="","",IFERROR(INDEX(B!$J$2:$J$61,MATCH($J237,B!$E$2:$E$61,0))&amp;"",""))</f>
        <v/>
      </c>
      <c r="S237" s="69">
        <f>IF($J237="","",IFERROR(INDEX(B!$K$2:$K$61,MATCH($J237,B!$E$2:$E$61,0))&amp;"",""))</f>
        <v/>
      </c>
      <c r="T237" s="69">
        <f>IF($J237="","",IFERROR(INDEX(B!$L$2:$L$61,MATCH($J237,B!$E$2:$E$61,0))&amp;"",""))</f>
        <v/>
      </c>
      <c r="U237" s="20" t="n"/>
      <c r="V237" s="70">
        <f>IF($J237="","",IFERROR(INDEX(B!$M$2:$M$61,MATCH($J237,B!$E$2:$E$61,0))&amp;"",""))</f>
        <v/>
      </c>
      <c r="W237" s="71">
        <f>IF(I237="","",IFERROR(MID(I237,FIND("/d/",I237)+3,FIND("/edit",I237)-FIND("/d/",I237)-3),I237))</f>
        <v/>
      </c>
      <c r="X237" s="71">
        <f>IF($J237="","",IFERROR(INDEX(B!$C$2:$C$61,MATCH($J237,B!$E$2:$E$61,0))&amp;"",""))</f>
        <v/>
      </c>
      <c r="Y237" s="20" t="n"/>
      <c r="Z237" s="72">
        <f>IF($J237="",FALSE,ISNUMBER(SEARCH("scout",$K237)))</f>
        <v/>
      </c>
      <c r="AA237" s="72">
        <f>IF($J237="",FALSE,IFERROR(INDEX(B!$N$2:$N$61,MATCH($J237,B!$E$2:$E$61,0))="Sim",FALSE))</f>
        <v/>
      </c>
      <c r="AB237" s="72">
        <f>IF($J237="",FALSE,LEFT($X237,2)="XX")</f>
        <v/>
      </c>
      <c r="AC237" s="72">
        <f>IF($J237="",FALSE,IFERROR(INDEX(B!$P$2:$P$61,MATCH($J237,B!$E$2:$E$61,0))="Sim",FALSE))</f>
        <v/>
      </c>
      <c r="AD237" s="20" t="n"/>
      <c r="AE237" s="52">
        <f>IF(H237="","",HOUR(H237))</f>
        <v/>
      </c>
      <c r="AF237" s="52" t="n"/>
    </row>
    <row r="238" ht="19.5" customHeight="1" s="58">
      <c r="A238" s="62">
        <f>IF(G238="","",IF(G238=G237,"",COUNTIF($G$3:$G$976,G238)))</f>
        <v/>
      </c>
      <c r="B238" s="20" t="n"/>
      <c r="C238" s="63">
        <f>IF(G238="","",DAY(G238))</f>
        <v/>
      </c>
      <c r="D238" s="63">
        <f>IF(G238="","",MONTH(G238))</f>
        <v/>
      </c>
      <c r="E238" s="63">
        <f>IF(G238="","",YEAR(G238))</f>
        <v/>
      </c>
      <c r="F238" s="33">
        <f>IF(G238="","",CHOOSE(MONTH(G238),"Janeiro","Fevereiro","Março","Abril","Maio","Junho","Julho","Agosto","Setembro","Outubro","Novembro","Dezembro"))</f>
        <v/>
      </c>
      <c r="G238" s="64" t="n">
        <v>46061</v>
      </c>
      <c r="H238" s="65" t="n">
        <v>0.06082175925925926</v>
      </c>
      <c r="I238" s="66" t="inlineStr">
        <is>
          <t>https://docs.google.com/spreadsheets/d/1ZiCGoPjLCjuYvujDTXK9Ixbth3tekiLtFBzBrGjPCr4/edit?gid=0#gid=0</t>
        </is>
      </c>
      <c r="J238" s="67" t="inlineStr">
        <is>
          <t>Pushback - [XX]</t>
        </is>
      </c>
      <c r="K238" s="67" t="inlineStr"/>
      <c r="L238" s="68" t="b">
        <v>0</v>
      </c>
      <c r="M238" s="20" t="n"/>
      <c r="N238" s="69">
        <f>IF($J238="","",IFERROR(INDEX(B!$F$2:$F$61,MATCH($J238,B!$E$2:$E$61,0))&amp;"",""))</f>
        <v/>
      </c>
      <c r="O238" s="69">
        <f>IF($J238="","",IFERROR(INDEX(B!$G$2:$G$61,MATCH($J238,B!$E$2:$E$61,0))&amp;"",""))</f>
        <v/>
      </c>
      <c r="P238" s="69">
        <f>IF($J238="","",IFERROR(INDEX(B!$H$2:$H$61,MATCH($J238,B!$E$2:$E$61,0))&amp;"",""))</f>
        <v/>
      </c>
      <c r="Q238" s="69">
        <f>IF($J238="","",IFERROR(INDEX(B!$I$2:$I$61,MATCH($J238,B!$E$2:$E$61,0))&amp;"",""))</f>
        <v/>
      </c>
      <c r="R238" s="69">
        <f>IF($J238="","",IFERROR(INDEX(B!$J$2:$J$61,MATCH($J238,B!$E$2:$E$61,0))&amp;"",""))</f>
        <v/>
      </c>
      <c r="S238" s="69">
        <f>IF($J238="","",IFERROR(INDEX(B!$K$2:$K$61,MATCH($J238,B!$E$2:$E$61,0))&amp;"",""))</f>
        <v/>
      </c>
      <c r="T238" s="69">
        <f>IF($J238="","",IFERROR(INDEX(B!$L$2:$L$61,MATCH($J238,B!$E$2:$E$61,0))&amp;"",""))</f>
        <v/>
      </c>
      <c r="U238" s="20" t="n"/>
      <c r="V238" s="70">
        <f>IF($J238="","",IFERROR(INDEX(B!$M$2:$M$61,MATCH($J238,B!$E$2:$E$61,0))&amp;"",""))</f>
        <v/>
      </c>
      <c r="W238" s="71">
        <f>IF(I238="","",IFERROR(MID(I238,FIND("/d/",I238)+3,FIND("/edit",I238)-FIND("/d/",I238)-3),I238))</f>
        <v/>
      </c>
      <c r="X238" s="71">
        <f>IF($J238="","",IFERROR(INDEX(B!$C$2:$C$61,MATCH($J238,B!$E$2:$E$61,0))&amp;"",""))</f>
        <v/>
      </c>
      <c r="Y238" s="20" t="n"/>
      <c r="Z238" s="72">
        <f>IF($J238="",FALSE,ISNUMBER(SEARCH("scout",$K238)))</f>
        <v/>
      </c>
      <c r="AA238" s="72">
        <f>IF($J238="",FALSE,IFERROR(INDEX(B!$N$2:$N$61,MATCH($J238,B!$E$2:$E$61,0))="Sim",FALSE))</f>
        <v/>
      </c>
      <c r="AB238" s="72">
        <f>IF($J238="",FALSE,LEFT($X238,2)="XX")</f>
        <v/>
      </c>
      <c r="AC238" s="72">
        <f>IF($J238="",FALSE,IFERROR(INDEX(B!$P$2:$P$61,MATCH($J238,B!$E$2:$E$61,0))="Sim",FALSE))</f>
        <v/>
      </c>
      <c r="AD238" s="20" t="n"/>
      <c r="AE238" s="52">
        <f>IF(H238="","",HOUR(H238))</f>
        <v/>
      </c>
      <c r="AF238" s="52" t="n"/>
    </row>
    <row r="239" ht="19.5" customHeight="1" s="58">
      <c r="A239" s="62">
        <f>IF(G239="","",IF(G239=G238,"",COUNTIF($G$3:$G$976,G239)))</f>
        <v/>
      </c>
      <c r="B239" s="20" t="n"/>
      <c r="C239" s="63">
        <f>IF(G239="","",DAY(G239))</f>
        <v/>
      </c>
      <c r="D239" s="63">
        <f>IF(G239="","",MONTH(G239))</f>
        <v/>
      </c>
      <c r="E239" s="63">
        <f>IF(G239="","",YEAR(G239))</f>
        <v/>
      </c>
      <c r="F239" s="33">
        <f>IF(G239="","",CHOOSE(MONTH(G239),"Janeiro","Fevereiro","Março","Abril","Maio","Junho","Julho","Agosto","Setembro","Outubro","Novembro","Dezembro"))</f>
        <v/>
      </c>
      <c r="G239" s="64" t="n">
        <v>46061</v>
      </c>
      <c r="H239" s="65" t="n">
        <v>0.06479166666666666</v>
      </c>
      <c r="I239" s="66" t="inlineStr">
        <is>
          <t>https://docs.google.com/spreadsheets/d/1ZiCGoPjLCjuYvujDTXK9Ixbth3tekiLtFBzBrGjPCr4/edit?gid=0#gid=0</t>
        </is>
      </c>
      <c r="J239" s="67" t="inlineStr">
        <is>
          <t>Overpaid, Não excede o limite, Sem comprovante - [OPNN]</t>
        </is>
      </c>
      <c r="K239" s="67" t="inlineStr">
        <is>
          <t>Scout</t>
        </is>
      </c>
      <c r="L239" s="68" t="b">
        <v>0</v>
      </c>
      <c r="M239" s="20" t="n"/>
      <c r="N239" s="69">
        <f>IF($J239="","",IFERROR(INDEX(B!$F$2:$F$61,MATCH($J239,B!$E$2:$E$61,0))&amp;"",""))</f>
        <v/>
      </c>
      <c r="O239" s="69">
        <f>IF($J239="","",IFERROR(INDEX(B!$G$2:$G$61,MATCH($J239,B!$E$2:$E$61,0))&amp;"",""))</f>
        <v/>
      </c>
      <c r="P239" s="69">
        <f>IF($J239="","",IFERROR(INDEX(B!$H$2:$H$61,MATCH($J239,B!$E$2:$E$61,0))&amp;"",""))</f>
        <v/>
      </c>
      <c r="Q239" s="69">
        <f>IF($J239="","",IFERROR(INDEX(B!$I$2:$I$61,MATCH($J239,B!$E$2:$E$61,0))&amp;"",""))</f>
        <v/>
      </c>
      <c r="R239" s="69">
        <f>IF($J239="","",IFERROR(INDEX(B!$J$2:$J$61,MATCH($J239,B!$E$2:$E$61,0))&amp;"",""))</f>
        <v/>
      </c>
      <c r="S239" s="69">
        <f>IF($J239="","",IFERROR(INDEX(B!$K$2:$K$61,MATCH($J239,B!$E$2:$E$61,0))&amp;"",""))</f>
        <v/>
      </c>
      <c r="T239" s="69">
        <f>IF($J239="","",IFERROR(INDEX(B!$L$2:$L$61,MATCH($J239,B!$E$2:$E$61,0))&amp;"",""))</f>
        <v/>
      </c>
      <c r="U239" s="20" t="n"/>
      <c r="V239" s="70">
        <f>IF($J239="","",IFERROR(INDEX(B!$M$2:$M$61,MATCH($J239,B!$E$2:$E$61,0))&amp;"",""))</f>
        <v/>
      </c>
      <c r="W239" s="71">
        <f>IF(I239="","",IFERROR(MID(I239,FIND("/d/",I239)+3,FIND("/edit",I239)-FIND("/d/",I239)-3),I239))</f>
        <v/>
      </c>
      <c r="X239" s="71">
        <f>IF($J239="","",IFERROR(INDEX(B!$C$2:$C$61,MATCH($J239,B!$E$2:$E$61,0))&amp;"",""))</f>
        <v/>
      </c>
      <c r="Y239" s="20" t="n"/>
      <c r="Z239" s="72">
        <f>IF($J239="",FALSE,ISNUMBER(SEARCH("scout",$K239)))</f>
        <v/>
      </c>
      <c r="AA239" s="72">
        <f>IF($J239="",FALSE,IFERROR(INDEX(B!$N$2:$N$61,MATCH($J239,B!$E$2:$E$61,0))="Sim",FALSE))</f>
        <v/>
      </c>
      <c r="AB239" s="72">
        <f>IF($J239="",FALSE,LEFT($X239,2)="XX")</f>
        <v/>
      </c>
      <c r="AC239" s="72">
        <f>IF($J239="",FALSE,IFERROR(INDEX(B!$P$2:$P$61,MATCH($J239,B!$E$2:$E$61,0))="Sim",FALSE))</f>
        <v/>
      </c>
      <c r="AD239" s="20" t="n"/>
      <c r="AE239" s="52">
        <f>IF(H239="","",HOUR(H239))</f>
        <v/>
      </c>
      <c r="AF239" s="52" t="n"/>
    </row>
    <row r="240" ht="19.5" customHeight="1" s="58">
      <c r="A240" s="62">
        <f>IF(G240="","",IF(G240=G239,"",COUNTIF($G$3:$G$976,G240)))</f>
        <v/>
      </c>
      <c r="B240" s="20" t="n"/>
      <c r="C240" s="63">
        <f>IF(G240="","",DAY(G240))</f>
        <v/>
      </c>
      <c r="D240" s="63">
        <f>IF(G240="","",MONTH(G240))</f>
        <v/>
      </c>
      <c r="E240" s="63">
        <f>IF(G240="","",YEAR(G240))</f>
        <v/>
      </c>
      <c r="F240" s="33">
        <f>IF(G240="","",CHOOSE(MONTH(G240),"Janeiro","Fevereiro","Março","Abril","Maio","Junho","Julho","Agosto","Setembro","Outubro","Novembro","Dezembro"))</f>
        <v/>
      </c>
      <c r="G240" s="64" t="n">
        <v>46061</v>
      </c>
      <c r="H240" s="65" t="n">
        <v>0.06824074074074074</v>
      </c>
      <c r="I240" s="66" t="inlineStr">
        <is>
          <t>https://docs.google.com/spreadsheets/d/1ZiCGoPjLCjuYvujDTXK9Ixbth3tekiLtFBzBrGjPCr4/edit?gid=0#gid=0</t>
        </is>
      </c>
      <c r="J240" s="67" t="inlineStr">
        <is>
          <t>Transferência de LOB (Safety) - [TIST]</t>
        </is>
      </c>
      <c r="K240" s="67" t="inlineStr"/>
      <c r="L240" s="68" t="b">
        <v>0</v>
      </c>
      <c r="M240" s="20" t="n"/>
      <c r="N240" s="69">
        <f>IF($J240="","",IFERROR(INDEX(B!$F$2:$F$61,MATCH($J240,B!$E$2:$E$61,0))&amp;"",""))</f>
        <v/>
      </c>
      <c r="O240" s="69">
        <f>IF($J240="","",IFERROR(INDEX(B!$G$2:$G$61,MATCH($J240,B!$E$2:$E$61,0))&amp;"",""))</f>
        <v/>
      </c>
      <c r="P240" s="69">
        <f>IF($J240="","",IFERROR(INDEX(B!$H$2:$H$61,MATCH($J240,B!$E$2:$E$61,0))&amp;"",""))</f>
        <v/>
      </c>
      <c r="Q240" s="69">
        <f>IF($J240="","",IFERROR(INDEX(B!$I$2:$I$61,MATCH($J240,B!$E$2:$E$61,0))&amp;"",""))</f>
        <v/>
      </c>
      <c r="R240" s="69">
        <f>IF($J240="","",IFERROR(INDEX(B!$J$2:$J$61,MATCH($J240,B!$E$2:$E$61,0))&amp;"",""))</f>
        <v/>
      </c>
      <c r="S240" s="69">
        <f>IF($J240="","",IFERROR(INDEX(B!$K$2:$K$61,MATCH($J240,B!$E$2:$E$61,0))&amp;"",""))</f>
        <v/>
      </c>
      <c r="T240" s="69">
        <f>IF($J240="","",IFERROR(INDEX(B!$L$2:$L$61,MATCH($J240,B!$E$2:$E$61,0))&amp;"",""))</f>
        <v/>
      </c>
      <c r="U240" s="20" t="n"/>
      <c r="V240" s="70">
        <f>IF($J240="","",IFERROR(INDEX(B!$M$2:$M$61,MATCH($J240,B!$E$2:$E$61,0))&amp;"",""))</f>
        <v/>
      </c>
      <c r="W240" s="71">
        <f>IF(I240="","",IFERROR(MID(I240,FIND("/d/",I240)+3,FIND("/edit",I240)-FIND("/d/",I240)-3),I240))</f>
        <v/>
      </c>
      <c r="X240" s="71">
        <f>IF($J240="","",IFERROR(INDEX(B!$C$2:$C$61,MATCH($J240,B!$E$2:$E$61,0))&amp;"",""))</f>
        <v/>
      </c>
      <c r="Y240" s="20" t="n"/>
      <c r="Z240" s="72">
        <f>IF($J240="",FALSE,ISNUMBER(SEARCH("scout",$K240)))</f>
        <v/>
      </c>
      <c r="AA240" s="72">
        <f>IF($J240="",FALSE,IFERROR(INDEX(B!$N$2:$N$61,MATCH($J240,B!$E$2:$E$61,0))="Sim",FALSE))</f>
        <v/>
      </c>
      <c r="AB240" s="72">
        <f>IF($J240="",FALSE,LEFT($X240,2)="XX")</f>
        <v/>
      </c>
      <c r="AC240" s="72">
        <f>IF($J240="",FALSE,IFERROR(INDEX(B!$P$2:$P$61,MATCH($J240,B!$E$2:$E$61,0))="Sim",FALSE))</f>
        <v/>
      </c>
      <c r="AD240" s="20" t="n"/>
      <c r="AE240" s="52">
        <f>IF(H240="","",HOUR(H240))</f>
        <v/>
      </c>
      <c r="AF240" s="52" t="n"/>
    </row>
    <row r="241" ht="19.5" customHeight="1" s="58">
      <c r="A241" s="62">
        <f>IF(G241="","",IF(G241=G240,"",COUNTIF($G$3:$G$976,G241)))</f>
        <v/>
      </c>
      <c r="B241" s="20" t="n"/>
      <c r="C241" s="63">
        <f>IF(G241="","",DAY(G241))</f>
        <v/>
      </c>
      <c r="D241" s="63">
        <f>IF(G241="","",MONTH(G241))</f>
        <v/>
      </c>
      <c r="E241" s="63">
        <f>IF(G241="","",YEAR(G241))</f>
        <v/>
      </c>
      <c r="F241" s="33">
        <f>IF(G241="","",CHOOSE(MONTH(G241),"Janeiro","Fevereiro","Março","Abril","Maio","Junho","Julho","Agosto","Setembro","Outubro","Novembro","Dezembro"))</f>
        <v/>
      </c>
      <c r="G241" s="64" t="n">
        <v>46061</v>
      </c>
      <c r="H241" s="65" t="n">
        <v>0.07168981481481482</v>
      </c>
      <c r="I241" s="66" t="inlineStr">
        <is>
          <t>https://docs.google.com/spreadsheets/d/1ZiCGoPjLCjuYvujDTXK9Ixbth3tekiLtFBzBrGjPCr4/edit?gid=0#gid=0</t>
        </is>
      </c>
      <c r="J241" s="67" t="inlineStr">
        <is>
          <t>Transferência de LOB (Profissionalismo) - [TIPR]</t>
        </is>
      </c>
      <c r="K241" s="67" t="inlineStr"/>
      <c r="L241" s="68" t="b">
        <v>1</v>
      </c>
      <c r="M241" s="20" t="n"/>
      <c r="N241" s="69">
        <f>IF($J241="","",IFERROR(INDEX(B!$F$2:$F$61,MATCH($J241,B!$E$2:$E$61,0))&amp;"",""))</f>
        <v/>
      </c>
      <c r="O241" s="69">
        <f>IF($J241="","",IFERROR(INDEX(B!$G$2:$G$61,MATCH($J241,B!$E$2:$E$61,0))&amp;"",""))</f>
        <v/>
      </c>
      <c r="P241" s="69">
        <f>IF($J241="","",IFERROR(INDEX(B!$H$2:$H$61,MATCH($J241,B!$E$2:$E$61,0))&amp;"",""))</f>
        <v/>
      </c>
      <c r="Q241" s="69">
        <f>IF($J241="","",IFERROR(INDEX(B!$I$2:$I$61,MATCH($J241,B!$E$2:$E$61,0))&amp;"",""))</f>
        <v/>
      </c>
      <c r="R241" s="69">
        <f>IF($J241="","",IFERROR(INDEX(B!$J$2:$J$61,MATCH($J241,B!$E$2:$E$61,0))&amp;"",""))</f>
        <v/>
      </c>
      <c r="S241" s="69">
        <f>IF($J241="","",IFERROR(INDEX(B!$K$2:$K$61,MATCH($J241,B!$E$2:$E$61,0))&amp;"",""))</f>
        <v/>
      </c>
      <c r="T241" s="69">
        <f>IF($J241="","",IFERROR(INDEX(B!$L$2:$L$61,MATCH($J241,B!$E$2:$E$61,0))&amp;"",""))</f>
        <v/>
      </c>
      <c r="U241" s="20" t="n"/>
      <c r="V241" s="70">
        <f>IF($J241="","",IFERROR(INDEX(B!$M$2:$M$61,MATCH($J241,B!$E$2:$E$61,0))&amp;"",""))</f>
        <v/>
      </c>
      <c r="W241" s="71">
        <f>IF(I241="","",IFERROR(MID(I241,FIND("/d/",I241)+3,FIND("/edit",I241)-FIND("/d/",I241)-3),I241))</f>
        <v/>
      </c>
      <c r="X241" s="71">
        <f>IF($J241="","",IFERROR(INDEX(B!$C$2:$C$61,MATCH($J241,B!$E$2:$E$61,0))&amp;"",""))</f>
        <v/>
      </c>
      <c r="Y241" s="20" t="n"/>
      <c r="Z241" s="72">
        <f>IF($J241="",FALSE,ISNUMBER(SEARCH("scout",$K241)))</f>
        <v/>
      </c>
      <c r="AA241" s="72">
        <f>IF($J241="",FALSE,IFERROR(INDEX(B!$N$2:$N$61,MATCH($J241,B!$E$2:$E$61,0))="Sim",FALSE))</f>
        <v/>
      </c>
      <c r="AB241" s="72">
        <f>IF($J241="",FALSE,LEFT($X241,2)="XX")</f>
        <v/>
      </c>
      <c r="AC241" s="72">
        <f>IF($J241="",FALSE,IFERROR(INDEX(B!$P$2:$P$61,MATCH($J241,B!$E$2:$E$61,0))="Sim",FALSE))</f>
        <v/>
      </c>
      <c r="AD241" s="20" t="n"/>
      <c r="AE241" s="52">
        <f>IF(H241="","",HOUR(H241))</f>
        <v/>
      </c>
      <c r="AF241" s="52" t="n"/>
    </row>
    <row r="242" ht="19.5" customHeight="1" s="58">
      <c r="A242" s="62">
        <f>IF(G242="","",IF(G242=G241,"",COUNTIF($G$3:$G$976,G242)))</f>
        <v/>
      </c>
      <c r="B242" s="20" t="n"/>
      <c r="C242" s="63">
        <f>IF(G242="","",DAY(G242))</f>
        <v/>
      </c>
      <c r="D242" s="63">
        <f>IF(G242="","",MONTH(G242))</f>
        <v/>
      </c>
      <c r="E242" s="63">
        <f>IF(G242="","",YEAR(G242))</f>
        <v/>
      </c>
      <c r="F242" s="33">
        <f>IF(G242="","",CHOOSE(MONTH(G242),"Janeiro","Fevereiro","Março","Abril","Maio","Junho","Julho","Agosto","Setembro","Outubro","Novembro","Dezembro"))</f>
        <v/>
      </c>
      <c r="G242" s="64" t="n">
        <v>46061</v>
      </c>
      <c r="H242" s="65" t="n">
        <v>0.07585648148148148</v>
      </c>
      <c r="I242" s="66" t="inlineStr">
        <is>
          <t>https://docs.google.com/spreadsheets/d/1ZiCGoPjLCjuYvujDTXK9Ixbth3tekiLtFBzBrGjPCr4/edit?gid=0#gid=0</t>
        </is>
      </c>
      <c r="J242" s="67" t="inlineStr">
        <is>
          <t>Transferência de LOB (Driver) - [TIDV]</t>
        </is>
      </c>
      <c r="K242" s="67" t="inlineStr"/>
      <c r="L242" s="68" t="b">
        <v>0</v>
      </c>
      <c r="M242" s="20" t="n"/>
      <c r="N242" s="69">
        <f>IF($J242="","",IFERROR(INDEX(B!$F$2:$F$61,MATCH($J242,B!$E$2:$E$61,0))&amp;"",""))</f>
        <v/>
      </c>
      <c r="O242" s="69">
        <f>IF($J242="","",IFERROR(INDEX(B!$G$2:$G$61,MATCH($J242,B!$E$2:$E$61,0))&amp;"",""))</f>
        <v/>
      </c>
      <c r="P242" s="69">
        <f>IF($J242="","",IFERROR(INDEX(B!$H$2:$H$61,MATCH($J242,B!$E$2:$E$61,0))&amp;"",""))</f>
        <v/>
      </c>
      <c r="Q242" s="69">
        <f>IF($J242="","",IFERROR(INDEX(B!$I$2:$I$61,MATCH($J242,B!$E$2:$E$61,0))&amp;"",""))</f>
        <v/>
      </c>
      <c r="R242" s="69">
        <f>IF($J242="","",IFERROR(INDEX(B!$J$2:$J$61,MATCH($J242,B!$E$2:$E$61,0))&amp;"",""))</f>
        <v/>
      </c>
      <c r="S242" s="69">
        <f>IF($J242="","",IFERROR(INDEX(B!$K$2:$K$61,MATCH($J242,B!$E$2:$E$61,0))&amp;"",""))</f>
        <v/>
      </c>
      <c r="T242" s="69">
        <f>IF($J242="","",IFERROR(INDEX(B!$L$2:$L$61,MATCH($J242,B!$E$2:$E$61,0))&amp;"",""))</f>
        <v/>
      </c>
      <c r="U242" s="20" t="n"/>
      <c r="V242" s="70">
        <f>IF($J242="","",IFERROR(INDEX(B!$M$2:$M$61,MATCH($J242,B!$E$2:$E$61,0))&amp;"",""))</f>
        <v/>
      </c>
      <c r="W242" s="71">
        <f>IF(I242="","",IFERROR(MID(I242,FIND("/d/",I242)+3,FIND("/edit",I242)-FIND("/d/",I242)-3),I242))</f>
        <v/>
      </c>
      <c r="X242" s="71">
        <f>IF($J242="","",IFERROR(INDEX(B!$C$2:$C$61,MATCH($J242,B!$E$2:$E$61,0))&amp;"",""))</f>
        <v/>
      </c>
      <c r="Y242" s="20" t="n"/>
      <c r="Z242" s="72">
        <f>IF($J242="",FALSE,ISNUMBER(SEARCH("scout",$K242)))</f>
        <v/>
      </c>
      <c r="AA242" s="72">
        <f>IF($J242="",FALSE,IFERROR(INDEX(B!$N$2:$N$61,MATCH($J242,B!$E$2:$E$61,0))="Sim",FALSE))</f>
        <v/>
      </c>
      <c r="AB242" s="72">
        <f>IF($J242="",FALSE,LEFT($X242,2)="XX")</f>
        <v/>
      </c>
      <c r="AC242" s="72">
        <f>IF($J242="",FALSE,IFERROR(INDEX(B!$P$2:$P$61,MATCH($J242,B!$E$2:$E$61,0))="Sim",FALSE))</f>
        <v/>
      </c>
      <c r="AD242" s="20" t="n"/>
      <c r="AE242" s="52">
        <f>IF(H242="","",HOUR(H242))</f>
        <v/>
      </c>
      <c r="AF242" s="52" t="n"/>
    </row>
    <row r="243" ht="19.5" customHeight="1" s="58">
      <c r="A243" s="62">
        <f>IF(G243="","",IF(G243=G242,"",COUNTIF($G$3:$G$976,G243)))</f>
        <v/>
      </c>
      <c r="B243" s="20" t="n"/>
      <c r="C243" s="63">
        <f>IF(G243="","",DAY(G243))</f>
        <v/>
      </c>
      <c r="D243" s="63">
        <f>IF(G243="","",MONTH(G243))</f>
        <v/>
      </c>
      <c r="E243" s="63">
        <f>IF(G243="","",YEAR(G243))</f>
        <v/>
      </c>
      <c r="F243" s="33">
        <f>IF(G243="","",CHOOSE(MONTH(G243),"Janeiro","Fevereiro","Março","Abril","Maio","Junho","Julho","Agosto","Setembro","Outubro","Novembro","Dezembro"))</f>
        <v/>
      </c>
      <c r="G243" s="64" t="n">
        <v>46061</v>
      </c>
      <c r="H243" s="65" t="n">
        <v>0.07611111111111112</v>
      </c>
      <c r="I243" s="66" t="inlineStr">
        <is>
          <t>https://docs.google.com/spreadsheets/d/1ZiCGoPjLCjuYvujDTXK9Ixbth3tekiLtFBzBrGjPCr4/edit?gid=0#gid=0</t>
        </is>
      </c>
      <c r="J243" s="67" t="inlineStr">
        <is>
          <t>Não houve Taxa de Cancelamento - [NTX]</t>
        </is>
      </c>
      <c r="K243" s="67" t="inlineStr"/>
      <c r="L243" s="68" t="b">
        <v>0</v>
      </c>
      <c r="M243" s="20" t="n"/>
      <c r="N243" s="69">
        <f>IF($J243="","",IFERROR(INDEX(B!$F$2:$F$61,MATCH($J243,B!$E$2:$E$61,0))&amp;"",""))</f>
        <v/>
      </c>
      <c r="O243" s="69">
        <f>IF($J243="","",IFERROR(INDEX(B!$G$2:$G$61,MATCH($J243,B!$E$2:$E$61,0))&amp;"",""))</f>
        <v/>
      </c>
      <c r="P243" s="69">
        <f>IF($J243="","",IFERROR(INDEX(B!$H$2:$H$61,MATCH($J243,B!$E$2:$E$61,0))&amp;"",""))</f>
        <v/>
      </c>
      <c r="Q243" s="69">
        <f>IF($J243="","",IFERROR(INDEX(B!$I$2:$I$61,MATCH($J243,B!$E$2:$E$61,0))&amp;"",""))</f>
        <v/>
      </c>
      <c r="R243" s="69">
        <f>IF($J243="","",IFERROR(INDEX(B!$J$2:$J$61,MATCH($J243,B!$E$2:$E$61,0))&amp;"",""))</f>
        <v/>
      </c>
      <c r="S243" s="69">
        <f>IF($J243="","",IFERROR(INDEX(B!$K$2:$K$61,MATCH($J243,B!$E$2:$E$61,0))&amp;"",""))</f>
        <v/>
      </c>
      <c r="T243" s="69">
        <f>IF($J243="","",IFERROR(INDEX(B!$L$2:$L$61,MATCH($J243,B!$E$2:$E$61,0))&amp;"",""))</f>
        <v/>
      </c>
      <c r="U243" s="20" t="n"/>
      <c r="V243" s="70">
        <f>IF($J243="","",IFERROR(INDEX(B!$M$2:$M$61,MATCH($J243,B!$E$2:$E$61,0))&amp;"",""))</f>
        <v/>
      </c>
      <c r="W243" s="71">
        <f>IF(I243="","",IFERROR(MID(I243,FIND("/d/",I243)+3,FIND("/edit",I243)-FIND("/d/",I243)-3),I243))</f>
        <v/>
      </c>
      <c r="X243" s="71">
        <f>IF($J243="","",IFERROR(INDEX(B!$C$2:$C$61,MATCH($J243,B!$E$2:$E$61,0))&amp;"",""))</f>
        <v/>
      </c>
      <c r="Y243" s="20" t="n"/>
      <c r="Z243" s="72">
        <f>IF($J243="",FALSE,ISNUMBER(SEARCH("scout",$K243)))</f>
        <v/>
      </c>
      <c r="AA243" s="72">
        <f>IF($J243="",FALSE,IFERROR(INDEX(B!$N$2:$N$61,MATCH($J243,B!$E$2:$E$61,0))="Sim",FALSE))</f>
        <v/>
      </c>
      <c r="AB243" s="72">
        <f>IF($J243="",FALSE,LEFT($X243,2)="XX")</f>
        <v/>
      </c>
      <c r="AC243" s="72">
        <f>IF($J243="",FALSE,IFERROR(INDEX(B!$P$2:$P$61,MATCH($J243,B!$E$2:$E$61,0))="Sim",FALSE))</f>
        <v/>
      </c>
      <c r="AD243" s="20" t="n"/>
      <c r="AE243" s="52">
        <f>IF(H243="","",HOUR(H243))</f>
        <v/>
      </c>
      <c r="AF243" s="52" t="n"/>
    </row>
    <row r="244" ht="19.5" customHeight="1" s="58">
      <c r="A244" s="62">
        <f>IF(G244="","",IF(G244=G243,"",COUNTIF($G$3:$G$976,G244)))</f>
        <v/>
      </c>
      <c r="B244" s="20" t="n"/>
      <c r="C244" s="63">
        <f>IF(G244="","",DAY(G244))</f>
        <v/>
      </c>
      <c r="D244" s="63">
        <f>IF(G244="","",MONTH(G244))</f>
        <v/>
      </c>
      <c r="E244" s="63">
        <f>IF(G244="","",YEAR(G244))</f>
        <v/>
      </c>
      <c r="F244" s="33">
        <f>IF(G244="","",CHOOSE(MONTH(G244),"Janeiro","Fevereiro","Março","Abril","Maio","Junho","Julho","Agosto","Setembro","Outubro","Novembro","Dezembro"))</f>
        <v/>
      </c>
      <c r="G244" s="64" t="n">
        <v>46061</v>
      </c>
      <c r="H244" s="65" t="n">
        <v>0.07988425925925927</v>
      </c>
      <c r="I244" s="66" t="inlineStr">
        <is>
          <t>https://docs.google.com/spreadsheets/d/1ZiCGoPjLCjuYvujDTXK9Ixbth3tekiLtFBzBrGjPCr4/edit?gid=0#gid=0</t>
        </is>
      </c>
      <c r="J244" s="67" t="inlineStr">
        <is>
          <t>Taxa de Cancelamento Cobrada Corretamente - [TXCO]</t>
        </is>
      </c>
      <c r="K244" s="67" t="inlineStr"/>
      <c r="L244" s="68" t="b">
        <v>0</v>
      </c>
      <c r="M244" s="20" t="n"/>
      <c r="N244" s="69">
        <f>IF($J244="","",IFERROR(INDEX(B!$F$2:$F$61,MATCH($J244,B!$E$2:$E$61,0))&amp;"",""))</f>
        <v/>
      </c>
      <c r="O244" s="69">
        <f>IF($J244="","",IFERROR(INDEX(B!$G$2:$G$61,MATCH($J244,B!$E$2:$E$61,0))&amp;"",""))</f>
        <v/>
      </c>
      <c r="P244" s="69">
        <f>IF($J244="","",IFERROR(INDEX(B!$H$2:$H$61,MATCH($J244,B!$E$2:$E$61,0))&amp;"",""))</f>
        <v/>
      </c>
      <c r="Q244" s="69">
        <f>IF($J244="","",IFERROR(INDEX(B!$I$2:$I$61,MATCH($J244,B!$E$2:$E$61,0))&amp;"",""))</f>
        <v/>
      </c>
      <c r="R244" s="69">
        <f>IF($J244="","",IFERROR(INDEX(B!$J$2:$J$61,MATCH($J244,B!$E$2:$E$61,0))&amp;"",""))</f>
        <v/>
      </c>
      <c r="S244" s="69">
        <f>IF($J244="","",IFERROR(INDEX(B!$K$2:$K$61,MATCH($J244,B!$E$2:$E$61,0))&amp;"",""))</f>
        <v/>
      </c>
      <c r="T244" s="69">
        <f>IF($J244="","",IFERROR(INDEX(B!$L$2:$L$61,MATCH($J244,B!$E$2:$E$61,0))&amp;"",""))</f>
        <v/>
      </c>
      <c r="U244" s="20" t="n"/>
      <c r="V244" s="70">
        <f>IF($J244="","",IFERROR(INDEX(B!$M$2:$M$61,MATCH($J244,B!$E$2:$E$61,0))&amp;"",""))</f>
        <v/>
      </c>
      <c r="W244" s="71">
        <f>IF(I244="","",IFERROR(MID(I244,FIND("/d/",I244)+3,FIND("/edit",I244)-FIND("/d/",I244)-3),I244))</f>
        <v/>
      </c>
      <c r="X244" s="71">
        <f>IF($J244="","",IFERROR(INDEX(B!$C$2:$C$61,MATCH($J244,B!$E$2:$E$61,0))&amp;"",""))</f>
        <v/>
      </c>
      <c r="Y244" s="20" t="n"/>
      <c r="Z244" s="72">
        <f>IF($J244="",FALSE,ISNUMBER(SEARCH("scout",$K244)))</f>
        <v/>
      </c>
      <c r="AA244" s="72">
        <f>IF($J244="",FALSE,IFERROR(INDEX(B!$N$2:$N$61,MATCH($J244,B!$E$2:$E$61,0))="Sim",FALSE))</f>
        <v/>
      </c>
      <c r="AB244" s="72">
        <f>IF($J244="",FALSE,LEFT($X244,2)="XX")</f>
        <v/>
      </c>
      <c r="AC244" s="72">
        <f>IF($J244="",FALSE,IFERROR(INDEX(B!$P$2:$P$61,MATCH($J244,B!$E$2:$E$61,0))="Sim",FALSE))</f>
        <v/>
      </c>
      <c r="AD244" s="20" t="n"/>
      <c r="AE244" s="52">
        <f>IF(H244="","",HOUR(H244))</f>
        <v/>
      </c>
      <c r="AF244" s="52" t="n"/>
    </row>
    <row r="245" ht="19.5" customHeight="1" s="58">
      <c r="A245" s="62">
        <f>IF(G245="","",IF(G245=G244,"",COUNTIF($G$3:$G$976,G245)))</f>
        <v/>
      </c>
      <c r="B245" s="20" t="n"/>
      <c r="C245" s="63">
        <f>IF(G245="","",DAY(G245))</f>
        <v/>
      </c>
      <c r="D245" s="63">
        <f>IF(G245="","",MONTH(G245))</f>
        <v/>
      </c>
      <c r="E245" s="63">
        <f>IF(G245="","",YEAR(G245))</f>
        <v/>
      </c>
      <c r="F245" s="33">
        <f>IF(G245="","",CHOOSE(MONTH(G245),"Janeiro","Fevereiro","Março","Abril","Maio","Junho","Julho","Agosto","Setembro","Outubro","Novembro","Dezembro"))</f>
        <v/>
      </c>
      <c r="G245" s="64" t="n">
        <v>46061</v>
      </c>
      <c r="H245" s="65" t="n">
        <v>0.09138888888888889</v>
      </c>
      <c r="I245" s="66" t="inlineStr">
        <is>
          <t>https://docs.google.com/spreadsheets/d/1ZiCGoPjLCjuYvujDTXK9Ixbth3tekiLtFBzBrGjPCr4/edit?gid=0#gid=0</t>
        </is>
      </c>
      <c r="J245" s="67" t="inlineStr">
        <is>
          <t>Transferência de LOB (Geral não especificado) - [TI]</t>
        </is>
      </c>
      <c r="K245" s="67" t="inlineStr"/>
      <c r="L245" s="68" t="b">
        <v>1</v>
      </c>
      <c r="M245" s="20" t="n"/>
      <c r="N245" s="69">
        <f>IF($J245="","",IFERROR(INDEX(B!$F$2:$F$61,MATCH($J245,B!$E$2:$E$61,0))&amp;"",""))</f>
        <v/>
      </c>
      <c r="O245" s="69">
        <f>IF($J245="","",IFERROR(INDEX(B!$G$2:$G$61,MATCH($J245,B!$E$2:$E$61,0))&amp;"",""))</f>
        <v/>
      </c>
      <c r="P245" s="69">
        <f>IF($J245="","",IFERROR(INDEX(B!$H$2:$H$61,MATCH($J245,B!$E$2:$E$61,0))&amp;"",""))</f>
        <v/>
      </c>
      <c r="Q245" s="69">
        <f>IF($J245="","",IFERROR(INDEX(B!$I$2:$I$61,MATCH($J245,B!$E$2:$E$61,0))&amp;"",""))</f>
        <v/>
      </c>
      <c r="R245" s="69">
        <f>IF($J245="","",IFERROR(INDEX(B!$J$2:$J$61,MATCH($J245,B!$E$2:$E$61,0))&amp;"",""))</f>
        <v/>
      </c>
      <c r="S245" s="69">
        <f>IF($J245="","",IFERROR(INDEX(B!$K$2:$K$61,MATCH($J245,B!$E$2:$E$61,0))&amp;"",""))</f>
        <v/>
      </c>
      <c r="T245" s="69">
        <f>IF($J245="","",IFERROR(INDEX(B!$L$2:$L$61,MATCH($J245,B!$E$2:$E$61,0))&amp;"",""))</f>
        <v/>
      </c>
      <c r="U245" s="20" t="n"/>
      <c r="V245" s="70">
        <f>IF($J245="","",IFERROR(INDEX(B!$M$2:$M$61,MATCH($J245,B!$E$2:$E$61,0))&amp;"",""))</f>
        <v/>
      </c>
      <c r="W245" s="71">
        <f>IF(I245="","",IFERROR(MID(I245,FIND("/d/",I245)+3,FIND("/edit",I245)-FIND("/d/",I245)-3),I245))</f>
        <v/>
      </c>
      <c r="X245" s="71">
        <f>IF($J245="","",IFERROR(INDEX(B!$C$2:$C$61,MATCH($J245,B!$E$2:$E$61,0))&amp;"",""))</f>
        <v/>
      </c>
      <c r="Y245" s="20" t="n"/>
      <c r="Z245" s="72">
        <f>IF($J245="",FALSE,ISNUMBER(SEARCH("scout",$K245)))</f>
        <v/>
      </c>
      <c r="AA245" s="72">
        <f>IF($J245="",FALSE,IFERROR(INDEX(B!$N$2:$N$61,MATCH($J245,B!$E$2:$E$61,0))="Sim",FALSE))</f>
        <v/>
      </c>
      <c r="AB245" s="72">
        <f>IF($J245="",FALSE,LEFT($X245,2)="XX")</f>
        <v/>
      </c>
      <c r="AC245" s="72">
        <f>IF($J245="",FALSE,IFERROR(INDEX(B!$P$2:$P$61,MATCH($J245,B!$E$2:$E$61,0))="Sim",FALSE))</f>
        <v/>
      </c>
      <c r="AD245" s="20" t="n"/>
      <c r="AE245" s="52">
        <f>IF(H245="","",HOUR(H245))</f>
        <v/>
      </c>
      <c r="AF245" s="52" t="n"/>
    </row>
    <row r="246" ht="19.5" customHeight="1" s="58">
      <c r="A246" s="62">
        <f>IF(G246="","",IF(G246=G245,"",COUNTIF($G$3:$G$976,G246)))</f>
        <v/>
      </c>
      <c r="B246" s="20" t="n"/>
      <c r="C246" s="63">
        <f>IF(G246="","",DAY(G246))</f>
        <v/>
      </c>
      <c r="D246" s="63">
        <f>IF(G246="","",MONTH(G246))</f>
        <v/>
      </c>
      <c r="E246" s="63">
        <f>IF(G246="","",YEAR(G246))</f>
        <v/>
      </c>
      <c r="F246" s="33">
        <f>IF(G246="","",CHOOSE(MONTH(G246),"Janeiro","Fevereiro","Março","Abril","Maio","Junho","Julho","Agosto","Setembro","Outubro","Novembro","Dezembro"))</f>
        <v/>
      </c>
      <c r="G246" s="64" t="n">
        <v>46061</v>
      </c>
      <c r="H246" s="65" t="n">
        <v>0.0999074074074074</v>
      </c>
      <c r="I246" s="66" t="inlineStr">
        <is>
          <t>https://docs.google.com/spreadsheets/d/1ZiCGoPjLCjuYvujDTXK9Ixbth3tekiLtFBzBrGjPCr4/edit?gid=0#gid=0</t>
        </is>
      </c>
      <c r="J246" s="67" t="inlineStr">
        <is>
          <t>Transferência de LOB (Safety) - [TIST]</t>
        </is>
      </c>
      <c r="K246" s="67" t="inlineStr"/>
      <c r="L246" s="68" t="b">
        <v>0</v>
      </c>
      <c r="M246" s="20" t="n"/>
      <c r="N246" s="69">
        <f>IF($J246="","",IFERROR(INDEX(B!$F$2:$F$61,MATCH($J246,B!$E$2:$E$61,0))&amp;"",""))</f>
        <v/>
      </c>
      <c r="O246" s="69">
        <f>IF($J246="","",IFERROR(INDEX(B!$G$2:$G$61,MATCH($J246,B!$E$2:$E$61,0))&amp;"",""))</f>
        <v/>
      </c>
      <c r="P246" s="69">
        <f>IF($J246="","",IFERROR(INDEX(B!$H$2:$H$61,MATCH($J246,B!$E$2:$E$61,0))&amp;"",""))</f>
        <v/>
      </c>
      <c r="Q246" s="69">
        <f>IF($J246="","",IFERROR(INDEX(B!$I$2:$I$61,MATCH($J246,B!$E$2:$E$61,0))&amp;"",""))</f>
        <v/>
      </c>
      <c r="R246" s="69">
        <f>IF($J246="","",IFERROR(INDEX(B!$J$2:$J$61,MATCH($J246,B!$E$2:$E$61,0))&amp;"",""))</f>
        <v/>
      </c>
      <c r="S246" s="69">
        <f>IF($J246="","",IFERROR(INDEX(B!$K$2:$K$61,MATCH($J246,B!$E$2:$E$61,0))&amp;"",""))</f>
        <v/>
      </c>
      <c r="T246" s="69">
        <f>IF($J246="","",IFERROR(INDEX(B!$L$2:$L$61,MATCH($J246,B!$E$2:$E$61,0))&amp;"",""))</f>
        <v/>
      </c>
      <c r="U246" s="20" t="n"/>
      <c r="V246" s="70">
        <f>IF($J246="","",IFERROR(INDEX(B!$M$2:$M$61,MATCH($J246,B!$E$2:$E$61,0))&amp;"",""))</f>
        <v/>
      </c>
      <c r="W246" s="71">
        <f>IF(I246="","",IFERROR(MID(I246,FIND("/d/",I246)+3,FIND("/edit",I246)-FIND("/d/",I246)-3),I246))</f>
        <v/>
      </c>
      <c r="X246" s="71">
        <f>IF($J246="","",IFERROR(INDEX(B!$C$2:$C$61,MATCH($J246,B!$E$2:$E$61,0))&amp;"",""))</f>
        <v/>
      </c>
      <c r="Y246" s="20" t="n"/>
      <c r="Z246" s="72">
        <f>IF($J246="",FALSE,ISNUMBER(SEARCH("scout",$K246)))</f>
        <v/>
      </c>
      <c r="AA246" s="72">
        <f>IF($J246="",FALSE,IFERROR(INDEX(B!$N$2:$N$61,MATCH($J246,B!$E$2:$E$61,0))="Sim",FALSE))</f>
        <v/>
      </c>
      <c r="AB246" s="72">
        <f>IF($J246="",FALSE,LEFT($X246,2)="XX")</f>
        <v/>
      </c>
      <c r="AC246" s="72">
        <f>IF($J246="",FALSE,IFERROR(INDEX(B!$P$2:$P$61,MATCH($J246,B!$E$2:$E$61,0))="Sim",FALSE))</f>
        <v/>
      </c>
      <c r="AD246" s="20" t="n"/>
      <c r="AE246" s="52">
        <f>IF(H246="","",HOUR(H246))</f>
        <v/>
      </c>
      <c r="AF246" s="52" t="n"/>
    </row>
    <row r="247" ht="19.5" customHeight="1" s="58">
      <c r="A247" s="62">
        <f>IF(G247="","",IF(G247=G246,"",COUNTIF($G$3:$G$976,G247)))</f>
        <v/>
      </c>
      <c r="B247" s="20" t="n"/>
      <c r="C247" s="63">
        <f>IF(G247="","",DAY(G247))</f>
        <v/>
      </c>
      <c r="D247" s="63">
        <f>IF(G247="","",MONTH(G247))</f>
        <v/>
      </c>
      <c r="E247" s="63">
        <f>IF(G247="","",YEAR(G247))</f>
        <v/>
      </c>
      <c r="F247" s="33">
        <f>IF(G247="","",CHOOSE(MONTH(G247),"Janeiro","Fevereiro","Março","Abril","Maio","Junho","Julho","Agosto","Setembro","Outubro","Novembro","Dezembro"))</f>
        <v/>
      </c>
      <c r="G247" s="64" t="n">
        <v>46061</v>
      </c>
      <c r="H247" s="65" t="n">
        <v>0.1002199074074074</v>
      </c>
      <c r="I247" s="66" t="inlineStr">
        <is>
          <t>https://docs.google.com/spreadsheets/d/1ZiCGoPjLCjuYvujDTXK9Ixbth3tekiLtFBzBrGjPCr4/edit?gid=0#gid=0</t>
        </is>
      </c>
      <c r="J247" s="67" t="inlineStr">
        <is>
          <t>Transferência de LOB (Driver) - [TIDV]</t>
        </is>
      </c>
      <c r="K247" s="67" t="inlineStr"/>
      <c r="L247" s="68" t="b">
        <v>0</v>
      </c>
      <c r="M247" s="20" t="n"/>
      <c r="N247" s="69">
        <f>IF($J247="","",IFERROR(INDEX(B!$F$2:$F$61,MATCH($J247,B!$E$2:$E$61,0))&amp;"",""))</f>
        <v/>
      </c>
      <c r="O247" s="69">
        <f>IF($J247="","",IFERROR(INDEX(B!$G$2:$G$61,MATCH($J247,B!$E$2:$E$61,0))&amp;"",""))</f>
        <v/>
      </c>
      <c r="P247" s="69">
        <f>IF($J247="","",IFERROR(INDEX(B!$H$2:$H$61,MATCH($J247,B!$E$2:$E$61,0))&amp;"",""))</f>
        <v/>
      </c>
      <c r="Q247" s="69">
        <f>IF($J247="","",IFERROR(INDEX(B!$I$2:$I$61,MATCH($J247,B!$E$2:$E$61,0))&amp;"",""))</f>
        <v/>
      </c>
      <c r="R247" s="69">
        <f>IF($J247="","",IFERROR(INDEX(B!$J$2:$J$61,MATCH($J247,B!$E$2:$E$61,0))&amp;"",""))</f>
        <v/>
      </c>
      <c r="S247" s="69">
        <f>IF($J247="","",IFERROR(INDEX(B!$K$2:$K$61,MATCH($J247,B!$E$2:$E$61,0))&amp;"",""))</f>
        <v/>
      </c>
      <c r="T247" s="69">
        <f>IF($J247="","",IFERROR(INDEX(B!$L$2:$L$61,MATCH($J247,B!$E$2:$E$61,0))&amp;"",""))</f>
        <v/>
      </c>
      <c r="U247" s="20" t="n"/>
      <c r="V247" s="70">
        <f>IF($J247="","",IFERROR(INDEX(B!$M$2:$M$61,MATCH($J247,B!$E$2:$E$61,0))&amp;"",""))</f>
        <v/>
      </c>
      <c r="W247" s="71">
        <f>IF(I247="","",IFERROR(MID(I247,FIND("/d/",I247)+3,FIND("/edit",I247)-FIND("/d/",I247)-3),I247))</f>
        <v/>
      </c>
      <c r="X247" s="71">
        <f>IF($J247="","",IFERROR(INDEX(B!$C$2:$C$61,MATCH($J247,B!$E$2:$E$61,0))&amp;"",""))</f>
        <v/>
      </c>
      <c r="Y247" s="20" t="n"/>
      <c r="Z247" s="72">
        <f>IF($J247="",FALSE,ISNUMBER(SEARCH("scout",$K247)))</f>
        <v/>
      </c>
      <c r="AA247" s="72">
        <f>IF($J247="",FALSE,IFERROR(INDEX(B!$N$2:$N$61,MATCH($J247,B!$E$2:$E$61,0))="Sim",FALSE))</f>
        <v/>
      </c>
      <c r="AB247" s="72">
        <f>IF($J247="",FALSE,LEFT($X247,2)="XX")</f>
        <v/>
      </c>
      <c r="AC247" s="72">
        <f>IF($J247="",FALSE,IFERROR(INDEX(B!$P$2:$P$61,MATCH($J247,B!$E$2:$E$61,0))="Sim",FALSE))</f>
        <v/>
      </c>
      <c r="AD247" s="20" t="n"/>
      <c r="AE247" s="52">
        <f>IF(H247="","",HOUR(H247))</f>
        <v/>
      </c>
      <c r="AF247" s="52" t="n"/>
    </row>
    <row r="248" ht="19.5" customHeight="1" s="58">
      <c r="A248" s="62">
        <f>IF(G248="","",IF(G248=G247,"",COUNTIF($G$3:$G$976,G248)))</f>
        <v/>
      </c>
      <c r="B248" s="20" t="n"/>
      <c r="C248" s="63">
        <f>IF(G248="","",DAY(G248))</f>
        <v/>
      </c>
      <c r="D248" s="63">
        <f>IF(G248="","",MONTH(G248))</f>
        <v/>
      </c>
      <c r="E248" s="63">
        <f>IF(G248="","",YEAR(G248))</f>
        <v/>
      </c>
      <c r="F248" s="33">
        <f>IF(G248="","",CHOOSE(MONTH(G248),"Janeiro","Fevereiro","Março","Abril","Maio","Junho","Julho","Agosto","Setembro","Outubro","Novembro","Dezembro"))</f>
        <v/>
      </c>
      <c r="G248" s="64" t="n">
        <v>46061</v>
      </c>
      <c r="H248" s="65" t="n">
        <v>0.1015046296296296</v>
      </c>
      <c r="I248" s="66" t="inlineStr">
        <is>
          <t>https://docs.google.com/spreadsheets/d/1ZiCGoPjLCjuYvujDTXK9Ixbth3tekiLtFBzBrGjPCr4/edit?gid=0#gid=0</t>
        </is>
      </c>
      <c r="J248" s="67" t="inlineStr">
        <is>
          <t>Transferência de LOB (Safety) - [TIST]</t>
        </is>
      </c>
      <c r="K248" s="67" t="inlineStr"/>
      <c r="L248" s="68" t="b">
        <v>1</v>
      </c>
      <c r="M248" s="20" t="n"/>
      <c r="N248" s="69">
        <f>IF($J248="","",IFERROR(INDEX(B!$F$2:$F$61,MATCH($J248,B!$E$2:$E$61,0))&amp;"",""))</f>
        <v/>
      </c>
      <c r="O248" s="69">
        <f>IF($J248="","",IFERROR(INDEX(B!$G$2:$G$61,MATCH($J248,B!$E$2:$E$61,0))&amp;"",""))</f>
        <v/>
      </c>
      <c r="P248" s="69">
        <f>IF($J248="","",IFERROR(INDEX(B!$H$2:$H$61,MATCH($J248,B!$E$2:$E$61,0))&amp;"",""))</f>
        <v/>
      </c>
      <c r="Q248" s="69">
        <f>IF($J248="","",IFERROR(INDEX(B!$I$2:$I$61,MATCH($J248,B!$E$2:$E$61,0))&amp;"",""))</f>
        <v/>
      </c>
      <c r="R248" s="69">
        <f>IF($J248="","",IFERROR(INDEX(B!$J$2:$J$61,MATCH($J248,B!$E$2:$E$61,0))&amp;"",""))</f>
        <v/>
      </c>
      <c r="S248" s="69">
        <f>IF($J248="","",IFERROR(INDEX(B!$K$2:$K$61,MATCH($J248,B!$E$2:$E$61,0))&amp;"",""))</f>
        <v/>
      </c>
      <c r="T248" s="69">
        <f>IF($J248="","",IFERROR(INDEX(B!$L$2:$L$61,MATCH($J248,B!$E$2:$E$61,0))&amp;"",""))</f>
        <v/>
      </c>
      <c r="U248" s="20" t="n"/>
      <c r="V248" s="70">
        <f>IF($J248="","",IFERROR(INDEX(B!$M$2:$M$61,MATCH($J248,B!$E$2:$E$61,0))&amp;"",""))</f>
        <v/>
      </c>
      <c r="W248" s="71">
        <f>IF(I248="","",IFERROR(MID(I248,FIND("/d/",I248)+3,FIND("/edit",I248)-FIND("/d/",I248)-3),I248))</f>
        <v/>
      </c>
      <c r="X248" s="71">
        <f>IF($J248="","",IFERROR(INDEX(B!$C$2:$C$61,MATCH($J248,B!$E$2:$E$61,0))&amp;"",""))</f>
        <v/>
      </c>
      <c r="Y248" s="20" t="n"/>
      <c r="Z248" s="72">
        <f>IF($J248="",FALSE,ISNUMBER(SEARCH("scout",$K248)))</f>
        <v/>
      </c>
      <c r="AA248" s="72">
        <f>IF($J248="",FALSE,IFERROR(INDEX(B!$N$2:$N$61,MATCH($J248,B!$E$2:$E$61,0))="Sim",FALSE))</f>
        <v/>
      </c>
      <c r="AB248" s="72">
        <f>IF($J248="",FALSE,LEFT($X248,2)="XX")</f>
        <v/>
      </c>
      <c r="AC248" s="72">
        <f>IF($J248="",FALSE,IFERROR(INDEX(B!$P$2:$P$61,MATCH($J248,B!$E$2:$E$61,0))="Sim",FALSE))</f>
        <v/>
      </c>
      <c r="AD248" s="20" t="n"/>
      <c r="AE248" s="52">
        <f>IF(H248="","",HOUR(H248))</f>
        <v/>
      </c>
      <c r="AF248" s="52" t="n"/>
    </row>
    <row r="249" ht="19.5" customHeight="1" s="58">
      <c r="A249" s="62">
        <f>IF(G249="","",IF(G249=G248,"",COUNTIF($G$3:$G$976,G249)))</f>
        <v/>
      </c>
      <c r="B249" s="20" t="n"/>
      <c r="C249" s="63">
        <f>IF(G249="","",DAY(G249))</f>
        <v/>
      </c>
      <c r="D249" s="63">
        <f>IF(G249="","",MONTH(G249))</f>
        <v/>
      </c>
      <c r="E249" s="63">
        <f>IF(G249="","",YEAR(G249))</f>
        <v/>
      </c>
      <c r="F249" s="33">
        <f>IF(G249="","",CHOOSE(MONTH(G249),"Janeiro","Fevereiro","Março","Abril","Maio","Junho","Julho","Agosto","Setembro","Outubro","Novembro","Dezembro"))</f>
        <v/>
      </c>
      <c r="G249" s="64" t="n">
        <v>46061</v>
      </c>
      <c r="H249" s="65" t="n">
        <v>0.1046296296296296</v>
      </c>
      <c r="I249" s="66" t="inlineStr">
        <is>
          <t>https://docs.google.com/spreadsheets/d/1ZiCGoPjLCjuYvujDTXK9Ixbth3tekiLtFBzBrGjPCr4/edit?gid=0#gid=0</t>
        </is>
      </c>
      <c r="J249" s="67" t="inlineStr">
        <is>
          <t>Pushback - [XX]</t>
        </is>
      </c>
      <c r="K249" s="67" t="inlineStr"/>
      <c r="L249" s="68" t="b">
        <v>0</v>
      </c>
      <c r="M249" s="20" t="n"/>
      <c r="N249" s="69">
        <f>IF($J249="","",IFERROR(INDEX(B!$F$2:$F$61,MATCH($J249,B!$E$2:$E$61,0))&amp;"",""))</f>
        <v/>
      </c>
      <c r="O249" s="69">
        <f>IF($J249="","",IFERROR(INDEX(B!$G$2:$G$61,MATCH($J249,B!$E$2:$E$61,0))&amp;"",""))</f>
        <v/>
      </c>
      <c r="P249" s="69">
        <f>IF($J249="","",IFERROR(INDEX(B!$H$2:$H$61,MATCH($J249,B!$E$2:$E$61,0))&amp;"",""))</f>
        <v/>
      </c>
      <c r="Q249" s="69">
        <f>IF($J249="","",IFERROR(INDEX(B!$I$2:$I$61,MATCH($J249,B!$E$2:$E$61,0))&amp;"",""))</f>
        <v/>
      </c>
      <c r="R249" s="69">
        <f>IF($J249="","",IFERROR(INDEX(B!$J$2:$J$61,MATCH($J249,B!$E$2:$E$61,0))&amp;"",""))</f>
        <v/>
      </c>
      <c r="S249" s="69">
        <f>IF($J249="","",IFERROR(INDEX(B!$K$2:$K$61,MATCH($J249,B!$E$2:$E$61,0))&amp;"",""))</f>
        <v/>
      </c>
      <c r="T249" s="69">
        <f>IF($J249="","",IFERROR(INDEX(B!$L$2:$L$61,MATCH($J249,B!$E$2:$E$61,0))&amp;"",""))</f>
        <v/>
      </c>
      <c r="U249" s="20" t="n"/>
      <c r="V249" s="70">
        <f>IF($J249="","",IFERROR(INDEX(B!$M$2:$M$61,MATCH($J249,B!$E$2:$E$61,0))&amp;"",""))</f>
        <v/>
      </c>
      <c r="W249" s="71">
        <f>IF(I249="","",IFERROR(MID(I249,FIND("/d/",I249)+3,FIND("/edit",I249)-FIND("/d/",I249)-3),I249))</f>
        <v/>
      </c>
      <c r="X249" s="71">
        <f>IF($J249="","",IFERROR(INDEX(B!$C$2:$C$61,MATCH($J249,B!$E$2:$E$61,0))&amp;"",""))</f>
        <v/>
      </c>
      <c r="Y249" s="20" t="n"/>
      <c r="Z249" s="72">
        <f>IF($J249="",FALSE,ISNUMBER(SEARCH("scout",$K249)))</f>
        <v/>
      </c>
      <c r="AA249" s="72">
        <f>IF($J249="",FALSE,IFERROR(INDEX(B!$N$2:$N$61,MATCH($J249,B!$E$2:$E$61,0))="Sim",FALSE))</f>
        <v/>
      </c>
      <c r="AB249" s="72">
        <f>IF($J249="",FALSE,LEFT($X249,2)="XX")</f>
        <v/>
      </c>
      <c r="AC249" s="72">
        <f>IF($J249="",FALSE,IFERROR(INDEX(B!$P$2:$P$61,MATCH($J249,B!$E$2:$E$61,0))="Sim",FALSE))</f>
        <v/>
      </c>
      <c r="AD249" s="20" t="n"/>
      <c r="AE249" s="52">
        <f>IF(H249="","",HOUR(H249))</f>
        <v/>
      </c>
      <c r="AF249" s="52" t="n"/>
    </row>
    <row r="250" ht="19.5" customHeight="1" s="58">
      <c r="A250" s="62">
        <f>IF(G250="","",IF(G250=G249,"",COUNTIF($G$3:$G$976,G250)))</f>
        <v/>
      </c>
      <c r="B250" s="20" t="n"/>
      <c r="C250" s="63">
        <f>IF(G250="","",DAY(G250))</f>
        <v/>
      </c>
      <c r="D250" s="63">
        <f>IF(G250="","",MONTH(G250))</f>
        <v/>
      </c>
      <c r="E250" s="63">
        <f>IF(G250="","",YEAR(G250))</f>
        <v/>
      </c>
      <c r="F250" s="33">
        <f>IF(G250="","",CHOOSE(MONTH(G250),"Janeiro","Fevereiro","Março","Abril","Maio","Junho","Julho","Agosto","Setembro","Outubro","Novembro","Dezembro"))</f>
        <v/>
      </c>
      <c r="G250" s="64" t="n">
        <v>46061</v>
      </c>
      <c r="H250" s="65" t="n">
        <v>0.1138194444444444</v>
      </c>
      <c r="I250" s="66" t="inlineStr">
        <is>
          <t>https://docs.google.com/spreadsheets/d/1ZiCGoPjLCjuYvujDTXK9Ixbth3tekiLtFBzBrGjPCr4/edit?gid=0#gid=0</t>
        </is>
      </c>
      <c r="J250" s="67" t="inlineStr">
        <is>
          <t>Taxa de Limpeza, Reembolsado ao cliente - [TXLR]</t>
        </is>
      </c>
      <c r="K250" s="67" t="inlineStr"/>
      <c r="L250" s="68" t="b">
        <v>0</v>
      </c>
      <c r="M250" s="20" t="n"/>
      <c r="N250" s="69">
        <f>IF($J250="","",IFERROR(INDEX(B!$F$2:$F$61,MATCH($J250,B!$E$2:$E$61,0))&amp;"",""))</f>
        <v/>
      </c>
      <c r="O250" s="69">
        <f>IF($J250="","",IFERROR(INDEX(B!$G$2:$G$61,MATCH($J250,B!$E$2:$E$61,0))&amp;"",""))</f>
        <v/>
      </c>
      <c r="P250" s="69">
        <f>IF($J250="","",IFERROR(INDEX(B!$H$2:$H$61,MATCH($J250,B!$E$2:$E$61,0))&amp;"",""))</f>
        <v/>
      </c>
      <c r="Q250" s="69">
        <f>IF($J250="","",IFERROR(INDEX(B!$I$2:$I$61,MATCH($J250,B!$E$2:$E$61,0))&amp;"",""))</f>
        <v/>
      </c>
      <c r="R250" s="69">
        <f>IF($J250="","",IFERROR(INDEX(B!$J$2:$J$61,MATCH($J250,B!$E$2:$E$61,0))&amp;"",""))</f>
        <v/>
      </c>
      <c r="S250" s="69">
        <f>IF($J250="","",IFERROR(INDEX(B!$K$2:$K$61,MATCH($J250,B!$E$2:$E$61,0))&amp;"",""))</f>
        <v/>
      </c>
      <c r="T250" s="69">
        <f>IF($J250="","",IFERROR(INDEX(B!$L$2:$L$61,MATCH($J250,B!$E$2:$E$61,0))&amp;"",""))</f>
        <v/>
      </c>
      <c r="U250" s="20" t="n"/>
      <c r="V250" s="70">
        <f>IF($J250="","",IFERROR(INDEX(B!$M$2:$M$61,MATCH($J250,B!$E$2:$E$61,0))&amp;"",""))</f>
        <v/>
      </c>
      <c r="W250" s="71">
        <f>IF(I250="","",IFERROR(MID(I250,FIND("/d/",I250)+3,FIND("/edit",I250)-FIND("/d/",I250)-3),I250))</f>
        <v/>
      </c>
      <c r="X250" s="71">
        <f>IF($J250="","",IFERROR(INDEX(B!$C$2:$C$61,MATCH($J250,B!$E$2:$E$61,0))&amp;"",""))</f>
        <v/>
      </c>
      <c r="Y250" s="20" t="n"/>
      <c r="Z250" s="72">
        <f>IF($J250="",FALSE,ISNUMBER(SEARCH("scout",$K250)))</f>
        <v/>
      </c>
      <c r="AA250" s="72">
        <f>IF($J250="",FALSE,IFERROR(INDEX(B!$N$2:$N$61,MATCH($J250,B!$E$2:$E$61,0))="Sim",FALSE))</f>
        <v/>
      </c>
      <c r="AB250" s="72">
        <f>IF($J250="",FALSE,LEFT($X250,2)="XX")</f>
        <v/>
      </c>
      <c r="AC250" s="72">
        <f>IF($J250="",FALSE,IFERROR(INDEX(B!$P$2:$P$61,MATCH($J250,B!$E$2:$E$61,0))="Sim",FALSE))</f>
        <v/>
      </c>
      <c r="AD250" s="20" t="n"/>
      <c r="AE250" s="52">
        <f>IF(H250="","",HOUR(H250))</f>
        <v/>
      </c>
      <c r="AF250" s="52" t="n"/>
    </row>
    <row r="251" ht="19.5" customHeight="1" s="58">
      <c r="A251" s="62">
        <f>IF(G251="","",IF(G251=G250,"",COUNTIF($G$3:$G$976,G251)))</f>
        <v/>
      </c>
      <c r="B251" s="20" t="n"/>
      <c r="C251" s="63">
        <f>IF(G251="","",DAY(G251))</f>
        <v/>
      </c>
      <c r="D251" s="63">
        <f>IF(G251="","",MONTH(G251))</f>
        <v/>
      </c>
      <c r="E251" s="63">
        <f>IF(G251="","",YEAR(G251))</f>
        <v/>
      </c>
      <c r="F251" s="33">
        <f>IF(G251="","",CHOOSE(MONTH(G251),"Janeiro","Fevereiro","Março","Abril","Maio","Junho","Julho","Agosto","Setembro","Outubro","Novembro","Dezembro"))</f>
        <v/>
      </c>
      <c r="G251" s="64" t="n">
        <v>46061</v>
      </c>
      <c r="H251" s="65" t="n">
        <v>0.1138541666666667</v>
      </c>
      <c r="I251" s="66" t="inlineStr">
        <is>
          <t>https://docs.google.com/spreadsheets/d/1ZiCGoPjLCjuYvujDTXK9Ixbth3tekiLtFBzBrGjPCr4/edit?gid=0#gid=0</t>
        </is>
      </c>
      <c r="J251" s="67" t="inlineStr">
        <is>
          <t>Mais informações Gerais - [AA]</t>
        </is>
      </c>
      <c r="K251" s="67" t="inlineStr"/>
      <c r="L251" s="68" t="b">
        <v>0</v>
      </c>
      <c r="M251" s="20" t="n"/>
      <c r="N251" s="69">
        <f>IF($J251="","",IFERROR(INDEX(B!$F$2:$F$61,MATCH($J251,B!$E$2:$E$61,0))&amp;"",""))</f>
        <v/>
      </c>
      <c r="O251" s="69">
        <f>IF($J251="","",IFERROR(INDEX(B!$G$2:$G$61,MATCH($J251,B!$E$2:$E$61,0))&amp;"",""))</f>
        <v/>
      </c>
      <c r="P251" s="69">
        <f>IF($J251="","",IFERROR(INDEX(B!$H$2:$H$61,MATCH($J251,B!$E$2:$E$61,0))&amp;"",""))</f>
        <v/>
      </c>
      <c r="Q251" s="69">
        <f>IF($J251="","",IFERROR(INDEX(B!$I$2:$I$61,MATCH($J251,B!$E$2:$E$61,0))&amp;"",""))</f>
        <v/>
      </c>
      <c r="R251" s="69">
        <f>IF($J251="","",IFERROR(INDEX(B!$J$2:$J$61,MATCH($J251,B!$E$2:$E$61,0))&amp;"",""))</f>
        <v/>
      </c>
      <c r="S251" s="69">
        <f>IF($J251="","",IFERROR(INDEX(B!$K$2:$K$61,MATCH($J251,B!$E$2:$E$61,0))&amp;"",""))</f>
        <v/>
      </c>
      <c r="T251" s="69">
        <f>IF($J251="","",IFERROR(INDEX(B!$L$2:$L$61,MATCH($J251,B!$E$2:$E$61,0))&amp;"",""))</f>
        <v/>
      </c>
      <c r="U251" s="20" t="n"/>
      <c r="V251" s="70">
        <f>IF($J251="","",IFERROR(INDEX(B!$M$2:$M$61,MATCH($J251,B!$E$2:$E$61,0))&amp;"",""))</f>
        <v/>
      </c>
      <c r="W251" s="71">
        <f>IF(I251="","",IFERROR(MID(I251,FIND("/d/",I251)+3,FIND("/edit",I251)-FIND("/d/",I251)-3),I251))</f>
        <v/>
      </c>
      <c r="X251" s="71">
        <f>IF($J251="","",IFERROR(INDEX(B!$C$2:$C$61,MATCH($J251,B!$E$2:$E$61,0))&amp;"",""))</f>
        <v/>
      </c>
      <c r="Y251" s="20" t="n"/>
      <c r="Z251" s="72">
        <f>IF($J251="",FALSE,ISNUMBER(SEARCH("scout",$K251)))</f>
        <v/>
      </c>
      <c r="AA251" s="72">
        <f>IF($J251="",FALSE,IFERROR(INDEX(B!$N$2:$N$61,MATCH($J251,B!$E$2:$E$61,0))="Sim",FALSE))</f>
        <v/>
      </c>
      <c r="AB251" s="72">
        <f>IF($J251="",FALSE,LEFT($X251,2)="XX")</f>
        <v/>
      </c>
      <c r="AC251" s="72">
        <f>IF($J251="",FALSE,IFERROR(INDEX(B!$P$2:$P$61,MATCH($J251,B!$E$2:$E$61,0))="Sim",FALSE))</f>
        <v/>
      </c>
      <c r="AD251" s="20" t="n"/>
      <c r="AE251" s="52">
        <f>IF(H251="","",HOUR(H251))</f>
        <v/>
      </c>
      <c r="AF251" s="52" t="n"/>
    </row>
    <row r="252" ht="19.5" customHeight="1" s="58">
      <c r="A252" s="62">
        <f>IF(G252="","",IF(G252=G251,"",COUNTIF($G$3:$G$976,G252)))</f>
        <v/>
      </c>
      <c r="B252" s="20" t="n"/>
      <c r="C252" s="63">
        <f>IF(G252="","",DAY(G252))</f>
        <v/>
      </c>
      <c r="D252" s="63">
        <f>IF(G252="","",MONTH(G252))</f>
        <v/>
      </c>
      <c r="E252" s="63">
        <f>IF(G252="","",YEAR(G252))</f>
        <v/>
      </c>
      <c r="F252" s="33">
        <f>IF(G252="","",CHOOSE(MONTH(G252),"Janeiro","Fevereiro","Março","Abril","Maio","Junho","Julho","Agosto","Setembro","Outubro","Novembro","Dezembro"))</f>
        <v/>
      </c>
      <c r="G252" s="64" t="n">
        <v>46061</v>
      </c>
      <c r="H252" s="65" t="n">
        <v>0.1190393518518519</v>
      </c>
      <c r="I252" s="66" t="inlineStr">
        <is>
          <t>https://docs.google.com/spreadsheets/d/1ZiCGoPjLCjuYvujDTXK9Ixbth3tekiLtFBzBrGjPCr4/edit?gid=0#gid=0</t>
        </is>
      </c>
      <c r="J252" s="67" t="inlineStr">
        <is>
          <t>Mais informações Gerais - [AA]</t>
        </is>
      </c>
      <c r="K252" s="67" t="inlineStr"/>
      <c r="L252" s="68" t="b">
        <v>0</v>
      </c>
      <c r="M252" s="20" t="n"/>
      <c r="N252" s="69">
        <f>IF($J252="","",IFERROR(INDEX(B!$F$2:$F$61,MATCH($J252,B!$E$2:$E$61,0))&amp;"",""))</f>
        <v/>
      </c>
      <c r="O252" s="69">
        <f>IF($J252="","",IFERROR(INDEX(B!$G$2:$G$61,MATCH($J252,B!$E$2:$E$61,0))&amp;"",""))</f>
        <v/>
      </c>
      <c r="P252" s="69">
        <f>IF($J252="","",IFERROR(INDEX(B!$H$2:$H$61,MATCH($J252,B!$E$2:$E$61,0))&amp;"",""))</f>
        <v/>
      </c>
      <c r="Q252" s="69">
        <f>IF($J252="","",IFERROR(INDEX(B!$I$2:$I$61,MATCH($J252,B!$E$2:$E$61,0))&amp;"",""))</f>
        <v/>
      </c>
      <c r="R252" s="69">
        <f>IF($J252="","",IFERROR(INDEX(B!$J$2:$J$61,MATCH($J252,B!$E$2:$E$61,0))&amp;"",""))</f>
        <v/>
      </c>
      <c r="S252" s="69">
        <f>IF($J252="","",IFERROR(INDEX(B!$K$2:$K$61,MATCH($J252,B!$E$2:$E$61,0))&amp;"",""))</f>
        <v/>
      </c>
      <c r="T252" s="69">
        <f>IF($J252="","",IFERROR(INDEX(B!$L$2:$L$61,MATCH($J252,B!$E$2:$E$61,0))&amp;"",""))</f>
        <v/>
      </c>
      <c r="U252" s="20" t="n"/>
      <c r="V252" s="70">
        <f>IF($J252="","",IFERROR(INDEX(B!$M$2:$M$61,MATCH($J252,B!$E$2:$E$61,0))&amp;"",""))</f>
        <v/>
      </c>
      <c r="W252" s="71">
        <f>IF(I252="","",IFERROR(MID(I252,FIND("/d/",I252)+3,FIND("/edit",I252)-FIND("/d/",I252)-3),I252))</f>
        <v/>
      </c>
      <c r="X252" s="71">
        <f>IF($J252="","",IFERROR(INDEX(B!$C$2:$C$61,MATCH($J252,B!$E$2:$E$61,0))&amp;"",""))</f>
        <v/>
      </c>
      <c r="Y252" s="20" t="n"/>
      <c r="Z252" s="72">
        <f>IF($J252="",FALSE,ISNUMBER(SEARCH("scout",$K252)))</f>
        <v/>
      </c>
      <c r="AA252" s="72">
        <f>IF($J252="",FALSE,IFERROR(INDEX(B!$N$2:$N$61,MATCH($J252,B!$E$2:$E$61,0))="Sim",FALSE))</f>
        <v/>
      </c>
      <c r="AB252" s="72">
        <f>IF($J252="",FALSE,LEFT($X252,2)="XX")</f>
        <v/>
      </c>
      <c r="AC252" s="72">
        <f>IF($J252="",FALSE,IFERROR(INDEX(B!$P$2:$P$61,MATCH($J252,B!$E$2:$E$61,0))="Sim",FALSE))</f>
        <v/>
      </c>
      <c r="AD252" s="20" t="n"/>
      <c r="AE252" s="52">
        <f>IF(H252="","",HOUR(H252))</f>
        <v/>
      </c>
      <c r="AF252" s="52" t="n"/>
    </row>
    <row r="253" ht="19.5" customHeight="1" s="58">
      <c r="A253" s="62">
        <f>IF(G253="","",IF(G253=G252,"",COUNTIF($G$3:$G$976,G253)))</f>
        <v/>
      </c>
      <c r="B253" s="20" t="n"/>
      <c r="C253" s="63">
        <f>IF(G253="","",DAY(G253))</f>
        <v/>
      </c>
      <c r="D253" s="63">
        <f>IF(G253="","",MONTH(G253))</f>
        <v/>
      </c>
      <c r="E253" s="63">
        <f>IF(G253="","",YEAR(G253))</f>
        <v/>
      </c>
      <c r="F253" s="33">
        <f>IF(G253="","",CHOOSE(MONTH(G253),"Janeiro","Fevereiro","Março","Abril","Maio","Junho","Julho","Agosto","Setembro","Outubro","Novembro","Dezembro"))</f>
        <v/>
      </c>
      <c r="G253" s="64" t="n">
        <v>46061</v>
      </c>
      <c r="H253" s="65" t="n">
        <v>0.1334837962962963</v>
      </c>
      <c r="I253" s="66" t="inlineStr">
        <is>
          <t>https://docs.google.com/spreadsheets/d/1ZiCGoPjLCjuYvujDTXK9Ixbth3tekiLtFBzBrGjPCr4/edit?gid=0#gid=0</t>
        </is>
      </c>
      <c r="J253" s="67" t="inlineStr">
        <is>
          <t>Outros Valores Retidos (Pedágio, Cartão, Taxa de Cancelamento...) - [OTV]</t>
        </is>
      </c>
      <c r="K253" s="67" t="inlineStr"/>
      <c r="L253" s="68" t="b">
        <v>0</v>
      </c>
      <c r="M253" s="20" t="n"/>
      <c r="N253" s="69">
        <f>IF($J253="","",IFERROR(INDEX(B!$F$2:$F$61,MATCH($J253,B!$E$2:$E$61,0))&amp;"",""))</f>
        <v/>
      </c>
      <c r="O253" s="69">
        <f>IF($J253="","",IFERROR(INDEX(B!$G$2:$G$61,MATCH($J253,B!$E$2:$E$61,0))&amp;"",""))</f>
        <v/>
      </c>
      <c r="P253" s="69">
        <f>IF($J253="","",IFERROR(INDEX(B!$H$2:$H$61,MATCH($J253,B!$E$2:$E$61,0))&amp;"",""))</f>
        <v/>
      </c>
      <c r="Q253" s="69">
        <f>IF($J253="","",IFERROR(INDEX(B!$I$2:$I$61,MATCH($J253,B!$E$2:$E$61,0))&amp;"",""))</f>
        <v/>
      </c>
      <c r="R253" s="69">
        <f>IF($J253="","",IFERROR(INDEX(B!$J$2:$J$61,MATCH($J253,B!$E$2:$E$61,0))&amp;"",""))</f>
        <v/>
      </c>
      <c r="S253" s="69">
        <f>IF($J253="","",IFERROR(INDEX(B!$K$2:$K$61,MATCH($J253,B!$E$2:$E$61,0))&amp;"",""))</f>
        <v/>
      </c>
      <c r="T253" s="69">
        <f>IF($J253="","",IFERROR(INDEX(B!$L$2:$L$61,MATCH($J253,B!$E$2:$E$61,0))&amp;"",""))</f>
        <v/>
      </c>
      <c r="U253" s="20" t="n"/>
      <c r="V253" s="70">
        <f>IF($J253="","",IFERROR(INDEX(B!$M$2:$M$61,MATCH($J253,B!$E$2:$E$61,0))&amp;"",""))</f>
        <v/>
      </c>
      <c r="W253" s="71">
        <f>IF(I253="","",IFERROR(MID(I253,FIND("/d/",I253)+3,FIND("/edit",I253)-FIND("/d/",I253)-3),I253))</f>
        <v/>
      </c>
      <c r="X253" s="71">
        <f>IF($J253="","",IFERROR(INDEX(B!$C$2:$C$61,MATCH($J253,B!$E$2:$E$61,0))&amp;"",""))</f>
        <v/>
      </c>
      <c r="Y253" s="20" t="n"/>
      <c r="Z253" s="72">
        <f>IF($J253="",FALSE,ISNUMBER(SEARCH("scout",$K253)))</f>
        <v/>
      </c>
      <c r="AA253" s="72">
        <f>IF($J253="",FALSE,IFERROR(INDEX(B!$N$2:$N$61,MATCH($J253,B!$E$2:$E$61,0))="Sim",FALSE))</f>
        <v/>
      </c>
      <c r="AB253" s="72">
        <f>IF($J253="",FALSE,LEFT($X253,2)="XX")</f>
        <v/>
      </c>
      <c r="AC253" s="72">
        <f>IF($J253="",FALSE,IFERROR(INDEX(B!$P$2:$P$61,MATCH($J253,B!$E$2:$E$61,0))="Sim",FALSE))</f>
        <v/>
      </c>
      <c r="AD253" s="20" t="n"/>
      <c r="AE253" s="52">
        <f>IF(H253="","",HOUR(H253))</f>
        <v/>
      </c>
      <c r="AF253" s="52" t="n"/>
    </row>
    <row r="254" ht="19.5" customHeight="1" s="58">
      <c r="A254" s="62">
        <f>IF(G254="","",IF(G254=G253,"",COUNTIF($G$3:$G$976,G254)))</f>
        <v/>
      </c>
      <c r="B254" s="20" t="n"/>
      <c r="C254" s="63">
        <f>IF(G254="","",DAY(G254))</f>
        <v/>
      </c>
      <c r="D254" s="63">
        <f>IF(G254="","",MONTH(G254))</f>
        <v/>
      </c>
      <c r="E254" s="63">
        <f>IF(G254="","",YEAR(G254))</f>
        <v/>
      </c>
      <c r="F254" s="33">
        <f>IF(G254="","",CHOOSE(MONTH(G254),"Janeiro","Fevereiro","Março","Abril","Maio","Junho","Julho","Agosto","Setembro","Outubro","Novembro","Dezembro"))</f>
        <v/>
      </c>
      <c r="G254" s="64" t="n">
        <v>46061</v>
      </c>
      <c r="H254" s="65" t="n">
        <v>0.1348842592592593</v>
      </c>
      <c r="I254" s="66" t="inlineStr">
        <is>
          <t>https://docs.google.com/spreadsheets/d/1ZiCGoPjLCjuYvujDTXK9Ixbth3tekiLtFBzBrGjPCr4/edit?gid=0#gid=0</t>
        </is>
      </c>
      <c r="J254" s="67" t="inlineStr">
        <is>
          <t>Transferência de LOB (Profissionalismo) - [TIPR]</t>
        </is>
      </c>
      <c r="K254" s="67" t="inlineStr">
        <is>
          <t>Scout</t>
        </is>
      </c>
      <c r="L254" s="68" t="b">
        <v>0</v>
      </c>
      <c r="M254" s="20" t="n"/>
      <c r="N254" s="69">
        <f>IF($J254="","",IFERROR(INDEX(B!$F$2:$F$61,MATCH($J254,B!$E$2:$E$61,0))&amp;"",""))</f>
        <v/>
      </c>
      <c r="O254" s="69">
        <f>IF($J254="","",IFERROR(INDEX(B!$G$2:$G$61,MATCH($J254,B!$E$2:$E$61,0))&amp;"",""))</f>
        <v/>
      </c>
      <c r="P254" s="69">
        <f>IF($J254="","",IFERROR(INDEX(B!$H$2:$H$61,MATCH($J254,B!$E$2:$E$61,0))&amp;"",""))</f>
        <v/>
      </c>
      <c r="Q254" s="69">
        <f>IF($J254="","",IFERROR(INDEX(B!$I$2:$I$61,MATCH($J254,B!$E$2:$E$61,0))&amp;"",""))</f>
        <v/>
      </c>
      <c r="R254" s="69">
        <f>IF($J254="","",IFERROR(INDEX(B!$J$2:$J$61,MATCH($J254,B!$E$2:$E$61,0))&amp;"",""))</f>
        <v/>
      </c>
      <c r="S254" s="69">
        <f>IF($J254="","",IFERROR(INDEX(B!$K$2:$K$61,MATCH($J254,B!$E$2:$E$61,0))&amp;"",""))</f>
        <v/>
      </c>
      <c r="T254" s="69">
        <f>IF($J254="","",IFERROR(INDEX(B!$L$2:$L$61,MATCH($J254,B!$E$2:$E$61,0))&amp;"",""))</f>
        <v/>
      </c>
      <c r="U254" s="20" t="n"/>
      <c r="V254" s="70">
        <f>IF($J254="","",IFERROR(INDEX(B!$M$2:$M$61,MATCH($J254,B!$E$2:$E$61,0))&amp;"",""))</f>
        <v/>
      </c>
      <c r="W254" s="71">
        <f>IF(I254="","",IFERROR(MID(I254,FIND("/d/",I254)+3,FIND("/edit",I254)-FIND("/d/",I254)-3),I254))</f>
        <v/>
      </c>
      <c r="X254" s="71">
        <f>IF($J254="","",IFERROR(INDEX(B!$C$2:$C$61,MATCH($J254,B!$E$2:$E$61,0))&amp;"",""))</f>
        <v/>
      </c>
      <c r="Y254" s="20" t="n"/>
      <c r="Z254" s="72">
        <f>IF($J254="",FALSE,ISNUMBER(SEARCH("scout",$K254)))</f>
        <v/>
      </c>
      <c r="AA254" s="72">
        <f>IF($J254="",FALSE,IFERROR(INDEX(B!$N$2:$N$61,MATCH($J254,B!$E$2:$E$61,0))="Sim",FALSE))</f>
        <v/>
      </c>
      <c r="AB254" s="72">
        <f>IF($J254="",FALSE,LEFT($X254,2)="XX")</f>
        <v/>
      </c>
      <c r="AC254" s="72">
        <f>IF($J254="",FALSE,IFERROR(INDEX(B!$P$2:$P$61,MATCH($J254,B!$E$2:$E$61,0))="Sim",FALSE))</f>
        <v/>
      </c>
      <c r="AD254" s="20" t="n"/>
      <c r="AE254" s="52">
        <f>IF(H254="","",HOUR(H254))</f>
        <v/>
      </c>
      <c r="AF254" s="52" t="n"/>
    </row>
    <row r="255" ht="19.5" customHeight="1" s="58">
      <c r="A255" s="62">
        <f>IF(G255="","",IF(G255=G254,"",COUNTIF($G$3:$G$976,G255)))</f>
        <v/>
      </c>
      <c r="B255" s="20" t="n"/>
      <c r="C255" s="63">
        <f>IF(G255="","",DAY(G255))</f>
        <v/>
      </c>
      <c r="D255" s="63">
        <f>IF(G255="","",MONTH(G255))</f>
        <v/>
      </c>
      <c r="E255" s="63">
        <f>IF(G255="","",YEAR(G255))</f>
        <v/>
      </c>
      <c r="F255" s="33">
        <f>IF(G255="","",CHOOSE(MONTH(G255),"Janeiro","Fevereiro","Março","Abril","Maio","Junho","Julho","Agosto","Setembro","Outubro","Novembro","Dezembro"))</f>
        <v/>
      </c>
      <c r="G255" s="64" t="n">
        <v>46061</v>
      </c>
      <c r="H255" s="65" t="n">
        <v>0.1391550925925926</v>
      </c>
      <c r="I255" s="66" t="inlineStr">
        <is>
          <t>https://docs.google.com/spreadsheets/d/1ZiCGoPjLCjuYvujDTXK9Ixbth3tekiLtFBzBrGjPCr4/edit?gid=0#gid=0</t>
        </is>
      </c>
      <c r="J255" s="67" t="inlineStr">
        <is>
          <t>Transferência de LOB (Profissionalismo) - [TIPR]</t>
        </is>
      </c>
      <c r="K255" s="67" t="inlineStr"/>
      <c r="L255" s="68" t="b">
        <v>0</v>
      </c>
      <c r="M255" s="20" t="n"/>
      <c r="N255" s="69">
        <f>IF($J255="","",IFERROR(INDEX(B!$F$2:$F$61,MATCH($J255,B!$E$2:$E$61,0))&amp;"",""))</f>
        <v/>
      </c>
      <c r="O255" s="69">
        <f>IF($J255="","",IFERROR(INDEX(B!$G$2:$G$61,MATCH($J255,B!$E$2:$E$61,0))&amp;"",""))</f>
        <v/>
      </c>
      <c r="P255" s="69">
        <f>IF($J255="","",IFERROR(INDEX(B!$H$2:$H$61,MATCH($J255,B!$E$2:$E$61,0))&amp;"",""))</f>
        <v/>
      </c>
      <c r="Q255" s="69">
        <f>IF($J255="","",IFERROR(INDEX(B!$I$2:$I$61,MATCH($J255,B!$E$2:$E$61,0))&amp;"",""))</f>
        <v/>
      </c>
      <c r="R255" s="69">
        <f>IF($J255="","",IFERROR(INDEX(B!$J$2:$J$61,MATCH($J255,B!$E$2:$E$61,0))&amp;"",""))</f>
        <v/>
      </c>
      <c r="S255" s="69">
        <f>IF($J255="","",IFERROR(INDEX(B!$K$2:$K$61,MATCH($J255,B!$E$2:$E$61,0))&amp;"",""))</f>
        <v/>
      </c>
      <c r="T255" s="69">
        <f>IF($J255="","",IFERROR(INDEX(B!$L$2:$L$61,MATCH($J255,B!$E$2:$E$61,0))&amp;"",""))</f>
        <v/>
      </c>
      <c r="U255" s="20" t="n"/>
      <c r="V255" s="70">
        <f>IF($J255="","",IFERROR(INDEX(B!$M$2:$M$61,MATCH($J255,B!$E$2:$E$61,0))&amp;"",""))</f>
        <v/>
      </c>
      <c r="W255" s="71">
        <f>IF(I255="","",IFERROR(MID(I255,FIND("/d/",I255)+3,FIND("/edit",I255)-FIND("/d/",I255)-3),I255))</f>
        <v/>
      </c>
      <c r="X255" s="71">
        <f>IF($J255="","",IFERROR(INDEX(B!$C$2:$C$61,MATCH($J255,B!$E$2:$E$61,0))&amp;"",""))</f>
        <v/>
      </c>
      <c r="Y255" s="20" t="n"/>
      <c r="Z255" s="72">
        <f>IF($J255="",FALSE,ISNUMBER(SEARCH("scout",$K255)))</f>
        <v/>
      </c>
      <c r="AA255" s="72">
        <f>IF($J255="",FALSE,IFERROR(INDEX(B!$N$2:$N$61,MATCH($J255,B!$E$2:$E$61,0))="Sim",FALSE))</f>
        <v/>
      </c>
      <c r="AB255" s="72">
        <f>IF($J255="",FALSE,LEFT($X255,2)="XX")</f>
        <v/>
      </c>
      <c r="AC255" s="72">
        <f>IF($J255="",FALSE,IFERROR(INDEX(B!$P$2:$P$61,MATCH($J255,B!$E$2:$E$61,0))="Sim",FALSE))</f>
        <v/>
      </c>
      <c r="AD255" s="20" t="n"/>
      <c r="AE255" s="52">
        <f>IF(H255="","",HOUR(H255))</f>
        <v/>
      </c>
      <c r="AF255" s="52" t="n"/>
    </row>
    <row r="256" ht="19.5" customHeight="1" s="58">
      <c r="A256" s="62">
        <f>IF(G256="","",IF(G256=G255,"",COUNTIF($G$3:$G$976,G256)))</f>
        <v/>
      </c>
      <c r="B256" s="20" t="n"/>
      <c r="C256" s="63">
        <f>IF(G256="","",DAY(G256))</f>
        <v/>
      </c>
      <c r="D256" s="63">
        <f>IF(G256="","",MONTH(G256))</f>
        <v/>
      </c>
      <c r="E256" s="63">
        <f>IF(G256="","",YEAR(G256))</f>
        <v/>
      </c>
      <c r="F256" s="33">
        <f>IF(G256="","",CHOOSE(MONTH(G256),"Janeiro","Fevereiro","Março","Abril","Maio","Junho","Julho","Agosto","Setembro","Outubro","Novembro","Dezembro"))</f>
        <v/>
      </c>
      <c r="G256" s="64" t="n">
        <v>46061</v>
      </c>
      <c r="H256" s="65" t="n">
        <v>0.1453819444444444</v>
      </c>
      <c r="I256" s="66" t="inlineStr">
        <is>
          <t>https://docs.google.com/spreadsheets/d/1ZiCGoPjLCjuYvujDTXK9Ixbth3tekiLtFBzBrGjPCr4/edit?gid=0#gid=0</t>
        </is>
      </c>
      <c r="J256" s="67" t="inlineStr">
        <is>
          <t>Mais informações (Quanto Pagou?) - [AAV]</t>
        </is>
      </c>
      <c r="K256" s="67" t="inlineStr">
        <is>
          <t>Scout</t>
        </is>
      </c>
      <c r="L256" s="68" t="b">
        <v>0</v>
      </c>
      <c r="M256" s="20" t="n"/>
      <c r="N256" s="69">
        <f>IF($J256="","",IFERROR(INDEX(B!$F$2:$F$61,MATCH($J256,B!$E$2:$E$61,0))&amp;"",""))</f>
        <v/>
      </c>
      <c r="O256" s="69">
        <f>IF($J256="","",IFERROR(INDEX(B!$G$2:$G$61,MATCH($J256,B!$E$2:$E$61,0))&amp;"",""))</f>
        <v/>
      </c>
      <c r="P256" s="69">
        <f>IF($J256="","",IFERROR(INDEX(B!$H$2:$H$61,MATCH($J256,B!$E$2:$E$61,0))&amp;"",""))</f>
        <v/>
      </c>
      <c r="Q256" s="69">
        <f>IF($J256="","",IFERROR(INDEX(B!$I$2:$I$61,MATCH($J256,B!$E$2:$E$61,0))&amp;"",""))</f>
        <v/>
      </c>
      <c r="R256" s="69">
        <f>IF($J256="","",IFERROR(INDEX(B!$J$2:$J$61,MATCH($J256,B!$E$2:$E$61,0))&amp;"",""))</f>
        <v/>
      </c>
      <c r="S256" s="69">
        <f>IF($J256="","",IFERROR(INDEX(B!$K$2:$K$61,MATCH($J256,B!$E$2:$E$61,0))&amp;"",""))</f>
        <v/>
      </c>
      <c r="T256" s="69">
        <f>IF($J256="","",IFERROR(INDEX(B!$L$2:$L$61,MATCH($J256,B!$E$2:$E$61,0))&amp;"",""))</f>
        <v/>
      </c>
      <c r="U256" s="20" t="n"/>
      <c r="V256" s="70">
        <f>IF($J256="","",IFERROR(INDEX(B!$M$2:$M$61,MATCH($J256,B!$E$2:$E$61,0))&amp;"",""))</f>
        <v/>
      </c>
      <c r="W256" s="71">
        <f>IF(I256="","",IFERROR(MID(I256,FIND("/d/",I256)+3,FIND("/edit",I256)-FIND("/d/",I256)-3),I256))</f>
        <v/>
      </c>
      <c r="X256" s="71">
        <f>IF($J256="","",IFERROR(INDEX(B!$C$2:$C$61,MATCH($J256,B!$E$2:$E$61,0))&amp;"",""))</f>
        <v/>
      </c>
      <c r="Y256" s="20" t="n"/>
      <c r="Z256" s="72">
        <f>IF($J256="",FALSE,ISNUMBER(SEARCH("scout",$K256)))</f>
        <v/>
      </c>
      <c r="AA256" s="72">
        <f>IF($J256="",FALSE,IFERROR(INDEX(B!$N$2:$N$61,MATCH($J256,B!$E$2:$E$61,0))="Sim",FALSE))</f>
        <v/>
      </c>
      <c r="AB256" s="72">
        <f>IF($J256="",FALSE,LEFT($X256,2)="XX")</f>
        <v/>
      </c>
      <c r="AC256" s="72">
        <f>IF($J256="",FALSE,IFERROR(INDEX(B!$P$2:$P$61,MATCH($J256,B!$E$2:$E$61,0))="Sim",FALSE))</f>
        <v/>
      </c>
      <c r="AD256" s="20" t="n"/>
      <c r="AE256" s="52">
        <f>IF(H256="","",HOUR(H256))</f>
        <v/>
      </c>
      <c r="AF256" s="52" t="n"/>
    </row>
    <row r="257" ht="19.5" customHeight="1" s="58">
      <c r="A257" s="62">
        <f>IF(G257="","",IF(G257=G256,"",COUNTIF($G$3:$G$976,G257)))</f>
        <v/>
      </c>
      <c r="B257" s="20" t="n"/>
      <c r="C257" s="63">
        <f>IF(G257="","",DAY(G257))</f>
        <v/>
      </c>
      <c r="D257" s="63">
        <f>IF(G257="","",MONTH(G257))</f>
        <v/>
      </c>
      <c r="E257" s="63">
        <f>IF(G257="","",YEAR(G257))</f>
        <v/>
      </c>
      <c r="F257" s="33">
        <f>IF(G257="","",CHOOSE(MONTH(G257),"Janeiro","Fevereiro","Março","Abril","Maio","Junho","Julho","Agosto","Setembro","Outubro","Novembro","Dezembro"))</f>
        <v/>
      </c>
      <c r="G257" s="64" t="n">
        <v>46061</v>
      </c>
      <c r="H257" s="65" t="n">
        <v>0.1472685185185185</v>
      </c>
      <c r="I257" s="66" t="inlineStr">
        <is>
          <t>https://docs.google.com/spreadsheets/d/1ZiCGoPjLCjuYvujDTXK9Ixbth3tekiLtFBzBrGjPCr4/edit?gid=0#gid=0</t>
        </is>
      </c>
      <c r="J257" s="67" t="inlineStr">
        <is>
          <t>Mais informações Gerais - [AA]</t>
        </is>
      </c>
      <c r="K257" s="67" t="inlineStr"/>
      <c r="L257" s="68" t="b">
        <v>0</v>
      </c>
      <c r="M257" s="20" t="n"/>
      <c r="N257" s="69">
        <f>IF($J257="","",IFERROR(INDEX(B!$F$2:$F$61,MATCH($J257,B!$E$2:$E$61,0))&amp;"",""))</f>
        <v/>
      </c>
      <c r="O257" s="69">
        <f>IF($J257="","",IFERROR(INDEX(B!$G$2:$G$61,MATCH($J257,B!$E$2:$E$61,0))&amp;"",""))</f>
        <v/>
      </c>
      <c r="P257" s="69">
        <f>IF($J257="","",IFERROR(INDEX(B!$H$2:$H$61,MATCH($J257,B!$E$2:$E$61,0))&amp;"",""))</f>
        <v/>
      </c>
      <c r="Q257" s="69">
        <f>IF($J257="","",IFERROR(INDEX(B!$I$2:$I$61,MATCH($J257,B!$E$2:$E$61,0))&amp;"",""))</f>
        <v/>
      </c>
      <c r="R257" s="69">
        <f>IF($J257="","",IFERROR(INDEX(B!$J$2:$J$61,MATCH($J257,B!$E$2:$E$61,0))&amp;"",""))</f>
        <v/>
      </c>
      <c r="S257" s="69">
        <f>IF($J257="","",IFERROR(INDEX(B!$K$2:$K$61,MATCH($J257,B!$E$2:$E$61,0))&amp;"",""))</f>
        <v/>
      </c>
      <c r="T257" s="69">
        <f>IF($J257="","",IFERROR(INDEX(B!$L$2:$L$61,MATCH($J257,B!$E$2:$E$61,0))&amp;"",""))</f>
        <v/>
      </c>
      <c r="U257" s="20" t="n"/>
      <c r="V257" s="70">
        <f>IF($J257="","",IFERROR(INDEX(B!$M$2:$M$61,MATCH($J257,B!$E$2:$E$61,0))&amp;"",""))</f>
        <v/>
      </c>
      <c r="W257" s="71">
        <f>IF(I257="","",IFERROR(MID(I257,FIND("/d/",I257)+3,FIND("/edit",I257)-FIND("/d/",I257)-3),I257))</f>
        <v/>
      </c>
      <c r="X257" s="71">
        <f>IF($J257="","",IFERROR(INDEX(B!$C$2:$C$61,MATCH($J257,B!$E$2:$E$61,0))&amp;"",""))</f>
        <v/>
      </c>
      <c r="Y257" s="20" t="n"/>
      <c r="Z257" s="72">
        <f>IF($J257="",FALSE,ISNUMBER(SEARCH("scout",$K257)))</f>
        <v/>
      </c>
      <c r="AA257" s="72">
        <f>IF($J257="",FALSE,IFERROR(INDEX(B!$N$2:$N$61,MATCH($J257,B!$E$2:$E$61,0))="Sim",FALSE))</f>
        <v/>
      </c>
      <c r="AB257" s="72">
        <f>IF($J257="",FALSE,LEFT($X257,2)="XX")</f>
        <v/>
      </c>
      <c r="AC257" s="72">
        <f>IF($J257="",FALSE,IFERROR(INDEX(B!$P$2:$P$61,MATCH($J257,B!$E$2:$E$61,0))="Sim",FALSE))</f>
        <v/>
      </c>
      <c r="AD257" s="20" t="n"/>
      <c r="AE257" s="52">
        <f>IF(H257="","",HOUR(H257))</f>
        <v/>
      </c>
      <c r="AF257" s="52" t="n"/>
    </row>
    <row r="258" ht="19.5" customHeight="1" s="58">
      <c r="A258" s="62">
        <f>IF(G258="","",IF(G258=G257,"",COUNTIF($G$3:$G$976,G258)))</f>
        <v/>
      </c>
      <c r="B258" s="20" t="n"/>
      <c r="C258" s="63">
        <f>IF(G258="","",DAY(G258))</f>
        <v/>
      </c>
      <c r="D258" s="63">
        <f>IF(G258="","",MONTH(G258))</f>
        <v/>
      </c>
      <c r="E258" s="63">
        <f>IF(G258="","",YEAR(G258))</f>
        <v/>
      </c>
      <c r="F258" s="33">
        <f>IF(G258="","",CHOOSE(MONTH(G258),"Janeiro","Fevereiro","Março","Abril","Maio","Junho","Julho","Agosto","Setembro","Outubro","Novembro","Dezembro"))</f>
        <v/>
      </c>
      <c r="G258" s="64" t="n">
        <v>46061</v>
      </c>
      <c r="H258" s="65" t="n">
        <v>0.1519212962962963</v>
      </c>
      <c r="I258" s="66" t="inlineStr">
        <is>
          <t>https://docs.google.com/spreadsheets/d/1ZiCGoPjLCjuYvujDTXK9Ixbth3tekiLtFBzBrGjPCr4/edit?gid=0#gid=0</t>
        </is>
      </c>
      <c r="J258" s="67" t="inlineStr">
        <is>
          <t>Comprovante de Pagamento - [CP]</t>
        </is>
      </c>
      <c r="K258" s="67" t="inlineStr"/>
      <c r="L258" s="68" t="b">
        <v>1</v>
      </c>
      <c r="M258" s="20" t="n"/>
      <c r="N258" s="69">
        <f>IF($J258="","",IFERROR(INDEX(B!$F$2:$F$61,MATCH($J258,B!$E$2:$E$61,0))&amp;"",""))</f>
        <v/>
      </c>
      <c r="O258" s="69">
        <f>IF($J258="","",IFERROR(INDEX(B!$G$2:$G$61,MATCH($J258,B!$E$2:$E$61,0))&amp;"",""))</f>
        <v/>
      </c>
      <c r="P258" s="69">
        <f>IF($J258="","",IFERROR(INDEX(B!$H$2:$H$61,MATCH($J258,B!$E$2:$E$61,0))&amp;"",""))</f>
        <v/>
      </c>
      <c r="Q258" s="69">
        <f>IF($J258="","",IFERROR(INDEX(B!$I$2:$I$61,MATCH($J258,B!$E$2:$E$61,0))&amp;"",""))</f>
        <v/>
      </c>
      <c r="R258" s="69">
        <f>IF($J258="","",IFERROR(INDEX(B!$J$2:$J$61,MATCH($J258,B!$E$2:$E$61,0))&amp;"",""))</f>
        <v/>
      </c>
      <c r="S258" s="69">
        <f>IF($J258="","",IFERROR(INDEX(B!$K$2:$K$61,MATCH($J258,B!$E$2:$E$61,0))&amp;"",""))</f>
        <v/>
      </c>
      <c r="T258" s="69">
        <f>IF($J258="","",IFERROR(INDEX(B!$L$2:$L$61,MATCH($J258,B!$E$2:$E$61,0))&amp;"",""))</f>
        <v/>
      </c>
      <c r="U258" s="20" t="n"/>
      <c r="V258" s="70">
        <f>IF($J258="","",IFERROR(INDEX(B!$M$2:$M$61,MATCH($J258,B!$E$2:$E$61,0))&amp;"",""))</f>
        <v/>
      </c>
      <c r="W258" s="71">
        <f>IF(I258="","",IFERROR(MID(I258,FIND("/d/",I258)+3,FIND("/edit",I258)-FIND("/d/",I258)-3),I258))</f>
        <v/>
      </c>
      <c r="X258" s="71">
        <f>IF($J258="","",IFERROR(INDEX(B!$C$2:$C$61,MATCH($J258,B!$E$2:$E$61,0))&amp;"",""))</f>
        <v/>
      </c>
      <c r="Y258" s="20" t="n"/>
      <c r="Z258" s="72">
        <f>IF($J258="",FALSE,ISNUMBER(SEARCH("scout",$K258)))</f>
        <v/>
      </c>
      <c r="AA258" s="72">
        <f>IF($J258="",FALSE,IFERROR(INDEX(B!$N$2:$N$61,MATCH($J258,B!$E$2:$E$61,0))="Sim",FALSE))</f>
        <v/>
      </c>
      <c r="AB258" s="72">
        <f>IF($J258="",FALSE,LEFT($X258,2)="XX")</f>
        <v/>
      </c>
      <c r="AC258" s="72">
        <f>IF($J258="",FALSE,IFERROR(INDEX(B!$P$2:$P$61,MATCH($J258,B!$E$2:$E$61,0))="Sim",FALSE))</f>
        <v/>
      </c>
      <c r="AD258" s="20" t="n"/>
      <c r="AE258" s="52">
        <f>IF(H258="","",HOUR(H258))</f>
        <v/>
      </c>
      <c r="AF258" s="52" t="n"/>
    </row>
    <row r="259" ht="19.5" customHeight="1" s="58">
      <c r="A259" s="62">
        <f>IF(G259="","",IF(G259=G258,"",COUNTIF($G$3:$G$976,G259)))</f>
        <v/>
      </c>
      <c r="B259" s="20" t="n"/>
      <c r="C259" s="63">
        <f>IF(G259="","",DAY(G259))</f>
        <v/>
      </c>
      <c r="D259" s="63">
        <f>IF(G259="","",MONTH(G259))</f>
        <v/>
      </c>
      <c r="E259" s="63">
        <f>IF(G259="","",YEAR(G259))</f>
        <v/>
      </c>
      <c r="F259" s="33">
        <f>IF(G259="","",CHOOSE(MONTH(G259),"Janeiro","Fevereiro","Março","Abril","Maio","Junho","Julho","Agosto","Setembro","Outubro","Novembro","Dezembro"))</f>
        <v/>
      </c>
      <c r="G259" s="64" t="n">
        <v>46061</v>
      </c>
      <c r="H259" s="65" t="n">
        <v>0.1567361111111111</v>
      </c>
      <c r="I259" s="66" t="inlineStr">
        <is>
          <t>https://docs.google.com/spreadsheets/d/1ZiCGoPjLCjuYvujDTXK9Ixbth3tekiLtFBzBrGjPCr4/edit?gid=0#gid=0</t>
        </is>
      </c>
      <c r="J259" s="67" t="inlineStr">
        <is>
          <t>Trajeto Ruim - [TR]</t>
        </is>
      </c>
      <c r="K259" s="67" t="inlineStr">
        <is>
          <t>Scout</t>
        </is>
      </c>
      <c r="L259" s="68" t="b">
        <v>0</v>
      </c>
      <c r="M259" s="20" t="n"/>
      <c r="N259" s="69">
        <f>IF($J259="","",IFERROR(INDEX(B!$F$2:$F$61,MATCH($J259,B!$E$2:$E$61,0))&amp;"",""))</f>
        <v/>
      </c>
      <c r="O259" s="69">
        <f>IF($J259="","",IFERROR(INDEX(B!$G$2:$G$61,MATCH($J259,B!$E$2:$E$61,0))&amp;"",""))</f>
        <v/>
      </c>
      <c r="P259" s="69">
        <f>IF($J259="","",IFERROR(INDEX(B!$H$2:$H$61,MATCH($J259,B!$E$2:$E$61,0))&amp;"",""))</f>
        <v/>
      </c>
      <c r="Q259" s="69">
        <f>IF($J259="","",IFERROR(INDEX(B!$I$2:$I$61,MATCH($J259,B!$E$2:$E$61,0))&amp;"",""))</f>
        <v/>
      </c>
      <c r="R259" s="69">
        <f>IF($J259="","",IFERROR(INDEX(B!$J$2:$J$61,MATCH($J259,B!$E$2:$E$61,0))&amp;"",""))</f>
        <v/>
      </c>
      <c r="S259" s="69">
        <f>IF($J259="","",IFERROR(INDEX(B!$K$2:$K$61,MATCH($J259,B!$E$2:$E$61,0))&amp;"",""))</f>
        <v/>
      </c>
      <c r="T259" s="69">
        <f>IF($J259="","",IFERROR(INDEX(B!$L$2:$L$61,MATCH($J259,B!$E$2:$E$61,0))&amp;"",""))</f>
        <v/>
      </c>
      <c r="U259" s="20" t="n"/>
      <c r="V259" s="70">
        <f>IF($J259="","",IFERROR(INDEX(B!$M$2:$M$61,MATCH($J259,B!$E$2:$E$61,0))&amp;"",""))</f>
        <v/>
      </c>
      <c r="W259" s="71">
        <f>IF(I259="","",IFERROR(MID(I259,FIND("/d/",I259)+3,FIND("/edit",I259)-FIND("/d/",I259)-3),I259))</f>
        <v/>
      </c>
      <c r="X259" s="71">
        <f>IF($J259="","",IFERROR(INDEX(B!$C$2:$C$61,MATCH($J259,B!$E$2:$E$61,0))&amp;"",""))</f>
        <v/>
      </c>
      <c r="Y259" s="20" t="n"/>
      <c r="Z259" s="72">
        <f>IF($J259="",FALSE,ISNUMBER(SEARCH("scout",$K259)))</f>
        <v/>
      </c>
      <c r="AA259" s="72">
        <f>IF($J259="",FALSE,IFERROR(INDEX(B!$N$2:$N$61,MATCH($J259,B!$E$2:$E$61,0))="Sim",FALSE))</f>
        <v/>
      </c>
      <c r="AB259" s="72">
        <f>IF($J259="",FALSE,LEFT($X259,2)="XX")</f>
        <v/>
      </c>
      <c r="AC259" s="72">
        <f>IF($J259="",FALSE,IFERROR(INDEX(B!$P$2:$P$61,MATCH($J259,B!$E$2:$E$61,0))="Sim",FALSE))</f>
        <v/>
      </c>
      <c r="AD259" s="20" t="n"/>
      <c r="AE259" s="52">
        <f>IF(H259="","",HOUR(H259))</f>
        <v/>
      </c>
      <c r="AF259" s="52" t="n"/>
    </row>
    <row r="260" ht="19.5" customHeight="1" s="58">
      <c r="A260" s="62">
        <f>IF(G260="","",IF(G260=G259,"",COUNTIF($G$3:$G$976,G260)))</f>
        <v/>
      </c>
      <c r="B260" s="20" t="n"/>
      <c r="C260" s="63">
        <f>IF(G260="","",DAY(G260))</f>
        <v/>
      </c>
      <c r="D260" s="63">
        <f>IF(G260="","",MONTH(G260))</f>
        <v/>
      </c>
      <c r="E260" s="63">
        <f>IF(G260="","",YEAR(G260))</f>
        <v/>
      </c>
      <c r="F260" s="33">
        <f>IF(G260="","",CHOOSE(MONTH(G260),"Janeiro","Fevereiro","Março","Abril","Maio","Junho","Julho","Agosto","Setembro","Outubro","Novembro","Dezembro"))</f>
        <v/>
      </c>
      <c r="G260" s="64" t="n">
        <v>46061</v>
      </c>
      <c r="H260" s="65" t="n">
        <v>0.1568981481481481</v>
      </c>
      <c r="I260" s="66" t="inlineStr">
        <is>
          <t>https://docs.google.com/spreadsheets/d/1ZiCGoPjLCjuYvujDTXK9Ixbth3tekiLtFBzBrGjPCr4/edit?gid=0#gid=0</t>
        </is>
      </c>
      <c r="J260" s="67" t="inlineStr">
        <is>
          <t>Erro de Gps (Problema Técnico) - [GPS]</t>
        </is>
      </c>
      <c r="K260" s="67" t="inlineStr"/>
      <c r="L260" s="68" t="b">
        <v>0</v>
      </c>
      <c r="M260" s="20" t="n"/>
      <c r="N260" s="69">
        <f>IF($J260="","",IFERROR(INDEX(B!$F$2:$F$61,MATCH($J260,B!$E$2:$E$61,0))&amp;"",""))</f>
        <v/>
      </c>
      <c r="O260" s="69">
        <f>IF($J260="","",IFERROR(INDEX(B!$G$2:$G$61,MATCH($J260,B!$E$2:$E$61,0))&amp;"",""))</f>
        <v/>
      </c>
      <c r="P260" s="69">
        <f>IF($J260="","",IFERROR(INDEX(B!$H$2:$H$61,MATCH($J260,B!$E$2:$E$61,0))&amp;"",""))</f>
        <v/>
      </c>
      <c r="Q260" s="69">
        <f>IF($J260="","",IFERROR(INDEX(B!$I$2:$I$61,MATCH($J260,B!$E$2:$E$61,0))&amp;"",""))</f>
        <v/>
      </c>
      <c r="R260" s="69">
        <f>IF($J260="","",IFERROR(INDEX(B!$J$2:$J$61,MATCH($J260,B!$E$2:$E$61,0))&amp;"",""))</f>
        <v/>
      </c>
      <c r="S260" s="69">
        <f>IF($J260="","",IFERROR(INDEX(B!$K$2:$K$61,MATCH($J260,B!$E$2:$E$61,0))&amp;"",""))</f>
        <v/>
      </c>
      <c r="T260" s="69">
        <f>IF($J260="","",IFERROR(INDEX(B!$L$2:$L$61,MATCH($J260,B!$E$2:$E$61,0))&amp;"",""))</f>
        <v/>
      </c>
      <c r="U260" s="20" t="n"/>
      <c r="V260" s="70">
        <f>IF($J260="","",IFERROR(INDEX(B!$M$2:$M$61,MATCH($J260,B!$E$2:$E$61,0))&amp;"",""))</f>
        <v/>
      </c>
      <c r="W260" s="71">
        <f>IF(I260="","",IFERROR(MID(I260,FIND("/d/",I260)+3,FIND("/edit",I260)-FIND("/d/",I260)-3),I260))</f>
        <v/>
      </c>
      <c r="X260" s="71">
        <f>IF($J260="","",IFERROR(INDEX(B!$C$2:$C$61,MATCH($J260,B!$E$2:$E$61,0))&amp;"",""))</f>
        <v/>
      </c>
      <c r="Y260" s="20" t="n"/>
      <c r="Z260" s="72">
        <f>IF($J260="",FALSE,ISNUMBER(SEARCH("scout",$K260)))</f>
        <v/>
      </c>
      <c r="AA260" s="72">
        <f>IF($J260="",FALSE,IFERROR(INDEX(B!$N$2:$N$61,MATCH($J260,B!$E$2:$E$61,0))="Sim",FALSE))</f>
        <v/>
      </c>
      <c r="AB260" s="72">
        <f>IF($J260="",FALSE,LEFT($X260,2)="XX")</f>
        <v/>
      </c>
      <c r="AC260" s="72">
        <f>IF($J260="",FALSE,IFERROR(INDEX(B!$P$2:$P$61,MATCH($J260,B!$E$2:$E$61,0))="Sim",FALSE))</f>
        <v/>
      </c>
      <c r="AD260" s="20" t="n"/>
      <c r="AE260" s="52">
        <f>IF(H260="","",HOUR(H260))</f>
        <v/>
      </c>
      <c r="AF260" s="52" t="n"/>
    </row>
    <row r="261" ht="19.5" customHeight="1" s="58">
      <c r="A261" s="62">
        <f>IF(G261="","",IF(G261=G260,"",COUNTIF($G$3:$G$976,G261)))</f>
        <v/>
      </c>
      <c r="B261" s="20" t="n"/>
      <c r="C261" s="63">
        <f>IF(G261="","",DAY(G261))</f>
        <v/>
      </c>
      <c r="D261" s="63">
        <f>IF(G261="","",MONTH(G261))</f>
        <v/>
      </c>
      <c r="E261" s="63">
        <f>IF(G261="","",YEAR(G261))</f>
        <v/>
      </c>
      <c r="F261" s="33">
        <f>IF(G261="","",CHOOSE(MONTH(G261),"Janeiro","Fevereiro","Março","Abril","Maio","Junho","Julho","Agosto","Setembro","Outubro","Novembro","Dezembro"))</f>
        <v/>
      </c>
      <c r="G261" s="64" t="n">
        <v>46061</v>
      </c>
      <c r="H261" s="65" t="n">
        <v>0.1667361111111111</v>
      </c>
      <c r="I261" s="66" t="inlineStr">
        <is>
          <t>https://docs.google.com/spreadsheets/d/1ZiCGoPjLCjuYvujDTXK9Ixbth3tekiLtFBzBrGjPCr4/edit?gid=0#gid=0</t>
        </is>
      </c>
      <c r="J261" s="67" t="inlineStr">
        <is>
          <t>Erro de Gps (Problema Técnico) - [GPS]</t>
        </is>
      </c>
      <c r="K261" s="67" t="inlineStr"/>
      <c r="L261" s="68" t="b">
        <v>0</v>
      </c>
      <c r="M261" s="20" t="n"/>
      <c r="N261" s="69">
        <f>IF($J261="","",IFERROR(INDEX(B!$F$2:$F$61,MATCH($J261,B!$E$2:$E$61,0))&amp;"",""))</f>
        <v/>
      </c>
      <c r="O261" s="69">
        <f>IF($J261="","",IFERROR(INDEX(B!$G$2:$G$61,MATCH($J261,B!$E$2:$E$61,0))&amp;"",""))</f>
        <v/>
      </c>
      <c r="P261" s="69">
        <f>IF($J261="","",IFERROR(INDEX(B!$H$2:$H$61,MATCH($J261,B!$E$2:$E$61,0))&amp;"",""))</f>
        <v/>
      </c>
      <c r="Q261" s="69">
        <f>IF($J261="","",IFERROR(INDEX(B!$I$2:$I$61,MATCH($J261,B!$E$2:$E$61,0))&amp;"",""))</f>
        <v/>
      </c>
      <c r="R261" s="69">
        <f>IF($J261="","",IFERROR(INDEX(B!$J$2:$J$61,MATCH($J261,B!$E$2:$E$61,0))&amp;"",""))</f>
        <v/>
      </c>
      <c r="S261" s="69">
        <f>IF($J261="","",IFERROR(INDEX(B!$K$2:$K$61,MATCH($J261,B!$E$2:$E$61,0))&amp;"",""))</f>
        <v/>
      </c>
      <c r="T261" s="69">
        <f>IF($J261="","",IFERROR(INDEX(B!$L$2:$L$61,MATCH($J261,B!$E$2:$E$61,0))&amp;"",""))</f>
        <v/>
      </c>
      <c r="U261" s="20" t="n"/>
      <c r="V261" s="70">
        <f>IF($J261="","",IFERROR(INDEX(B!$M$2:$M$61,MATCH($J261,B!$E$2:$E$61,0))&amp;"",""))</f>
        <v/>
      </c>
      <c r="W261" s="71">
        <f>IF(I261="","",IFERROR(MID(I261,FIND("/d/",I261)+3,FIND("/edit",I261)-FIND("/d/",I261)-3),I261))</f>
        <v/>
      </c>
      <c r="X261" s="71">
        <f>IF($J261="","",IFERROR(INDEX(B!$C$2:$C$61,MATCH($J261,B!$E$2:$E$61,0))&amp;"",""))</f>
        <v/>
      </c>
      <c r="Y261" s="20" t="n"/>
      <c r="Z261" s="72">
        <f>IF($J261="",FALSE,ISNUMBER(SEARCH("scout",$K261)))</f>
        <v/>
      </c>
      <c r="AA261" s="72">
        <f>IF($J261="",FALSE,IFERROR(INDEX(B!$N$2:$N$61,MATCH($J261,B!$E$2:$E$61,0))="Sim",FALSE))</f>
        <v/>
      </c>
      <c r="AB261" s="72">
        <f>IF($J261="",FALSE,LEFT($X261,2)="XX")</f>
        <v/>
      </c>
      <c r="AC261" s="72">
        <f>IF($J261="",FALSE,IFERROR(INDEX(B!$P$2:$P$61,MATCH($J261,B!$E$2:$E$61,0))="Sim",FALSE))</f>
        <v/>
      </c>
      <c r="AD261" s="20" t="n"/>
      <c r="AE261" s="52">
        <f>IF(H261="","",HOUR(H261))</f>
        <v/>
      </c>
      <c r="AF261" s="52" t="n"/>
    </row>
    <row r="262" ht="19.5" customHeight="1" s="58">
      <c r="A262" s="62">
        <f>IF(G262="","",IF(G262=G261,"",COUNTIF($G$3:$G$976,G262)))</f>
        <v/>
      </c>
      <c r="B262" s="20" t="n"/>
      <c r="C262" s="63">
        <f>IF(G262="","",DAY(G262))</f>
        <v/>
      </c>
      <c r="D262" s="63">
        <f>IF(G262="","",MONTH(G262))</f>
        <v/>
      </c>
      <c r="E262" s="63">
        <f>IF(G262="","",YEAR(G262))</f>
        <v/>
      </c>
      <c r="F262" s="33">
        <f>IF(G262="","",CHOOSE(MONTH(G262),"Janeiro","Fevereiro","Março","Abril","Maio","Junho","Julho","Agosto","Setembro","Outubro","Novembro","Dezembro"))</f>
        <v/>
      </c>
      <c r="G262" s="64" t="n">
        <v>46061</v>
      </c>
      <c r="H262" s="65" t="n">
        <v>0.1676851851851852</v>
      </c>
      <c r="I262" s="66" t="inlineStr">
        <is>
          <t>https://docs.google.com/spreadsheets/d/1ZiCGoPjLCjuYvujDTXK9Ixbth3tekiLtFBzBrGjPCr4/edit?gid=0#gid=0</t>
        </is>
      </c>
      <c r="J262" s="67" t="inlineStr">
        <is>
          <t>Transferência de LOB (Lost Items) - [TILI]</t>
        </is>
      </c>
      <c r="K262" s="67" t="inlineStr"/>
      <c r="L262" s="68" t="b">
        <v>0</v>
      </c>
      <c r="M262" s="20" t="n"/>
      <c r="N262" s="69">
        <f>IF($J262="","",IFERROR(INDEX(B!$F$2:$F$61,MATCH($J262,B!$E$2:$E$61,0))&amp;"",""))</f>
        <v/>
      </c>
      <c r="O262" s="69">
        <f>IF($J262="","",IFERROR(INDEX(B!$G$2:$G$61,MATCH($J262,B!$E$2:$E$61,0))&amp;"",""))</f>
        <v/>
      </c>
      <c r="P262" s="69">
        <f>IF($J262="","",IFERROR(INDEX(B!$H$2:$H$61,MATCH($J262,B!$E$2:$E$61,0))&amp;"",""))</f>
        <v/>
      </c>
      <c r="Q262" s="69">
        <f>IF($J262="","",IFERROR(INDEX(B!$I$2:$I$61,MATCH($J262,B!$E$2:$E$61,0))&amp;"",""))</f>
        <v/>
      </c>
      <c r="R262" s="69">
        <f>IF($J262="","",IFERROR(INDEX(B!$J$2:$J$61,MATCH($J262,B!$E$2:$E$61,0))&amp;"",""))</f>
        <v/>
      </c>
      <c r="S262" s="69">
        <f>IF($J262="","",IFERROR(INDEX(B!$K$2:$K$61,MATCH($J262,B!$E$2:$E$61,0))&amp;"",""))</f>
        <v/>
      </c>
      <c r="T262" s="69">
        <f>IF($J262="","",IFERROR(INDEX(B!$L$2:$L$61,MATCH($J262,B!$E$2:$E$61,0))&amp;"",""))</f>
        <v/>
      </c>
      <c r="U262" s="20" t="n"/>
      <c r="V262" s="70">
        <f>IF($J262="","",IFERROR(INDEX(B!$M$2:$M$61,MATCH($J262,B!$E$2:$E$61,0))&amp;"",""))</f>
        <v/>
      </c>
      <c r="W262" s="71">
        <f>IF(I262="","",IFERROR(MID(I262,FIND("/d/",I262)+3,FIND("/edit",I262)-FIND("/d/",I262)-3),I262))</f>
        <v/>
      </c>
      <c r="X262" s="71">
        <f>IF($J262="","",IFERROR(INDEX(B!$C$2:$C$61,MATCH($J262,B!$E$2:$E$61,0))&amp;"",""))</f>
        <v/>
      </c>
      <c r="Y262" s="20" t="n"/>
      <c r="Z262" s="72">
        <f>IF($J262="",FALSE,ISNUMBER(SEARCH("scout",$K262)))</f>
        <v/>
      </c>
      <c r="AA262" s="72">
        <f>IF($J262="",FALSE,IFERROR(INDEX(B!$N$2:$N$61,MATCH($J262,B!$E$2:$E$61,0))="Sim",FALSE))</f>
        <v/>
      </c>
      <c r="AB262" s="72">
        <f>IF($J262="",FALSE,LEFT($X262,2)="XX")</f>
        <v/>
      </c>
      <c r="AC262" s="72">
        <f>IF($J262="",FALSE,IFERROR(INDEX(B!$P$2:$P$61,MATCH($J262,B!$E$2:$E$61,0))="Sim",FALSE))</f>
        <v/>
      </c>
      <c r="AD262" s="20" t="n"/>
      <c r="AE262" s="52">
        <f>IF(H262="","",HOUR(H262))</f>
        <v/>
      </c>
      <c r="AF262" s="52" t="n"/>
    </row>
    <row r="263" ht="19.5" customHeight="1" s="58">
      <c r="A263" s="62">
        <f>IF(G263="","",IF(G263=G262,"",COUNTIF($G$3:$G$976,G263)))</f>
        <v/>
      </c>
      <c r="B263" s="20" t="n"/>
      <c r="C263" s="63">
        <f>IF(G263="","",DAY(G263))</f>
        <v/>
      </c>
      <c r="D263" s="63">
        <f>IF(G263="","",MONTH(G263))</f>
        <v/>
      </c>
      <c r="E263" s="63">
        <f>IF(G263="","",YEAR(G263))</f>
        <v/>
      </c>
      <c r="F263" s="33">
        <f>IF(G263="","",CHOOSE(MONTH(G263),"Janeiro","Fevereiro","Março","Abril","Maio","Junho","Julho","Agosto","Setembro","Outubro","Novembro","Dezembro"))</f>
        <v/>
      </c>
      <c r="G263" s="64" t="n">
        <v>46061</v>
      </c>
      <c r="H263" s="65" t="n">
        <v>0.1790625</v>
      </c>
      <c r="I263" s="66" t="inlineStr">
        <is>
          <t>https://docs.google.com/spreadsheets/d/1ZiCGoPjLCjuYvujDTXK9Ixbth3tekiLtFBzBrGjPCr4/edit?gid=0#gid=0</t>
        </is>
      </c>
      <c r="J263" s="67" t="inlineStr">
        <is>
          <t>Taxa de Cancelamento Cobrada Corretamente - [TXCO]</t>
        </is>
      </c>
      <c r="K263" s="67" t="inlineStr"/>
      <c r="L263" s="68" t="b">
        <v>1</v>
      </c>
      <c r="M263" s="20" t="n"/>
      <c r="N263" s="69">
        <f>IF($J263="","",IFERROR(INDEX(B!$F$2:$F$61,MATCH($J263,B!$E$2:$E$61,0))&amp;"",""))</f>
        <v/>
      </c>
      <c r="O263" s="69">
        <f>IF($J263="","",IFERROR(INDEX(B!$G$2:$G$61,MATCH($J263,B!$E$2:$E$61,0))&amp;"",""))</f>
        <v/>
      </c>
      <c r="P263" s="69">
        <f>IF($J263="","",IFERROR(INDEX(B!$H$2:$H$61,MATCH($J263,B!$E$2:$E$61,0))&amp;"",""))</f>
        <v/>
      </c>
      <c r="Q263" s="69">
        <f>IF($J263="","",IFERROR(INDEX(B!$I$2:$I$61,MATCH($J263,B!$E$2:$E$61,0))&amp;"",""))</f>
        <v/>
      </c>
      <c r="R263" s="69">
        <f>IF($J263="","",IFERROR(INDEX(B!$J$2:$J$61,MATCH($J263,B!$E$2:$E$61,0))&amp;"",""))</f>
        <v/>
      </c>
      <c r="S263" s="69">
        <f>IF($J263="","",IFERROR(INDEX(B!$K$2:$K$61,MATCH($J263,B!$E$2:$E$61,0))&amp;"",""))</f>
        <v/>
      </c>
      <c r="T263" s="69">
        <f>IF($J263="","",IFERROR(INDEX(B!$L$2:$L$61,MATCH($J263,B!$E$2:$E$61,0))&amp;"",""))</f>
        <v/>
      </c>
      <c r="U263" s="20" t="n"/>
      <c r="V263" s="70">
        <f>IF($J263="","",IFERROR(INDEX(B!$M$2:$M$61,MATCH($J263,B!$E$2:$E$61,0))&amp;"",""))</f>
        <v/>
      </c>
      <c r="W263" s="71">
        <f>IF(I263="","",IFERROR(MID(I263,FIND("/d/",I263)+3,FIND("/edit",I263)-FIND("/d/",I263)-3),I263))</f>
        <v/>
      </c>
      <c r="X263" s="71">
        <f>IF($J263="","",IFERROR(INDEX(B!$C$2:$C$61,MATCH($J263,B!$E$2:$E$61,0))&amp;"",""))</f>
        <v/>
      </c>
      <c r="Y263" s="20" t="n"/>
      <c r="Z263" s="72">
        <f>IF($J263="",FALSE,ISNUMBER(SEARCH("scout",$K263)))</f>
        <v/>
      </c>
      <c r="AA263" s="72">
        <f>IF($J263="",FALSE,IFERROR(INDEX(B!$N$2:$N$61,MATCH($J263,B!$E$2:$E$61,0))="Sim",FALSE))</f>
        <v/>
      </c>
      <c r="AB263" s="72">
        <f>IF($J263="",FALSE,LEFT($X263,2)="XX")</f>
        <v/>
      </c>
      <c r="AC263" s="72">
        <f>IF($J263="",FALSE,IFERROR(INDEX(B!$P$2:$P$61,MATCH($J263,B!$E$2:$E$61,0))="Sim",FALSE))</f>
        <v/>
      </c>
      <c r="AD263" s="20" t="n"/>
      <c r="AE263" s="52">
        <f>IF(H263="","",HOUR(H263))</f>
        <v/>
      </c>
      <c r="AF263" s="52" t="n"/>
    </row>
    <row r="264" ht="19.5" customHeight="1" s="58">
      <c r="A264" s="62">
        <f>IF(G264="","",IF(G264=G263,"",COUNTIF($G$3:$G$976,G264)))</f>
        <v/>
      </c>
      <c r="B264" s="20" t="n"/>
      <c r="C264" s="63">
        <f>IF(G264="","",DAY(G264))</f>
        <v/>
      </c>
      <c r="D264" s="63">
        <f>IF(G264="","",MONTH(G264))</f>
        <v/>
      </c>
      <c r="E264" s="63">
        <f>IF(G264="","",YEAR(G264))</f>
        <v/>
      </c>
      <c r="F264" s="33">
        <f>IF(G264="","",CHOOSE(MONTH(G264),"Janeiro","Fevereiro","Março","Abril","Maio","Junho","Julho","Agosto","Setembro","Outubro","Novembro","Dezembro"))</f>
        <v/>
      </c>
      <c r="G264" s="64" t="n">
        <v>46061</v>
      </c>
      <c r="H264" s="65" t="n">
        <v>0.1858101851851852</v>
      </c>
      <c r="I264" s="66" t="inlineStr">
        <is>
          <t>https://docs.google.com/spreadsheets/d/1ZiCGoPjLCjuYvujDTXK9Ixbth3tekiLtFBzBrGjPCr4/edit?gid=0#gid=0</t>
        </is>
      </c>
      <c r="J264" s="67" t="inlineStr">
        <is>
          <t>Pushback (Agradecimento) - [XXA]</t>
        </is>
      </c>
      <c r="K264" s="67" t="inlineStr"/>
      <c r="L264" s="68" t="b">
        <v>0</v>
      </c>
      <c r="M264" s="20" t="n"/>
      <c r="N264" s="69">
        <f>IF($J264="","",IFERROR(INDEX(B!$F$2:$F$61,MATCH($J264,B!$E$2:$E$61,0))&amp;"",""))</f>
        <v/>
      </c>
      <c r="O264" s="69">
        <f>IF($J264="","",IFERROR(INDEX(B!$G$2:$G$61,MATCH($J264,B!$E$2:$E$61,0))&amp;"",""))</f>
        <v/>
      </c>
      <c r="P264" s="69">
        <f>IF($J264="","",IFERROR(INDEX(B!$H$2:$H$61,MATCH($J264,B!$E$2:$E$61,0))&amp;"",""))</f>
        <v/>
      </c>
      <c r="Q264" s="69">
        <f>IF($J264="","",IFERROR(INDEX(B!$I$2:$I$61,MATCH($J264,B!$E$2:$E$61,0))&amp;"",""))</f>
        <v/>
      </c>
      <c r="R264" s="69">
        <f>IF($J264="","",IFERROR(INDEX(B!$J$2:$J$61,MATCH($J264,B!$E$2:$E$61,0))&amp;"",""))</f>
        <v/>
      </c>
      <c r="S264" s="69">
        <f>IF($J264="","",IFERROR(INDEX(B!$K$2:$K$61,MATCH($J264,B!$E$2:$E$61,0))&amp;"",""))</f>
        <v/>
      </c>
      <c r="T264" s="69">
        <f>IF($J264="","",IFERROR(INDEX(B!$L$2:$L$61,MATCH($J264,B!$E$2:$E$61,0))&amp;"",""))</f>
        <v/>
      </c>
      <c r="U264" s="20" t="n"/>
      <c r="V264" s="70">
        <f>IF($J264="","",IFERROR(INDEX(B!$M$2:$M$61,MATCH($J264,B!$E$2:$E$61,0))&amp;"",""))</f>
        <v/>
      </c>
      <c r="W264" s="71">
        <f>IF(I264="","",IFERROR(MID(I264,FIND("/d/",I264)+3,FIND("/edit",I264)-FIND("/d/",I264)-3),I264))</f>
        <v/>
      </c>
      <c r="X264" s="71">
        <f>IF($J264="","",IFERROR(INDEX(B!$C$2:$C$61,MATCH($J264,B!$E$2:$E$61,0))&amp;"",""))</f>
        <v/>
      </c>
      <c r="Y264" s="20" t="n"/>
      <c r="Z264" s="72">
        <f>IF($J264="",FALSE,ISNUMBER(SEARCH("scout",$K264)))</f>
        <v/>
      </c>
      <c r="AA264" s="72">
        <f>IF($J264="",FALSE,IFERROR(INDEX(B!$N$2:$N$61,MATCH($J264,B!$E$2:$E$61,0))="Sim",FALSE))</f>
        <v/>
      </c>
      <c r="AB264" s="72">
        <f>IF($J264="",FALSE,LEFT($X264,2)="XX")</f>
        <v/>
      </c>
      <c r="AC264" s="72">
        <f>IF($J264="",FALSE,IFERROR(INDEX(B!$P$2:$P$61,MATCH($J264,B!$E$2:$E$61,0))="Sim",FALSE))</f>
        <v/>
      </c>
      <c r="AD264" s="20" t="n"/>
      <c r="AE264" s="52">
        <f>IF(H264="","",HOUR(H264))</f>
        <v/>
      </c>
      <c r="AF264" s="52" t="n"/>
    </row>
    <row r="265" ht="19.5" customHeight="1" s="58">
      <c r="A265" s="62">
        <f>IF(G265="","",IF(G265=G264,"",COUNTIF($G$3:$G$976,G265)))</f>
        <v/>
      </c>
      <c r="B265" s="20" t="n"/>
      <c r="C265" s="63">
        <f>IF(G265="","",DAY(G265))</f>
        <v/>
      </c>
      <c r="D265" s="63">
        <f>IF(G265="","",MONTH(G265))</f>
        <v/>
      </c>
      <c r="E265" s="63">
        <f>IF(G265="","",YEAR(G265))</f>
        <v/>
      </c>
      <c r="F265" s="33">
        <f>IF(G265="","",CHOOSE(MONTH(G265),"Janeiro","Fevereiro","Março","Abril","Maio","Junho","Julho","Agosto","Setembro","Outubro","Novembro","Dezembro"))</f>
        <v/>
      </c>
      <c r="G265" s="64" t="n">
        <v>46061</v>
      </c>
      <c r="H265" s="65" t="n">
        <v>0.1860648148148148</v>
      </c>
      <c r="I265" s="66" t="inlineStr">
        <is>
          <t>https://docs.google.com/spreadsheets/d/1ZiCGoPjLCjuYvujDTXK9Ixbth3tekiLtFBzBrGjPCr4/edit?gid=0#gid=0</t>
        </is>
      </c>
      <c r="J265" s="67" t="inlineStr">
        <is>
          <t>Overpaid, Não excede o limite, Com comprovante - [OPNC]</t>
        </is>
      </c>
      <c r="K265" s="67" t="inlineStr"/>
      <c r="L265" s="68" t="b">
        <v>0</v>
      </c>
      <c r="M265" s="20" t="n"/>
      <c r="N265" s="69">
        <f>IF($J265="","",IFERROR(INDEX(B!$F$2:$F$61,MATCH($J265,B!$E$2:$E$61,0))&amp;"",""))</f>
        <v/>
      </c>
      <c r="O265" s="69">
        <f>IF($J265="","",IFERROR(INDEX(B!$G$2:$G$61,MATCH($J265,B!$E$2:$E$61,0))&amp;"",""))</f>
        <v/>
      </c>
      <c r="P265" s="69">
        <f>IF($J265="","",IFERROR(INDEX(B!$H$2:$H$61,MATCH($J265,B!$E$2:$E$61,0))&amp;"",""))</f>
        <v/>
      </c>
      <c r="Q265" s="69">
        <f>IF($J265="","",IFERROR(INDEX(B!$I$2:$I$61,MATCH($J265,B!$E$2:$E$61,0))&amp;"",""))</f>
        <v/>
      </c>
      <c r="R265" s="69">
        <f>IF($J265="","",IFERROR(INDEX(B!$J$2:$J$61,MATCH($J265,B!$E$2:$E$61,0))&amp;"",""))</f>
        <v/>
      </c>
      <c r="S265" s="69">
        <f>IF($J265="","",IFERROR(INDEX(B!$K$2:$K$61,MATCH($J265,B!$E$2:$E$61,0))&amp;"",""))</f>
        <v/>
      </c>
      <c r="T265" s="69">
        <f>IF($J265="","",IFERROR(INDEX(B!$L$2:$L$61,MATCH($J265,B!$E$2:$E$61,0))&amp;"",""))</f>
        <v/>
      </c>
      <c r="U265" s="20" t="n"/>
      <c r="V265" s="70">
        <f>IF($J265="","",IFERROR(INDEX(B!$M$2:$M$61,MATCH($J265,B!$E$2:$E$61,0))&amp;"",""))</f>
        <v/>
      </c>
      <c r="W265" s="71">
        <f>IF(I265="","",IFERROR(MID(I265,FIND("/d/",I265)+3,FIND("/edit",I265)-FIND("/d/",I265)-3),I265))</f>
        <v/>
      </c>
      <c r="X265" s="71">
        <f>IF($J265="","",IFERROR(INDEX(B!$C$2:$C$61,MATCH($J265,B!$E$2:$E$61,0))&amp;"",""))</f>
        <v/>
      </c>
      <c r="Y265" s="20" t="n"/>
      <c r="Z265" s="72">
        <f>IF($J265="",FALSE,ISNUMBER(SEARCH("scout",$K265)))</f>
        <v/>
      </c>
      <c r="AA265" s="72">
        <f>IF($J265="",FALSE,IFERROR(INDEX(B!$N$2:$N$61,MATCH($J265,B!$E$2:$E$61,0))="Sim",FALSE))</f>
        <v/>
      </c>
      <c r="AB265" s="72">
        <f>IF($J265="",FALSE,LEFT($X265,2)="XX")</f>
        <v/>
      </c>
      <c r="AC265" s="72">
        <f>IF($J265="",FALSE,IFERROR(INDEX(B!$P$2:$P$61,MATCH($J265,B!$E$2:$E$61,0))="Sim",FALSE))</f>
        <v/>
      </c>
      <c r="AD265" s="20" t="n"/>
      <c r="AE265" s="52">
        <f>IF(H265="","",HOUR(H265))</f>
        <v/>
      </c>
      <c r="AF265" s="52" t="n"/>
    </row>
    <row r="266" ht="19.5" customHeight="1" s="58">
      <c r="A266" s="62">
        <f>IF(G266="","",IF(G266=G265,"",COUNTIF($G$3:$G$976,G266)))</f>
        <v/>
      </c>
      <c r="B266" s="20" t="n"/>
      <c r="C266" s="63">
        <f>IF(G266="","",DAY(G266))</f>
        <v/>
      </c>
      <c r="D266" s="63">
        <f>IF(G266="","",MONTH(G266))</f>
        <v/>
      </c>
      <c r="E266" s="63">
        <f>IF(G266="","",YEAR(G266))</f>
        <v/>
      </c>
      <c r="F266" s="33">
        <f>IF(G266="","",CHOOSE(MONTH(G266),"Janeiro","Fevereiro","Março","Abril","Maio","Junho","Julho","Agosto","Setembro","Outubro","Novembro","Dezembro"))</f>
        <v/>
      </c>
      <c r="G266" s="64" t="n">
        <v>46061</v>
      </c>
      <c r="H266" s="65" t="n">
        <v>0.1895717592592593</v>
      </c>
      <c r="I266" s="66" t="inlineStr">
        <is>
          <t>https://docs.google.com/spreadsheets/d/1ZiCGoPjLCjuYvujDTXK9Ixbth3tekiLtFBzBrGjPCr4/edit?gid=0#gid=0</t>
        </is>
      </c>
      <c r="J266" s="67" t="inlineStr">
        <is>
          <t>Taxa de Limpeza - [TXL]</t>
        </is>
      </c>
      <c r="K266" s="67" t="inlineStr"/>
      <c r="L266" s="68" t="b">
        <v>1</v>
      </c>
      <c r="M266" s="20" t="n"/>
      <c r="N266" s="69">
        <f>IF($J266="","",IFERROR(INDEX(B!$F$2:$F$61,MATCH($J266,B!$E$2:$E$61,0))&amp;"",""))</f>
        <v/>
      </c>
      <c r="O266" s="69">
        <f>IF($J266="","",IFERROR(INDEX(B!$G$2:$G$61,MATCH($J266,B!$E$2:$E$61,0))&amp;"",""))</f>
        <v/>
      </c>
      <c r="P266" s="69">
        <f>IF($J266="","",IFERROR(INDEX(B!$H$2:$H$61,MATCH($J266,B!$E$2:$E$61,0))&amp;"",""))</f>
        <v/>
      </c>
      <c r="Q266" s="69">
        <f>IF($J266="","",IFERROR(INDEX(B!$I$2:$I$61,MATCH($J266,B!$E$2:$E$61,0))&amp;"",""))</f>
        <v/>
      </c>
      <c r="R266" s="69">
        <f>IF($J266="","",IFERROR(INDEX(B!$J$2:$J$61,MATCH($J266,B!$E$2:$E$61,0))&amp;"",""))</f>
        <v/>
      </c>
      <c r="S266" s="69">
        <f>IF($J266="","",IFERROR(INDEX(B!$K$2:$K$61,MATCH($J266,B!$E$2:$E$61,0))&amp;"",""))</f>
        <v/>
      </c>
      <c r="T266" s="69">
        <f>IF($J266="","",IFERROR(INDEX(B!$L$2:$L$61,MATCH($J266,B!$E$2:$E$61,0))&amp;"",""))</f>
        <v/>
      </c>
      <c r="U266" s="20" t="n"/>
      <c r="V266" s="70">
        <f>IF($J266="","",IFERROR(INDEX(B!$M$2:$M$61,MATCH($J266,B!$E$2:$E$61,0))&amp;"",""))</f>
        <v/>
      </c>
      <c r="W266" s="71">
        <f>IF(I266="","",IFERROR(MID(I266,FIND("/d/",I266)+3,FIND("/edit",I266)-FIND("/d/",I266)-3),I266))</f>
        <v/>
      </c>
      <c r="X266" s="71">
        <f>IF($J266="","",IFERROR(INDEX(B!$C$2:$C$61,MATCH($J266,B!$E$2:$E$61,0))&amp;"",""))</f>
        <v/>
      </c>
      <c r="Y266" s="20" t="n"/>
      <c r="Z266" s="72">
        <f>IF($J266="",FALSE,ISNUMBER(SEARCH("scout",$K266)))</f>
        <v/>
      </c>
      <c r="AA266" s="72">
        <f>IF($J266="",FALSE,IFERROR(INDEX(B!$N$2:$N$61,MATCH($J266,B!$E$2:$E$61,0))="Sim",FALSE))</f>
        <v/>
      </c>
      <c r="AB266" s="72">
        <f>IF($J266="",FALSE,LEFT($X266,2)="XX")</f>
        <v/>
      </c>
      <c r="AC266" s="72">
        <f>IF($J266="",FALSE,IFERROR(INDEX(B!$P$2:$P$61,MATCH($J266,B!$E$2:$E$61,0))="Sim",FALSE))</f>
        <v/>
      </c>
      <c r="AD266" s="20" t="n"/>
      <c r="AE266" s="52">
        <f>IF(H266="","",HOUR(H266))</f>
        <v/>
      </c>
      <c r="AF266" s="52" t="n"/>
    </row>
    <row r="267" ht="19.5" customHeight="1" s="58">
      <c r="A267" s="62">
        <f>IF(G267="","",IF(G267=G266,"",COUNTIF($G$3:$G$976,G267)))</f>
        <v/>
      </c>
      <c r="B267" s="20" t="n"/>
      <c r="C267" s="63">
        <f>IF(G267="","",DAY(G267))</f>
        <v/>
      </c>
      <c r="D267" s="63">
        <f>IF(G267="","",MONTH(G267))</f>
        <v/>
      </c>
      <c r="E267" s="63">
        <f>IF(G267="","",YEAR(G267))</f>
        <v/>
      </c>
      <c r="F267" s="33">
        <f>IF(G267="","",CHOOSE(MONTH(G267),"Janeiro","Fevereiro","Março","Abril","Maio","Junho","Julho","Agosto","Setembro","Outubro","Novembro","Dezembro"))</f>
        <v/>
      </c>
      <c r="G267" s="64" t="n">
        <v>46061</v>
      </c>
      <c r="H267" s="65" t="n">
        <v>0.1910763888888889</v>
      </c>
      <c r="I267" s="66" t="inlineStr">
        <is>
          <t>https://docs.google.com/spreadsheets/d/1ZiCGoPjLCjuYvujDTXK9Ixbth3tekiLtFBzBrGjPCr4/edit?gid=0#gid=0</t>
        </is>
      </c>
      <c r="J267" s="67" t="inlineStr">
        <is>
          <t>Transferência de LOB (Profissionalismo) - [TIPR]</t>
        </is>
      </c>
      <c r="K267" s="67" t="inlineStr"/>
      <c r="L267" s="68" t="b">
        <v>0</v>
      </c>
      <c r="M267" s="20" t="n"/>
      <c r="N267" s="69">
        <f>IF($J267="","",IFERROR(INDEX(B!$F$2:$F$61,MATCH($J267,B!$E$2:$E$61,0))&amp;"",""))</f>
        <v/>
      </c>
      <c r="O267" s="69">
        <f>IF($J267="","",IFERROR(INDEX(B!$G$2:$G$61,MATCH($J267,B!$E$2:$E$61,0))&amp;"",""))</f>
        <v/>
      </c>
      <c r="P267" s="69">
        <f>IF($J267="","",IFERROR(INDEX(B!$H$2:$H$61,MATCH($J267,B!$E$2:$E$61,0))&amp;"",""))</f>
        <v/>
      </c>
      <c r="Q267" s="69">
        <f>IF($J267="","",IFERROR(INDEX(B!$I$2:$I$61,MATCH($J267,B!$E$2:$E$61,0))&amp;"",""))</f>
        <v/>
      </c>
      <c r="R267" s="69">
        <f>IF($J267="","",IFERROR(INDEX(B!$J$2:$J$61,MATCH($J267,B!$E$2:$E$61,0))&amp;"",""))</f>
        <v/>
      </c>
      <c r="S267" s="69">
        <f>IF($J267="","",IFERROR(INDEX(B!$K$2:$K$61,MATCH($J267,B!$E$2:$E$61,0))&amp;"",""))</f>
        <v/>
      </c>
      <c r="T267" s="69">
        <f>IF($J267="","",IFERROR(INDEX(B!$L$2:$L$61,MATCH($J267,B!$E$2:$E$61,0))&amp;"",""))</f>
        <v/>
      </c>
      <c r="U267" s="20" t="n"/>
      <c r="V267" s="70">
        <f>IF($J267="","",IFERROR(INDEX(B!$M$2:$M$61,MATCH($J267,B!$E$2:$E$61,0))&amp;"",""))</f>
        <v/>
      </c>
      <c r="W267" s="71">
        <f>IF(I267="","",IFERROR(MID(I267,FIND("/d/",I267)+3,FIND("/edit",I267)-FIND("/d/",I267)-3),I267))</f>
        <v/>
      </c>
      <c r="X267" s="71">
        <f>IF($J267="","",IFERROR(INDEX(B!$C$2:$C$61,MATCH($J267,B!$E$2:$E$61,0))&amp;"",""))</f>
        <v/>
      </c>
      <c r="Y267" s="20" t="n"/>
      <c r="Z267" s="72">
        <f>IF($J267="",FALSE,ISNUMBER(SEARCH("scout",$K267)))</f>
        <v/>
      </c>
      <c r="AA267" s="72">
        <f>IF($J267="",FALSE,IFERROR(INDEX(B!$N$2:$N$61,MATCH($J267,B!$E$2:$E$61,0))="Sim",FALSE))</f>
        <v/>
      </c>
      <c r="AB267" s="72">
        <f>IF($J267="",FALSE,LEFT($X267,2)="XX")</f>
        <v/>
      </c>
      <c r="AC267" s="72">
        <f>IF($J267="",FALSE,IFERROR(INDEX(B!$P$2:$P$61,MATCH($J267,B!$E$2:$E$61,0))="Sim",FALSE))</f>
        <v/>
      </c>
      <c r="AD267" s="20" t="n"/>
      <c r="AE267" s="52">
        <f>IF(H267="","",HOUR(H267))</f>
        <v/>
      </c>
      <c r="AF267" s="52" t="n"/>
    </row>
    <row r="268" ht="19.5" customHeight="1" s="58">
      <c r="A268" s="62">
        <f>IF(G268="","",IF(G268=G267,"",COUNTIF($G$3:$G$976,G268)))</f>
        <v/>
      </c>
      <c r="B268" s="20" t="n"/>
      <c r="C268" s="63">
        <f>IF(G268="","",DAY(G268))</f>
        <v/>
      </c>
      <c r="D268" s="63">
        <f>IF(G268="","",MONTH(G268))</f>
        <v/>
      </c>
      <c r="E268" s="63">
        <f>IF(G268="","",YEAR(G268))</f>
        <v/>
      </c>
      <c r="F268" s="33">
        <f>IF(G268="","",CHOOSE(MONTH(G268),"Janeiro","Fevereiro","Março","Abril","Maio","Junho","Julho","Agosto","Setembro","Outubro","Novembro","Dezembro"))</f>
        <v/>
      </c>
      <c r="G268" s="64" t="n">
        <v>46061</v>
      </c>
      <c r="H268" s="65" t="n">
        <v>0.1911805555555555</v>
      </c>
      <c r="I268" s="66" t="inlineStr">
        <is>
          <t>https://docs.google.com/spreadsheets/d/1ZiCGoPjLCjuYvujDTXK9Ixbth3tekiLtFBzBrGjPCr4/edit?gid=0#gid=0</t>
        </is>
      </c>
      <c r="J268" s="67" t="inlineStr">
        <is>
          <t>Mais informações (Quanto Pagou?) - [AAV]</t>
        </is>
      </c>
      <c r="K268" s="67" t="inlineStr">
        <is>
          <t>Scout</t>
        </is>
      </c>
      <c r="L268" s="68" t="b">
        <v>0</v>
      </c>
      <c r="M268" s="20" t="n"/>
      <c r="N268" s="69">
        <f>IF($J268="","",IFERROR(INDEX(B!$F$2:$F$61,MATCH($J268,B!$E$2:$E$61,0))&amp;"",""))</f>
        <v/>
      </c>
      <c r="O268" s="69">
        <f>IF($J268="","",IFERROR(INDEX(B!$G$2:$G$61,MATCH($J268,B!$E$2:$E$61,0))&amp;"",""))</f>
        <v/>
      </c>
      <c r="P268" s="69">
        <f>IF($J268="","",IFERROR(INDEX(B!$H$2:$H$61,MATCH($J268,B!$E$2:$E$61,0))&amp;"",""))</f>
        <v/>
      </c>
      <c r="Q268" s="69">
        <f>IF($J268="","",IFERROR(INDEX(B!$I$2:$I$61,MATCH($J268,B!$E$2:$E$61,0))&amp;"",""))</f>
        <v/>
      </c>
      <c r="R268" s="69">
        <f>IF($J268="","",IFERROR(INDEX(B!$J$2:$J$61,MATCH($J268,B!$E$2:$E$61,0))&amp;"",""))</f>
        <v/>
      </c>
      <c r="S268" s="69">
        <f>IF($J268="","",IFERROR(INDEX(B!$K$2:$K$61,MATCH($J268,B!$E$2:$E$61,0))&amp;"",""))</f>
        <v/>
      </c>
      <c r="T268" s="69">
        <f>IF($J268="","",IFERROR(INDEX(B!$L$2:$L$61,MATCH($J268,B!$E$2:$E$61,0))&amp;"",""))</f>
        <v/>
      </c>
      <c r="U268" s="20" t="n"/>
      <c r="V268" s="70">
        <f>IF($J268="","",IFERROR(INDEX(B!$M$2:$M$61,MATCH($J268,B!$E$2:$E$61,0))&amp;"",""))</f>
        <v/>
      </c>
      <c r="W268" s="71">
        <f>IF(I268="","",IFERROR(MID(I268,FIND("/d/",I268)+3,FIND("/edit",I268)-FIND("/d/",I268)-3),I268))</f>
        <v/>
      </c>
      <c r="X268" s="71">
        <f>IF($J268="","",IFERROR(INDEX(B!$C$2:$C$61,MATCH($J268,B!$E$2:$E$61,0))&amp;"",""))</f>
        <v/>
      </c>
      <c r="Y268" s="20" t="n"/>
      <c r="Z268" s="72">
        <f>IF($J268="",FALSE,ISNUMBER(SEARCH("scout",$K268)))</f>
        <v/>
      </c>
      <c r="AA268" s="72">
        <f>IF($J268="",FALSE,IFERROR(INDEX(B!$N$2:$N$61,MATCH($J268,B!$E$2:$E$61,0))="Sim",FALSE))</f>
        <v/>
      </c>
      <c r="AB268" s="72">
        <f>IF($J268="",FALSE,LEFT($X268,2)="XX")</f>
        <v/>
      </c>
      <c r="AC268" s="72">
        <f>IF($J268="",FALSE,IFERROR(INDEX(B!$P$2:$P$61,MATCH($J268,B!$E$2:$E$61,0))="Sim",FALSE))</f>
        <v/>
      </c>
      <c r="AD268" s="20" t="n"/>
      <c r="AE268" s="52">
        <f>IF(H268="","",HOUR(H268))</f>
        <v/>
      </c>
      <c r="AF268" s="52" t="n"/>
    </row>
    <row r="269" ht="19.5" customHeight="1" s="58">
      <c r="A269" s="62">
        <f>IF(G269="","",IF(G269=G268,"",COUNTIF($G$3:$G$976,G269)))</f>
        <v/>
      </c>
      <c r="B269" s="20" t="n"/>
      <c r="C269" s="63">
        <f>IF(G269="","",DAY(G269))</f>
        <v/>
      </c>
      <c r="D269" s="63">
        <f>IF(G269="","",MONTH(G269))</f>
        <v/>
      </c>
      <c r="E269" s="63">
        <f>IF(G269="","",YEAR(G269))</f>
        <v/>
      </c>
      <c r="F269" s="33">
        <f>IF(G269="","",CHOOSE(MONTH(G269),"Janeiro","Fevereiro","Março","Abril","Maio","Junho","Julho","Agosto","Setembro","Outubro","Novembro","Dezembro"))</f>
        <v/>
      </c>
      <c r="G269" s="64" t="n">
        <v>46061</v>
      </c>
      <c r="H269" s="65" t="n">
        <v>0.1970601851851852</v>
      </c>
      <c r="I269" s="66" t="inlineStr">
        <is>
          <t>https://docs.google.com/spreadsheets/d/1ZiCGoPjLCjuYvujDTXK9Ixbth3tekiLtFBzBrGjPCr4/edit?gid=0#gid=0</t>
        </is>
      </c>
      <c r="J269" s="67" t="inlineStr">
        <is>
          <t>Não houve Taxa de Cancelamento - [NTX]</t>
        </is>
      </c>
      <c r="K269" s="67" t="inlineStr">
        <is>
          <t>Scout</t>
        </is>
      </c>
      <c r="L269" s="68" t="b">
        <v>0</v>
      </c>
      <c r="M269" s="20" t="n"/>
      <c r="N269" s="69">
        <f>IF($J269="","",IFERROR(INDEX(B!$F$2:$F$61,MATCH($J269,B!$E$2:$E$61,0))&amp;"",""))</f>
        <v/>
      </c>
      <c r="O269" s="69">
        <f>IF($J269="","",IFERROR(INDEX(B!$G$2:$G$61,MATCH($J269,B!$E$2:$E$61,0))&amp;"",""))</f>
        <v/>
      </c>
      <c r="P269" s="69">
        <f>IF($J269="","",IFERROR(INDEX(B!$H$2:$H$61,MATCH($J269,B!$E$2:$E$61,0))&amp;"",""))</f>
        <v/>
      </c>
      <c r="Q269" s="69">
        <f>IF($J269="","",IFERROR(INDEX(B!$I$2:$I$61,MATCH($J269,B!$E$2:$E$61,0))&amp;"",""))</f>
        <v/>
      </c>
      <c r="R269" s="69">
        <f>IF($J269="","",IFERROR(INDEX(B!$J$2:$J$61,MATCH($J269,B!$E$2:$E$61,0))&amp;"",""))</f>
        <v/>
      </c>
      <c r="S269" s="69">
        <f>IF($J269="","",IFERROR(INDEX(B!$K$2:$K$61,MATCH($J269,B!$E$2:$E$61,0))&amp;"",""))</f>
        <v/>
      </c>
      <c r="T269" s="69">
        <f>IF($J269="","",IFERROR(INDEX(B!$L$2:$L$61,MATCH($J269,B!$E$2:$E$61,0))&amp;"",""))</f>
        <v/>
      </c>
      <c r="U269" s="20" t="n"/>
      <c r="V269" s="70">
        <f>IF($J269="","",IFERROR(INDEX(B!$M$2:$M$61,MATCH($J269,B!$E$2:$E$61,0))&amp;"",""))</f>
        <v/>
      </c>
      <c r="W269" s="71">
        <f>IF(I269="","",IFERROR(MID(I269,FIND("/d/",I269)+3,FIND("/edit",I269)-FIND("/d/",I269)-3),I269))</f>
        <v/>
      </c>
      <c r="X269" s="71">
        <f>IF($J269="","",IFERROR(INDEX(B!$C$2:$C$61,MATCH($J269,B!$E$2:$E$61,0))&amp;"",""))</f>
        <v/>
      </c>
      <c r="Y269" s="20" t="n"/>
      <c r="Z269" s="72">
        <f>IF($J269="",FALSE,ISNUMBER(SEARCH("scout",$K269)))</f>
        <v/>
      </c>
      <c r="AA269" s="72">
        <f>IF($J269="",FALSE,IFERROR(INDEX(B!$N$2:$N$61,MATCH($J269,B!$E$2:$E$61,0))="Sim",FALSE))</f>
        <v/>
      </c>
      <c r="AB269" s="72">
        <f>IF($J269="",FALSE,LEFT($X269,2)="XX")</f>
        <v/>
      </c>
      <c r="AC269" s="72">
        <f>IF($J269="",FALSE,IFERROR(INDEX(B!$P$2:$P$61,MATCH($J269,B!$E$2:$E$61,0))="Sim",FALSE))</f>
        <v/>
      </c>
      <c r="AD269" s="20" t="n"/>
      <c r="AE269" s="52">
        <f>IF(H269="","",HOUR(H269))</f>
        <v/>
      </c>
      <c r="AF269" s="52" t="n"/>
    </row>
    <row r="270" ht="19.5" customHeight="1" s="58">
      <c r="A270" s="62">
        <f>IF(G270="","",IF(G270=G269,"",COUNTIF($G$3:$G$976,G270)))</f>
        <v/>
      </c>
      <c r="B270" s="20" t="n"/>
      <c r="C270" s="63">
        <f>IF(G270="","",DAY(G270))</f>
        <v/>
      </c>
      <c r="D270" s="63">
        <f>IF(G270="","",MONTH(G270))</f>
        <v/>
      </c>
      <c r="E270" s="63">
        <f>IF(G270="","",YEAR(G270))</f>
        <v/>
      </c>
      <c r="F270" s="33">
        <f>IF(G270="","",CHOOSE(MONTH(G270),"Janeiro","Fevereiro","Março","Abril","Maio","Junho","Julho","Agosto","Setembro","Outubro","Novembro","Dezembro"))</f>
        <v/>
      </c>
      <c r="G270" s="64" t="n">
        <v>46061</v>
      </c>
      <c r="H270" s="65" t="n">
        <v>0.1978703703703704</v>
      </c>
      <c r="I270" s="66" t="inlineStr">
        <is>
          <t>https://docs.google.com/spreadsheets/d/1ZiCGoPjLCjuYvujDTXK9Ixbth3tekiLtFBzBrGjPCr4/edit?gid=0#gid=0</t>
        </is>
      </c>
      <c r="J270" s="67" t="inlineStr">
        <is>
          <t>Overpaid, Não excede o limite, Com comprovante - [OPNC]</t>
        </is>
      </c>
      <c r="K270" s="67" t="inlineStr">
        <is>
          <t>Scout</t>
        </is>
      </c>
      <c r="L270" s="68" t="b">
        <v>0</v>
      </c>
      <c r="M270" s="20" t="n"/>
      <c r="N270" s="69">
        <f>IF($J270="","",IFERROR(INDEX(B!$F$2:$F$61,MATCH($J270,B!$E$2:$E$61,0))&amp;"",""))</f>
        <v/>
      </c>
      <c r="O270" s="69">
        <f>IF($J270="","",IFERROR(INDEX(B!$G$2:$G$61,MATCH($J270,B!$E$2:$E$61,0))&amp;"",""))</f>
        <v/>
      </c>
      <c r="P270" s="69">
        <f>IF($J270="","",IFERROR(INDEX(B!$H$2:$H$61,MATCH($J270,B!$E$2:$E$61,0))&amp;"",""))</f>
        <v/>
      </c>
      <c r="Q270" s="69">
        <f>IF($J270="","",IFERROR(INDEX(B!$I$2:$I$61,MATCH($J270,B!$E$2:$E$61,0))&amp;"",""))</f>
        <v/>
      </c>
      <c r="R270" s="69">
        <f>IF($J270="","",IFERROR(INDEX(B!$J$2:$J$61,MATCH($J270,B!$E$2:$E$61,0))&amp;"",""))</f>
        <v/>
      </c>
      <c r="S270" s="69">
        <f>IF($J270="","",IFERROR(INDEX(B!$K$2:$K$61,MATCH($J270,B!$E$2:$E$61,0))&amp;"",""))</f>
        <v/>
      </c>
      <c r="T270" s="69">
        <f>IF($J270="","",IFERROR(INDEX(B!$L$2:$L$61,MATCH($J270,B!$E$2:$E$61,0))&amp;"",""))</f>
        <v/>
      </c>
      <c r="U270" s="20" t="n"/>
      <c r="V270" s="70">
        <f>IF($J270="","",IFERROR(INDEX(B!$M$2:$M$61,MATCH($J270,B!$E$2:$E$61,0))&amp;"",""))</f>
        <v/>
      </c>
      <c r="W270" s="71">
        <f>IF(I270="","",IFERROR(MID(I270,FIND("/d/",I270)+3,FIND("/edit",I270)-FIND("/d/",I270)-3),I270))</f>
        <v/>
      </c>
      <c r="X270" s="71">
        <f>IF($J270="","",IFERROR(INDEX(B!$C$2:$C$61,MATCH($J270,B!$E$2:$E$61,0))&amp;"",""))</f>
        <v/>
      </c>
      <c r="Y270" s="20" t="n"/>
      <c r="Z270" s="72">
        <f>IF($J270="",FALSE,ISNUMBER(SEARCH("scout",$K270)))</f>
        <v/>
      </c>
      <c r="AA270" s="72">
        <f>IF($J270="",FALSE,IFERROR(INDEX(B!$N$2:$N$61,MATCH($J270,B!$E$2:$E$61,0))="Sim",FALSE))</f>
        <v/>
      </c>
      <c r="AB270" s="72">
        <f>IF($J270="",FALSE,LEFT($X270,2)="XX")</f>
        <v/>
      </c>
      <c r="AC270" s="72">
        <f>IF($J270="",FALSE,IFERROR(INDEX(B!$P$2:$P$61,MATCH($J270,B!$E$2:$E$61,0))="Sim",FALSE))</f>
        <v/>
      </c>
      <c r="AD270" s="20" t="n"/>
      <c r="AE270" s="52">
        <f>IF(H270="","",HOUR(H270))</f>
        <v/>
      </c>
      <c r="AF270" s="52" t="n"/>
    </row>
    <row r="271" ht="19.5" customHeight="1" s="58">
      <c r="A271" s="62">
        <f>IF(G271="","",IF(G271=G270,"",COUNTIF($G$3:$G$976,G271)))</f>
        <v/>
      </c>
      <c r="B271" s="20" t="n"/>
      <c r="C271" s="63">
        <f>IF(G271="","",DAY(G271))</f>
        <v/>
      </c>
      <c r="D271" s="63">
        <f>IF(G271="","",MONTH(G271))</f>
        <v/>
      </c>
      <c r="E271" s="63">
        <f>IF(G271="","",YEAR(G271))</f>
        <v/>
      </c>
      <c r="F271" s="33">
        <f>IF(G271="","",CHOOSE(MONTH(G271),"Janeiro","Fevereiro","Março","Abril","Maio","Junho","Julho","Agosto","Setembro","Outubro","Novembro","Dezembro"))</f>
        <v/>
      </c>
      <c r="G271" s="64" t="n">
        <v>46061</v>
      </c>
      <c r="H271" s="65" t="n">
        <v>0.2029166666666667</v>
      </c>
      <c r="I271" s="66" t="inlineStr">
        <is>
          <t>https://docs.google.com/spreadsheets/d/1ZiCGoPjLCjuYvujDTXK9Ixbth3tekiLtFBzBrGjPCr4/edit?gid=0#gid=0</t>
        </is>
      </c>
      <c r="J271" s="67" t="inlineStr">
        <is>
          <t>Viagem Calculada Incorretamente - [VCI]</t>
        </is>
      </c>
      <c r="K271" s="67" t="inlineStr"/>
      <c r="L271" s="68" t="b">
        <v>0</v>
      </c>
      <c r="M271" s="20" t="n"/>
      <c r="N271" s="69">
        <f>IF($J271="","",IFERROR(INDEX(B!$F$2:$F$61,MATCH($J271,B!$E$2:$E$61,0))&amp;"",""))</f>
        <v/>
      </c>
      <c r="O271" s="69">
        <f>IF($J271="","",IFERROR(INDEX(B!$G$2:$G$61,MATCH($J271,B!$E$2:$E$61,0))&amp;"",""))</f>
        <v/>
      </c>
      <c r="P271" s="69">
        <f>IF($J271="","",IFERROR(INDEX(B!$H$2:$H$61,MATCH($J271,B!$E$2:$E$61,0))&amp;"",""))</f>
        <v/>
      </c>
      <c r="Q271" s="69">
        <f>IF($J271="","",IFERROR(INDEX(B!$I$2:$I$61,MATCH($J271,B!$E$2:$E$61,0))&amp;"",""))</f>
        <v/>
      </c>
      <c r="R271" s="69">
        <f>IF($J271="","",IFERROR(INDEX(B!$J$2:$J$61,MATCH($J271,B!$E$2:$E$61,0))&amp;"",""))</f>
        <v/>
      </c>
      <c r="S271" s="69">
        <f>IF($J271="","",IFERROR(INDEX(B!$K$2:$K$61,MATCH($J271,B!$E$2:$E$61,0))&amp;"",""))</f>
        <v/>
      </c>
      <c r="T271" s="69">
        <f>IF($J271="","",IFERROR(INDEX(B!$L$2:$L$61,MATCH($J271,B!$E$2:$E$61,0))&amp;"",""))</f>
        <v/>
      </c>
      <c r="U271" s="20" t="n"/>
      <c r="V271" s="70">
        <f>IF($J271="","",IFERROR(INDEX(B!$M$2:$M$61,MATCH($J271,B!$E$2:$E$61,0))&amp;"",""))</f>
        <v/>
      </c>
      <c r="W271" s="71">
        <f>IF(I271="","",IFERROR(MID(I271,FIND("/d/",I271)+3,FIND("/edit",I271)-FIND("/d/",I271)-3),I271))</f>
        <v/>
      </c>
      <c r="X271" s="71">
        <f>IF($J271="","",IFERROR(INDEX(B!$C$2:$C$61,MATCH($J271,B!$E$2:$E$61,0))&amp;"",""))</f>
        <v/>
      </c>
      <c r="Y271" s="20" t="n"/>
      <c r="Z271" s="72">
        <f>IF($J271="",FALSE,ISNUMBER(SEARCH("scout",$K271)))</f>
        <v/>
      </c>
      <c r="AA271" s="72">
        <f>IF($J271="",FALSE,IFERROR(INDEX(B!$N$2:$N$61,MATCH($J271,B!$E$2:$E$61,0))="Sim",FALSE))</f>
        <v/>
      </c>
      <c r="AB271" s="72">
        <f>IF($J271="",FALSE,LEFT($X271,2)="XX")</f>
        <v/>
      </c>
      <c r="AC271" s="72">
        <f>IF($J271="",FALSE,IFERROR(INDEX(B!$P$2:$P$61,MATCH($J271,B!$E$2:$E$61,0))="Sim",FALSE))</f>
        <v/>
      </c>
      <c r="AD271" s="20" t="n"/>
      <c r="AE271" s="52">
        <f>IF(H271="","",HOUR(H271))</f>
        <v/>
      </c>
      <c r="AF271" s="52" t="n"/>
    </row>
    <row r="272" ht="19.5" customHeight="1" s="58">
      <c r="A272" s="62">
        <f>IF(G272="","",IF(G272=G271,"",COUNTIF($G$3:$G$976,G272)))</f>
        <v/>
      </c>
      <c r="B272" s="20" t="n"/>
      <c r="C272" s="63">
        <f>IF(G272="","",DAY(G272))</f>
        <v/>
      </c>
      <c r="D272" s="63">
        <f>IF(G272="","",MONTH(G272))</f>
        <v/>
      </c>
      <c r="E272" s="63">
        <f>IF(G272="","",YEAR(G272))</f>
        <v/>
      </c>
      <c r="F272" s="33">
        <f>IF(G272="","",CHOOSE(MONTH(G272),"Janeiro","Fevereiro","Março","Abril","Maio","Junho","Julho","Agosto","Setembro","Outubro","Novembro","Dezembro"))</f>
        <v/>
      </c>
      <c r="G272" s="64" t="n">
        <v>46061</v>
      </c>
      <c r="H272" s="65" t="n">
        <v>0.203900462962963</v>
      </c>
      <c r="I272" s="66" t="inlineStr">
        <is>
          <t>https://docs.google.com/spreadsheets/d/1ZiCGoPjLCjuYvujDTXK9Ixbth3tekiLtFBzBrGjPCr4/edit?gid=0#gid=0</t>
        </is>
      </c>
      <c r="J272" s="67" t="inlineStr">
        <is>
          <t>No Need Response (Não precisa de resposta) - [NRN]</t>
        </is>
      </c>
      <c r="K272" s="67" t="inlineStr">
        <is>
          <t>Scout</t>
        </is>
      </c>
      <c r="L272" s="68" t="b">
        <v>0</v>
      </c>
      <c r="M272" s="20" t="n"/>
      <c r="N272" s="69">
        <f>IF($J272="","",IFERROR(INDEX(B!$F$2:$F$61,MATCH($J272,B!$E$2:$E$61,0))&amp;"",""))</f>
        <v/>
      </c>
      <c r="O272" s="69">
        <f>IF($J272="","",IFERROR(INDEX(B!$G$2:$G$61,MATCH($J272,B!$E$2:$E$61,0))&amp;"",""))</f>
        <v/>
      </c>
      <c r="P272" s="69">
        <f>IF($J272="","",IFERROR(INDEX(B!$H$2:$H$61,MATCH($J272,B!$E$2:$E$61,0))&amp;"",""))</f>
        <v/>
      </c>
      <c r="Q272" s="69">
        <f>IF($J272="","",IFERROR(INDEX(B!$I$2:$I$61,MATCH($J272,B!$E$2:$E$61,0))&amp;"",""))</f>
        <v/>
      </c>
      <c r="R272" s="69">
        <f>IF($J272="","",IFERROR(INDEX(B!$J$2:$J$61,MATCH($J272,B!$E$2:$E$61,0))&amp;"",""))</f>
        <v/>
      </c>
      <c r="S272" s="69">
        <f>IF($J272="","",IFERROR(INDEX(B!$K$2:$K$61,MATCH($J272,B!$E$2:$E$61,0))&amp;"",""))</f>
        <v/>
      </c>
      <c r="T272" s="69">
        <f>IF($J272="","",IFERROR(INDEX(B!$L$2:$L$61,MATCH($J272,B!$E$2:$E$61,0))&amp;"",""))</f>
        <v/>
      </c>
      <c r="U272" s="20" t="n"/>
      <c r="V272" s="70">
        <f>IF($J272="","",IFERROR(INDEX(B!$M$2:$M$61,MATCH($J272,B!$E$2:$E$61,0))&amp;"",""))</f>
        <v/>
      </c>
      <c r="W272" s="71">
        <f>IF(I272="","",IFERROR(MID(I272,FIND("/d/",I272)+3,FIND("/edit",I272)-FIND("/d/",I272)-3),I272))</f>
        <v/>
      </c>
      <c r="X272" s="71">
        <f>IF($J272="","",IFERROR(INDEX(B!$C$2:$C$61,MATCH($J272,B!$E$2:$E$61,0))&amp;"",""))</f>
        <v/>
      </c>
      <c r="Y272" s="20" t="n"/>
      <c r="Z272" s="72">
        <f>IF($J272="",FALSE,ISNUMBER(SEARCH("scout",$K272)))</f>
        <v/>
      </c>
      <c r="AA272" s="72">
        <f>IF($J272="",FALSE,IFERROR(INDEX(B!$N$2:$N$61,MATCH($J272,B!$E$2:$E$61,0))="Sim",FALSE))</f>
        <v/>
      </c>
      <c r="AB272" s="72">
        <f>IF($J272="",FALSE,LEFT($X272,2)="XX")</f>
        <v/>
      </c>
      <c r="AC272" s="72">
        <f>IF($J272="",FALSE,IFERROR(INDEX(B!$P$2:$P$61,MATCH($J272,B!$E$2:$E$61,0))="Sim",FALSE))</f>
        <v/>
      </c>
      <c r="AD272" s="20" t="n"/>
      <c r="AE272" s="52">
        <f>IF(H272="","",HOUR(H272))</f>
        <v/>
      </c>
      <c r="AF272" s="52" t="n"/>
    </row>
    <row r="273" ht="19.5" customHeight="1" s="58">
      <c r="A273" s="62">
        <f>IF(G273="","",IF(G273=G272,"",COUNTIF($G$3:$G$976,G273)))</f>
        <v/>
      </c>
      <c r="B273" s="20" t="n"/>
      <c r="C273" s="63">
        <f>IF(G273="","",DAY(G273))</f>
        <v/>
      </c>
      <c r="D273" s="63">
        <f>IF(G273="","",MONTH(G273))</f>
        <v/>
      </c>
      <c r="E273" s="63">
        <f>IF(G273="","",YEAR(G273))</f>
        <v/>
      </c>
      <c r="F273" s="33">
        <f>IF(G273="","",CHOOSE(MONTH(G273),"Janeiro","Fevereiro","Março","Abril","Maio","Junho","Julho","Agosto","Setembro","Outubro","Novembro","Dezembro"))</f>
        <v/>
      </c>
      <c r="G273" s="64" t="n">
        <v>46061</v>
      </c>
      <c r="H273" s="65" t="n">
        <v>0.2081944444444444</v>
      </c>
      <c r="I273" s="66" t="inlineStr">
        <is>
          <t>https://docs.google.com/spreadsheets/d/1ZiCGoPjLCjuYvujDTXK9Ixbth3tekiLtFBzBrGjPCr4/edit?gid=0#gid=0</t>
        </is>
      </c>
      <c r="J273" s="67" t="inlineStr">
        <is>
          <t>Mais informações Gerais - [AA]</t>
        </is>
      </c>
      <c r="K273" s="67" t="inlineStr"/>
      <c r="L273" s="68" t="b">
        <v>1</v>
      </c>
      <c r="M273" s="20" t="n"/>
      <c r="N273" s="69">
        <f>IF($J273="","",IFERROR(INDEX(B!$F$2:$F$61,MATCH($J273,B!$E$2:$E$61,0))&amp;"",""))</f>
        <v/>
      </c>
      <c r="O273" s="69">
        <f>IF($J273="","",IFERROR(INDEX(B!$G$2:$G$61,MATCH($J273,B!$E$2:$E$61,0))&amp;"",""))</f>
        <v/>
      </c>
      <c r="P273" s="69">
        <f>IF($J273="","",IFERROR(INDEX(B!$H$2:$H$61,MATCH($J273,B!$E$2:$E$61,0))&amp;"",""))</f>
        <v/>
      </c>
      <c r="Q273" s="69">
        <f>IF($J273="","",IFERROR(INDEX(B!$I$2:$I$61,MATCH($J273,B!$E$2:$E$61,0))&amp;"",""))</f>
        <v/>
      </c>
      <c r="R273" s="69">
        <f>IF($J273="","",IFERROR(INDEX(B!$J$2:$J$61,MATCH($J273,B!$E$2:$E$61,0))&amp;"",""))</f>
        <v/>
      </c>
      <c r="S273" s="69">
        <f>IF($J273="","",IFERROR(INDEX(B!$K$2:$K$61,MATCH($J273,B!$E$2:$E$61,0))&amp;"",""))</f>
        <v/>
      </c>
      <c r="T273" s="69">
        <f>IF($J273="","",IFERROR(INDEX(B!$L$2:$L$61,MATCH($J273,B!$E$2:$E$61,0))&amp;"",""))</f>
        <v/>
      </c>
      <c r="U273" s="20" t="n"/>
      <c r="V273" s="70">
        <f>IF($J273="","",IFERROR(INDEX(B!$M$2:$M$61,MATCH($J273,B!$E$2:$E$61,0))&amp;"",""))</f>
        <v/>
      </c>
      <c r="W273" s="71">
        <f>IF(I273="","",IFERROR(MID(I273,FIND("/d/",I273)+3,FIND("/edit",I273)-FIND("/d/",I273)-3),I273))</f>
        <v/>
      </c>
      <c r="X273" s="71">
        <f>IF($J273="","",IFERROR(INDEX(B!$C$2:$C$61,MATCH($J273,B!$E$2:$E$61,0))&amp;"",""))</f>
        <v/>
      </c>
      <c r="Y273" s="20" t="n"/>
      <c r="Z273" s="72">
        <f>IF($J273="",FALSE,ISNUMBER(SEARCH("scout",$K273)))</f>
        <v/>
      </c>
      <c r="AA273" s="72">
        <f>IF($J273="",FALSE,IFERROR(INDEX(B!$N$2:$N$61,MATCH($J273,B!$E$2:$E$61,0))="Sim",FALSE))</f>
        <v/>
      </c>
      <c r="AB273" s="72">
        <f>IF($J273="",FALSE,LEFT($X273,2)="XX")</f>
        <v/>
      </c>
      <c r="AC273" s="72">
        <f>IF($J273="",FALSE,IFERROR(INDEX(B!$P$2:$P$61,MATCH($J273,B!$E$2:$E$61,0))="Sim",FALSE))</f>
        <v/>
      </c>
      <c r="AD273" s="20" t="n"/>
      <c r="AE273" s="52">
        <f>IF(H273="","",HOUR(H273))</f>
        <v/>
      </c>
      <c r="AF273" s="52" t="n"/>
    </row>
    <row r="274" ht="19.5" customHeight="1" s="58">
      <c r="A274" s="62">
        <f>IF(G274="","",IF(G274=G273,"",COUNTIF($G$3:$G$976,G274)))</f>
        <v/>
      </c>
      <c r="B274" s="20" t="n"/>
      <c r="C274" s="63">
        <f>IF(G274="","",DAY(G274))</f>
        <v/>
      </c>
      <c r="D274" s="63">
        <f>IF(G274="","",MONTH(G274))</f>
        <v/>
      </c>
      <c r="E274" s="63">
        <f>IF(G274="","",YEAR(G274))</f>
        <v/>
      </c>
      <c r="F274" s="33">
        <f>IF(G274="","",CHOOSE(MONTH(G274),"Janeiro","Fevereiro","Março","Abril","Maio","Junho","Julho","Agosto","Setembro","Outubro","Novembro","Dezembro"))</f>
        <v/>
      </c>
      <c r="G274" s="64" t="n">
        <v>46061</v>
      </c>
      <c r="H274" s="65" t="n">
        <v>0.2153240740740741</v>
      </c>
      <c r="I274" s="66" t="inlineStr">
        <is>
          <t>https://docs.google.com/spreadsheets/d/1ZiCGoPjLCjuYvujDTXK9Ixbth3tekiLtFBzBrGjPCr4/edit?gid=0#gid=0</t>
        </is>
      </c>
      <c r="J274" s="67" t="inlineStr">
        <is>
          <t>Pushback (Agradecimento) - [XXA]</t>
        </is>
      </c>
      <c r="K274" s="67" t="inlineStr"/>
      <c r="L274" s="68" t="b">
        <v>0</v>
      </c>
      <c r="M274" s="20" t="n"/>
      <c r="N274" s="69">
        <f>IF($J274="","",IFERROR(INDEX(B!$F$2:$F$61,MATCH($J274,B!$E$2:$E$61,0))&amp;"",""))</f>
        <v/>
      </c>
      <c r="O274" s="69">
        <f>IF($J274="","",IFERROR(INDEX(B!$G$2:$G$61,MATCH($J274,B!$E$2:$E$61,0))&amp;"",""))</f>
        <v/>
      </c>
      <c r="P274" s="69">
        <f>IF($J274="","",IFERROR(INDEX(B!$H$2:$H$61,MATCH($J274,B!$E$2:$E$61,0))&amp;"",""))</f>
        <v/>
      </c>
      <c r="Q274" s="69">
        <f>IF($J274="","",IFERROR(INDEX(B!$I$2:$I$61,MATCH($J274,B!$E$2:$E$61,0))&amp;"",""))</f>
        <v/>
      </c>
      <c r="R274" s="69">
        <f>IF($J274="","",IFERROR(INDEX(B!$J$2:$J$61,MATCH($J274,B!$E$2:$E$61,0))&amp;"",""))</f>
        <v/>
      </c>
      <c r="S274" s="69">
        <f>IF($J274="","",IFERROR(INDEX(B!$K$2:$K$61,MATCH($J274,B!$E$2:$E$61,0))&amp;"",""))</f>
        <v/>
      </c>
      <c r="T274" s="69">
        <f>IF($J274="","",IFERROR(INDEX(B!$L$2:$L$61,MATCH($J274,B!$E$2:$E$61,0))&amp;"",""))</f>
        <v/>
      </c>
      <c r="U274" s="20" t="n"/>
      <c r="V274" s="70">
        <f>IF($J274="","",IFERROR(INDEX(B!$M$2:$M$61,MATCH($J274,B!$E$2:$E$61,0))&amp;"",""))</f>
        <v/>
      </c>
      <c r="W274" s="71">
        <f>IF(I274="","",IFERROR(MID(I274,FIND("/d/",I274)+3,FIND("/edit",I274)-FIND("/d/",I274)-3),I274))</f>
        <v/>
      </c>
      <c r="X274" s="71">
        <f>IF($J274="","",IFERROR(INDEX(B!$C$2:$C$61,MATCH($J274,B!$E$2:$E$61,0))&amp;"",""))</f>
        <v/>
      </c>
      <c r="Y274" s="20" t="n"/>
      <c r="Z274" s="72">
        <f>IF($J274="",FALSE,ISNUMBER(SEARCH("scout",$K274)))</f>
        <v/>
      </c>
      <c r="AA274" s="72">
        <f>IF($J274="",FALSE,IFERROR(INDEX(B!$N$2:$N$61,MATCH($J274,B!$E$2:$E$61,0))="Sim",FALSE))</f>
        <v/>
      </c>
      <c r="AB274" s="72">
        <f>IF($J274="",FALSE,LEFT($X274,2)="XX")</f>
        <v/>
      </c>
      <c r="AC274" s="72">
        <f>IF($J274="",FALSE,IFERROR(INDEX(B!$P$2:$P$61,MATCH($J274,B!$E$2:$E$61,0))="Sim",FALSE))</f>
        <v/>
      </c>
      <c r="AD274" s="20" t="n"/>
      <c r="AE274" s="52">
        <f>IF(H274="","",HOUR(H274))</f>
        <v/>
      </c>
      <c r="AF274" s="52" t="n"/>
    </row>
    <row r="275" ht="19.5" customHeight="1" s="58">
      <c r="A275" s="62">
        <f>IF(G275="","",IF(G275=G274,"",COUNTIF($G$3:$G$976,G275)))</f>
        <v/>
      </c>
      <c r="B275" s="20" t="n"/>
      <c r="C275" s="63">
        <f>IF(G275="","",DAY(G275))</f>
        <v/>
      </c>
      <c r="D275" s="63">
        <f>IF(G275="","",MONTH(G275))</f>
        <v/>
      </c>
      <c r="E275" s="63">
        <f>IF(G275="","",YEAR(G275))</f>
        <v/>
      </c>
      <c r="F275" s="33">
        <f>IF(G275="","",CHOOSE(MONTH(G275),"Janeiro","Fevereiro","Março","Abril","Maio","Junho","Julho","Agosto","Setembro","Outubro","Novembro","Dezembro"))</f>
        <v/>
      </c>
      <c r="G275" s="64" t="n">
        <v>46061</v>
      </c>
      <c r="H275" s="65" t="n">
        <v>0.2172685185185185</v>
      </c>
      <c r="I275" s="66" t="inlineStr">
        <is>
          <t>https://docs.google.com/spreadsheets/d/1ZiCGoPjLCjuYvujDTXK9Ixbth3tekiLtFBzBrGjPCr4/edit?gid=0#gid=0</t>
        </is>
      </c>
      <c r="J275" s="67" t="inlineStr">
        <is>
          <t>Taxa de Limpeza - [TXL]</t>
        </is>
      </c>
      <c r="K275" s="67" t="inlineStr"/>
      <c r="L275" s="68" t="b">
        <v>0</v>
      </c>
      <c r="M275" s="20" t="n"/>
      <c r="N275" s="69">
        <f>IF($J275="","",IFERROR(INDEX(B!$F$2:$F$61,MATCH($J275,B!$E$2:$E$61,0))&amp;"",""))</f>
        <v/>
      </c>
      <c r="O275" s="69">
        <f>IF($J275="","",IFERROR(INDEX(B!$G$2:$G$61,MATCH($J275,B!$E$2:$E$61,0))&amp;"",""))</f>
        <v/>
      </c>
      <c r="P275" s="69">
        <f>IF($J275="","",IFERROR(INDEX(B!$H$2:$H$61,MATCH($J275,B!$E$2:$E$61,0))&amp;"",""))</f>
        <v/>
      </c>
      <c r="Q275" s="69">
        <f>IF($J275="","",IFERROR(INDEX(B!$I$2:$I$61,MATCH($J275,B!$E$2:$E$61,0))&amp;"",""))</f>
        <v/>
      </c>
      <c r="R275" s="69">
        <f>IF($J275="","",IFERROR(INDEX(B!$J$2:$J$61,MATCH($J275,B!$E$2:$E$61,0))&amp;"",""))</f>
        <v/>
      </c>
      <c r="S275" s="69">
        <f>IF($J275="","",IFERROR(INDEX(B!$K$2:$K$61,MATCH($J275,B!$E$2:$E$61,0))&amp;"",""))</f>
        <v/>
      </c>
      <c r="T275" s="69">
        <f>IF($J275="","",IFERROR(INDEX(B!$L$2:$L$61,MATCH($J275,B!$E$2:$E$61,0))&amp;"",""))</f>
        <v/>
      </c>
      <c r="U275" s="20" t="n"/>
      <c r="V275" s="70">
        <f>IF($J275="","",IFERROR(INDEX(B!$M$2:$M$61,MATCH($J275,B!$E$2:$E$61,0))&amp;"",""))</f>
        <v/>
      </c>
      <c r="W275" s="71">
        <f>IF(I275="","",IFERROR(MID(I275,FIND("/d/",I275)+3,FIND("/edit",I275)-FIND("/d/",I275)-3),I275))</f>
        <v/>
      </c>
      <c r="X275" s="71">
        <f>IF($J275="","",IFERROR(INDEX(B!$C$2:$C$61,MATCH($J275,B!$E$2:$E$61,0))&amp;"",""))</f>
        <v/>
      </c>
      <c r="Y275" s="20" t="n"/>
      <c r="Z275" s="72">
        <f>IF($J275="",FALSE,ISNUMBER(SEARCH("scout",$K275)))</f>
        <v/>
      </c>
      <c r="AA275" s="72">
        <f>IF($J275="",FALSE,IFERROR(INDEX(B!$N$2:$N$61,MATCH($J275,B!$E$2:$E$61,0))="Sim",FALSE))</f>
        <v/>
      </c>
      <c r="AB275" s="72">
        <f>IF($J275="",FALSE,LEFT($X275,2)="XX")</f>
        <v/>
      </c>
      <c r="AC275" s="72">
        <f>IF($J275="",FALSE,IFERROR(INDEX(B!$P$2:$P$61,MATCH($J275,B!$E$2:$E$61,0))="Sim",FALSE))</f>
        <v/>
      </c>
      <c r="AD275" s="20" t="n"/>
      <c r="AE275" s="52">
        <f>IF(H275="","",HOUR(H275))</f>
        <v/>
      </c>
      <c r="AF275" s="52" t="n"/>
    </row>
    <row r="276" ht="19.5" customHeight="1" s="58">
      <c r="A276" s="62">
        <f>IF(G276="","",IF(G276=G275,"",COUNTIF($G$3:$G$976,G276)))</f>
        <v/>
      </c>
      <c r="B276" s="20" t="n"/>
      <c r="C276" s="63">
        <f>IF(G276="","",DAY(G276))</f>
        <v/>
      </c>
      <c r="D276" s="63">
        <f>IF(G276="","",MONTH(G276))</f>
        <v/>
      </c>
      <c r="E276" s="63">
        <f>IF(G276="","",YEAR(G276))</f>
        <v/>
      </c>
      <c r="F276" s="33">
        <f>IF(G276="","",CHOOSE(MONTH(G276),"Janeiro","Fevereiro","Março","Abril","Maio","Junho","Julho","Agosto","Setembro","Outubro","Novembro","Dezembro"))</f>
        <v/>
      </c>
      <c r="G276" s="64" t="n">
        <v>46061</v>
      </c>
      <c r="H276" s="65" t="n">
        <v>0.2194212962962963</v>
      </c>
      <c r="I276" s="66" t="inlineStr">
        <is>
          <t>https://docs.google.com/spreadsheets/d/1ZiCGoPjLCjuYvujDTXK9Ixbth3tekiLtFBzBrGjPCr4/edit?gid=0#gid=0</t>
        </is>
      </c>
      <c r="J276" s="67" t="inlineStr">
        <is>
          <t>Transferência de LOB (Driver) - [TIDV]</t>
        </is>
      </c>
      <c r="K276" s="67" t="inlineStr">
        <is>
          <t>Scout</t>
        </is>
      </c>
      <c r="L276" s="68" t="b">
        <v>0</v>
      </c>
      <c r="M276" s="20" t="n"/>
      <c r="N276" s="69">
        <f>IF($J276="","",IFERROR(INDEX(B!$F$2:$F$61,MATCH($J276,B!$E$2:$E$61,0))&amp;"",""))</f>
        <v/>
      </c>
      <c r="O276" s="69">
        <f>IF($J276="","",IFERROR(INDEX(B!$G$2:$G$61,MATCH($J276,B!$E$2:$E$61,0))&amp;"",""))</f>
        <v/>
      </c>
      <c r="P276" s="69">
        <f>IF($J276="","",IFERROR(INDEX(B!$H$2:$H$61,MATCH($J276,B!$E$2:$E$61,0))&amp;"",""))</f>
        <v/>
      </c>
      <c r="Q276" s="69">
        <f>IF($J276="","",IFERROR(INDEX(B!$I$2:$I$61,MATCH($J276,B!$E$2:$E$61,0))&amp;"",""))</f>
        <v/>
      </c>
      <c r="R276" s="69">
        <f>IF($J276="","",IFERROR(INDEX(B!$J$2:$J$61,MATCH($J276,B!$E$2:$E$61,0))&amp;"",""))</f>
        <v/>
      </c>
      <c r="S276" s="69">
        <f>IF($J276="","",IFERROR(INDEX(B!$K$2:$K$61,MATCH($J276,B!$E$2:$E$61,0))&amp;"",""))</f>
        <v/>
      </c>
      <c r="T276" s="69">
        <f>IF($J276="","",IFERROR(INDEX(B!$L$2:$L$61,MATCH($J276,B!$E$2:$E$61,0))&amp;"",""))</f>
        <v/>
      </c>
      <c r="U276" s="20" t="n"/>
      <c r="V276" s="70">
        <f>IF($J276="","",IFERROR(INDEX(B!$M$2:$M$61,MATCH($J276,B!$E$2:$E$61,0))&amp;"",""))</f>
        <v/>
      </c>
      <c r="W276" s="71">
        <f>IF(I276="","",IFERROR(MID(I276,FIND("/d/",I276)+3,FIND("/edit",I276)-FIND("/d/",I276)-3),I276))</f>
        <v/>
      </c>
      <c r="X276" s="71">
        <f>IF($J276="","",IFERROR(INDEX(B!$C$2:$C$61,MATCH($J276,B!$E$2:$E$61,0))&amp;"",""))</f>
        <v/>
      </c>
      <c r="Y276" s="20" t="n"/>
      <c r="Z276" s="72">
        <f>IF($J276="",FALSE,ISNUMBER(SEARCH("scout",$K276)))</f>
        <v/>
      </c>
      <c r="AA276" s="72">
        <f>IF($J276="",FALSE,IFERROR(INDEX(B!$N$2:$N$61,MATCH($J276,B!$E$2:$E$61,0))="Sim",FALSE))</f>
        <v/>
      </c>
      <c r="AB276" s="72">
        <f>IF($J276="",FALSE,LEFT($X276,2)="XX")</f>
        <v/>
      </c>
      <c r="AC276" s="72">
        <f>IF($J276="",FALSE,IFERROR(INDEX(B!$P$2:$P$61,MATCH($J276,B!$E$2:$E$61,0))="Sim",FALSE))</f>
        <v/>
      </c>
      <c r="AD276" s="20" t="n"/>
      <c r="AE276" s="52">
        <f>IF(H276="","",HOUR(H276))</f>
        <v/>
      </c>
      <c r="AF276" s="52" t="n"/>
    </row>
    <row r="277" ht="19.5" customHeight="1" s="58">
      <c r="A277" s="62">
        <f>IF(G277="","",IF(G277=G276,"",COUNTIF($G$3:$G$976,G277)))</f>
        <v/>
      </c>
      <c r="B277" s="20" t="n"/>
      <c r="C277" s="63">
        <f>IF(G277="","",DAY(G277))</f>
        <v/>
      </c>
      <c r="D277" s="63">
        <f>IF(G277="","",MONTH(G277))</f>
        <v/>
      </c>
      <c r="E277" s="63">
        <f>IF(G277="","",YEAR(G277))</f>
        <v/>
      </c>
      <c r="F277" s="33">
        <f>IF(G277="","",CHOOSE(MONTH(G277),"Janeiro","Fevereiro","Março","Abril","Maio","Junho","Julho","Agosto","Setembro","Outubro","Novembro","Dezembro"))</f>
        <v/>
      </c>
      <c r="G277" s="64" t="n">
        <v>46061</v>
      </c>
      <c r="H277" s="65" t="n">
        <v>0.2252662037037037</v>
      </c>
      <c r="I277" s="66" t="inlineStr">
        <is>
          <t>https://docs.google.com/spreadsheets/d/1ZiCGoPjLCjuYvujDTXK9Ixbth3tekiLtFBzBrGjPCr4/edit?gid=0#gid=0</t>
        </is>
      </c>
      <c r="J277" s="67" t="inlineStr">
        <is>
          <t>Taxa de Limpeza, Reembolsado ao cliente - [TXLR]</t>
        </is>
      </c>
      <c r="K277" s="67" t="inlineStr">
        <is>
          <t>Scout</t>
        </is>
      </c>
      <c r="L277" s="68" t="b">
        <v>0</v>
      </c>
      <c r="M277" s="20" t="n"/>
      <c r="N277" s="69">
        <f>IF($J277="","",IFERROR(INDEX(B!$F$2:$F$61,MATCH($J277,B!$E$2:$E$61,0))&amp;"",""))</f>
        <v/>
      </c>
      <c r="O277" s="69">
        <f>IF($J277="","",IFERROR(INDEX(B!$G$2:$G$61,MATCH($J277,B!$E$2:$E$61,0))&amp;"",""))</f>
        <v/>
      </c>
      <c r="P277" s="69">
        <f>IF($J277="","",IFERROR(INDEX(B!$H$2:$H$61,MATCH($J277,B!$E$2:$E$61,0))&amp;"",""))</f>
        <v/>
      </c>
      <c r="Q277" s="69">
        <f>IF($J277="","",IFERROR(INDEX(B!$I$2:$I$61,MATCH($J277,B!$E$2:$E$61,0))&amp;"",""))</f>
        <v/>
      </c>
      <c r="R277" s="69">
        <f>IF($J277="","",IFERROR(INDEX(B!$J$2:$J$61,MATCH($J277,B!$E$2:$E$61,0))&amp;"",""))</f>
        <v/>
      </c>
      <c r="S277" s="69">
        <f>IF($J277="","",IFERROR(INDEX(B!$K$2:$K$61,MATCH($J277,B!$E$2:$E$61,0))&amp;"",""))</f>
        <v/>
      </c>
      <c r="T277" s="69">
        <f>IF($J277="","",IFERROR(INDEX(B!$L$2:$L$61,MATCH($J277,B!$E$2:$E$61,0))&amp;"",""))</f>
        <v/>
      </c>
      <c r="U277" s="20" t="n"/>
      <c r="V277" s="70">
        <f>IF($J277="","",IFERROR(INDEX(B!$M$2:$M$61,MATCH($J277,B!$E$2:$E$61,0))&amp;"",""))</f>
        <v/>
      </c>
      <c r="W277" s="71">
        <f>IF(I277="","",IFERROR(MID(I277,FIND("/d/",I277)+3,FIND("/edit",I277)-FIND("/d/",I277)-3),I277))</f>
        <v/>
      </c>
      <c r="X277" s="71">
        <f>IF($J277="","",IFERROR(INDEX(B!$C$2:$C$61,MATCH($J277,B!$E$2:$E$61,0))&amp;"",""))</f>
        <v/>
      </c>
      <c r="Y277" s="20" t="n"/>
      <c r="Z277" s="72">
        <f>IF($J277="",FALSE,ISNUMBER(SEARCH("scout",$K277)))</f>
        <v/>
      </c>
      <c r="AA277" s="72">
        <f>IF($J277="",FALSE,IFERROR(INDEX(B!$N$2:$N$61,MATCH($J277,B!$E$2:$E$61,0))="Sim",FALSE))</f>
        <v/>
      </c>
      <c r="AB277" s="72">
        <f>IF($J277="",FALSE,LEFT($X277,2)="XX")</f>
        <v/>
      </c>
      <c r="AC277" s="72">
        <f>IF($J277="",FALSE,IFERROR(INDEX(B!$P$2:$P$61,MATCH($J277,B!$E$2:$E$61,0))="Sim",FALSE))</f>
        <v/>
      </c>
      <c r="AD277" s="20" t="n"/>
      <c r="AE277" s="52">
        <f>IF(H277="","",HOUR(H277))</f>
        <v/>
      </c>
      <c r="AF277" s="52" t="n"/>
    </row>
    <row r="278" ht="19.5" customHeight="1" s="58">
      <c r="A278" s="62">
        <f>IF(G278="","",IF(G278=G277,"",COUNTIF($G$3:$G$976,G278)))</f>
        <v/>
      </c>
      <c r="B278" s="20" t="n"/>
      <c r="C278" s="63">
        <f>IF(G278="","",DAY(G278))</f>
        <v/>
      </c>
      <c r="D278" s="63">
        <f>IF(G278="","",MONTH(G278))</f>
        <v/>
      </c>
      <c r="E278" s="63">
        <f>IF(G278="","",YEAR(G278))</f>
        <v/>
      </c>
      <c r="F278" s="33">
        <f>IF(G278="","",CHOOSE(MONTH(G278),"Janeiro","Fevereiro","Março","Abril","Maio","Junho","Julho","Agosto","Setembro","Outubro","Novembro","Dezembro"))</f>
        <v/>
      </c>
      <c r="G278" s="64" t="n">
        <v>46061</v>
      </c>
      <c r="H278" s="65" t="n">
        <v>0.22625</v>
      </c>
      <c r="I278" s="66" t="inlineStr">
        <is>
          <t>https://docs.google.com/spreadsheets/d/1ZiCGoPjLCjuYvujDTXK9Ixbth3tekiLtFBzBrGjPCr4/edit?gid=0#gid=0</t>
        </is>
      </c>
      <c r="J278" s="67" t="inlineStr">
        <is>
          <t>Taxa de Limpeza - [TXL]</t>
        </is>
      </c>
      <c r="K278" s="67" t="inlineStr">
        <is>
          <t>Scout</t>
        </is>
      </c>
      <c r="L278" s="68" t="b">
        <v>0</v>
      </c>
      <c r="M278" s="20" t="n"/>
      <c r="N278" s="69">
        <f>IF($J278="","",IFERROR(INDEX(B!$F$2:$F$61,MATCH($J278,B!$E$2:$E$61,0))&amp;"",""))</f>
        <v/>
      </c>
      <c r="O278" s="69">
        <f>IF($J278="","",IFERROR(INDEX(B!$G$2:$G$61,MATCH($J278,B!$E$2:$E$61,0))&amp;"",""))</f>
        <v/>
      </c>
      <c r="P278" s="69">
        <f>IF($J278="","",IFERROR(INDEX(B!$H$2:$H$61,MATCH($J278,B!$E$2:$E$61,0))&amp;"",""))</f>
        <v/>
      </c>
      <c r="Q278" s="69">
        <f>IF($J278="","",IFERROR(INDEX(B!$I$2:$I$61,MATCH($J278,B!$E$2:$E$61,0))&amp;"",""))</f>
        <v/>
      </c>
      <c r="R278" s="69">
        <f>IF($J278="","",IFERROR(INDEX(B!$J$2:$J$61,MATCH($J278,B!$E$2:$E$61,0))&amp;"",""))</f>
        <v/>
      </c>
      <c r="S278" s="69">
        <f>IF($J278="","",IFERROR(INDEX(B!$K$2:$K$61,MATCH($J278,B!$E$2:$E$61,0))&amp;"",""))</f>
        <v/>
      </c>
      <c r="T278" s="69">
        <f>IF($J278="","",IFERROR(INDEX(B!$L$2:$L$61,MATCH($J278,B!$E$2:$E$61,0))&amp;"",""))</f>
        <v/>
      </c>
      <c r="U278" s="20" t="n"/>
      <c r="V278" s="70">
        <f>IF($J278="","",IFERROR(INDEX(B!$M$2:$M$61,MATCH($J278,B!$E$2:$E$61,0))&amp;"",""))</f>
        <v/>
      </c>
      <c r="W278" s="71">
        <f>IF(I278="","",IFERROR(MID(I278,FIND("/d/",I278)+3,FIND("/edit",I278)-FIND("/d/",I278)-3),I278))</f>
        <v/>
      </c>
      <c r="X278" s="71">
        <f>IF($J278="","",IFERROR(INDEX(B!$C$2:$C$61,MATCH($J278,B!$E$2:$E$61,0))&amp;"",""))</f>
        <v/>
      </c>
      <c r="Y278" s="20" t="n"/>
      <c r="Z278" s="72">
        <f>IF($J278="",FALSE,ISNUMBER(SEARCH("scout",$K278)))</f>
        <v/>
      </c>
      <c r="AA278" s="72">
        <f>IF($J278="",FALSE,IFERROR(INDEX(B!$N$2:$N$61,MATCH($J278,B!$E$2:$E$61,0))="Sim",FALSE))</f>
        <v/>
      </c>
      <c r="AB278" s="72">
        <f>IF($J278="",FALSE,LEFT($X278,2)="XX")</f>
        <v/>
      </c>
      <c r="AC278" s="72">
        <f>IF($J278="",FALSE,IFERROR(INDEX(B!$P$2:$P$61,MATCH($J278,B!$E$2:$E$61,0))="Sim",FALSE))</f>
        <v/>
      </c>
      <c r="AD278" s="20" t="n"/>
      <c r="AE278" s="52">
        <f>IF(H278="","",HOUR(H278))</f>
        <v/>
      </c>
      <c r="AF278" s="52" t="n"/>
    </row>
    <row r="279" ht="19.5" customHeight="1" s="58">
      <c r="A279" s="62">
        <f>IF(G279="","",IF(G279=G278,"",COUNTIF($G$3:$G$976,G279)))</f>
        <v/>
      </c>
      <c r="B279" s="20" t="n"/>
      <c r="C279" s="63">
        <f>IF(G279="","",DAY(G279))</f>
        <v/>
      </c>
      <c r="D279" s="63">
        <f>IF(G279="","",MONTH(G279))</f>
        <v/>
      </c>
      <c r="E279" s="63">
        <f>IF(G279="","",YEAR(G279))</f>
        <v/>
      </c>
      <c r="F279" s="33">
        <f>IF(G279="","",CHOOSE(MONTH(G279),"Janeiro","Fevereiro","Março","Abril","Maio","Junho","Julho","Agosto","Setembro","Outubro","Novembro","Dezembro"))</f>
        <v/>
      </c>
      <c r="G279" s="64" t="n">
        <v>46061</v>
      </c>
      <c r="H279" s="65" t="n">
        <v>0.2344675925925926</v>
      </c>
      <c r="I279" s="66" t="inlineStr">
        <is>
          <t>https://docs.google.com/spreadsheets/d/1ZiCGoPjLCjuYvujDTXK9Ixbth3tekiLtFBzBrGjPCr4/edit?gid=0#gid=0</t>
        </is>
      </c>
      <c r="J279" s="67" t="inlineStr">
        <is>
          <t>Taxa de Limpeza, Sem ajustes - [TXLO]</t>
        </is>
      </c>
      <c r="K279" s="67" t="inlineStr">
        <is>
          <t>Scout</t>
        </is>
      </c>
      <c r="L279" s="68" t="b">
        <v>0</v>
      </c>
      <c r="M279" s="20" t="n"/>
      <c r="N279" s="69">
        <f>IF($J279="","",IFERROR(INDEX(B!$F$2:$F$61,MATCH($J279,B!$E$2:$E$61,0))&amp;"",""))</f>
        <v/>
      </c>
      <c r="O279" s="69">
        <f>IF($J279="","",IFERROR(INDEX(B!$G$2:$G$61,MATCH($J279,B!$E$2:$E$61,0))&amp;"",""))</f>
        <v/>
      </c>
      <c r="P279" s="69">
        <f>IF($J279="","",IFERROR(INDEX(B!$H$2:$H$61,MATCH($J279,B!$E$2:$E$61,0))&amp;"",""))</f>
        <v/>
      </c>
      <c r="Q279" s="69">
        <f>IF($J279="","",IFERROR(INDEX(B!$I$2:$I$61,MATCH($J279,B!$E$2:$E$61,0))&amp;"",""))</f>
        <v/>
      </c>
      <c r="R279" s="69">
        <f>IF($J279="","",IFERROR(INDEX(B!$J$2:$J$61,MATCH($J279,B!$E$2:$E$61,0))&amp;"",""))</f>
        <v/>
      </c>
      <c r="S279" s="69">
        <f>IF($J279="","",IFERROR(INDEX(B!$K$2:$K$61,MATCH($J279,B!$E$2:$E$61,0))&amp;"",""))</f>
        <v/>
      </c>
      <c r="T279" s="69">
        <f>IF($J279="","",IFERROR(INDEX(B!$L$2:$L$61,MATCH($J279,B!$E$2:$E$61,0))&amp;"",""))</f>
        <v/>
      </c>
      <c r="U279" s="20" t="n"/>
      <c r="V279" s="70">
        <f>IF($J279="","",IFERROR(INDEX(B!$M$2:$M$61,MATCH($J279,B!$E$2:$E$61,0))&amp;"",""))</f>
        <v/>
      </c>
      <c r="W279" s="71">
        <f>IF(I279="","",IFERROR(MID(I279,FIND("/d/",I279)+3,FIND("/edit",I279)-FIND("/d/",I279)-3),I279))</f>
        <v/>
      </c>
      <c r="X279" s="71">
        <f>IF($J279="","",IFERROR(INDEX(B!$C$2:$C$61,MATCH($J279,B!$E$2:$E$61,0))&amp;"",""))</f>
        <v/>
      </c>
      <c r="Y279" s="20" t="n"/>
      <c r="Z279" s="72">
        <f>IF($J279="",FALSE,ISNUMBER(SEARCH("scout",$K279)))</f>
        <v/>
      </c>
      <c r="AA279" s="72">
        <f>IF($J279="",FALSE,IFERROR(INDEX(B!$N$2:$N$61,MATCH($J279,B!$E$2:$E$61,0))="Sim",FALSE))</f>
        <v/>
      </c>
      <c r="AB279" s="72">
        <f>IF($J279="",FALSE,LEFT($X279,2)="XX")</f>
        <v/>
      </c>
      <c r="AC279" s="72">
        <f>IF($J279="",FALSE,IFERROR(INDEX(B!$P$2:$P$61,MATCH($J279,B!$E$2:$E$61,0))="Sim",FALSE))</f>
        <v/>
      </c>
      <c r="AD279" s="20" t="n"/>
      <c r="AE279" s="52">
        <f>IF(H279="","",HOUR(H279))</f>
        <v/>
      </c>
      <c r="AF279" s="52" t="n"/>
    </row>
    <row r="280" ht="19.5" customHeight="1" s="58">
      <c r="A280" s="62">
        <f>IF(G280="","",IF(G280=G279,"",COUNTIF($G$3:$G$976,G280)))</f>
        <v/>
      </c>
      <c r="B280" s="20" t="n"/>
      <c r="C280" s="63">
        <f>IF(G280="","",DAY(G280))</f>
        <v/>
      </c>
      <c r="D280" s="63">
        <f>IF(G280="","",MONTH(G280))</f>
        <v/>
      </c>
      <c r="E280" s="63">
        <f>IF(G280="","",YEAR(G280))</f>
        <v/>
      </c>
      <c r="F280" s="33">
        <f>IF(G280="","",CHOOSE(MONTH(G280),"Janeiro","Fevereiro","Março","Abril","Maio","Junho","Julho","Agosto","Setembro","Outubro","Novembro","Dezembro"))</f>
        <v/>
      </c>
      <c r="G280" s="64" t="n">
        <v>46061</v>
      </c>
      <c r="H280" s="65" t="n">
        <v>0.2353472222222222</v>
      </c>
      <c r="I280" s="66" t="inlineStr">
        <is>
          <t>https://docs.google.com/spreadsheets/d/1ZiCGoPjLCjuYvujDTXK9Ixbth3tekiLtFBzBrGjPCr4/edit?gid=0#gid=0</t>
        </is>
      </c>
      <c r="J280" s="67" t="inlineStr">
        <is>
          <t>Overpaid, Não excede o limite, Sem comprovante - [OPNN]</t>
        </is>
      </c>
      <c r="K280" s="67" t="inlineStr"/>
      <c r="L280" s="68" t="b">
        <v>0</v>
      </c>
      <c r="M280" s="20" t="n"/>
      <c r="N280" s="69">
        <f>IF($J280="","",IFERROR(INDEX(B!$F$2:$F$61,MATCH($J280,B!$E$2:$E$61,0))&amp;"",""))</f>
        <v/>
      </c>
      <c r="O280" s="69">
        <f>IF($J280="","",IFERROR(INDEX(B!$G$2:$G$61,MATCH($J280,B!$E$2:$E$61,0))&amp;"",""))</f>
        <v/>
      </c>
      <c r="P280" s="69">
        <f>IF($J280="","",IFERROR(INDEX(B!$H$2:$H$61,MATCH($J280,B!$E$2:$E$61,0))&amp;"",""))</f>
        <v/>
      </c>
      <c r="Q280" s="69">
        <f>IF($J280="","",IFERROR(INDEX(B!$I$2:$I$61,MATCH($J280,B!$E$2:$E$61,0))&amp;"",""))</f>
        <v/>
      </c>
      <c r="R280" s="69">
        <f>IF($J280="","",IFERROR(INDEX(B!$J$2:$J$61,MATCH($J280,B!$E$2:$E$61,0))&amp;"",""))</f>
        <v/>
      </c>
      <c r="S280" s="69">
        <f>IF($J280="","",IFERROR(INDEX(B!$K$2:$K$61,MATCH($J280,B!$E$2:$E$61,0))&amp;"",""))</f>
        <v/>
      </c>
      <c r="T280" s="69">
        <f>IF($J280="","",IFERROR(INDEX(B!$L$2:$L$61,MATCH($J280,B!$E$2:$E$61,0))&amp;"",""))</f>
        <v/>
      </c>
      <c r="U280" s="20" t="n"/>
      <c r="V280" s="70">
        <f>IF($J280="","",IFERROR(INDEX(B!$M$2:$M$61,MATCH($J280,B!$E$2:$E$61,0))&amp;"",""))</f>
        <v/>
      </c>
      <c r="W280" s="71">
        <f>IF(I280="","",IFERROR(MID(I280,FIND("/d/",I280)+3,FIND("/edit",I280)-FIND("/d/",I280)-3),I280))</f>
        <v/>
      </c>
      <c r="X280" s="71">
        <f>IF($J280="","",IFERROR(INDEX(B!$C$2:$C$61,MATCH($J280,B!$E$2:$E$61,0))&amp;"",""))</f>
        <v/>
      </c>
      <c r="Y280" s="20" t="n"/>
      <c r="Z280" s="72">
        <f>IF($J280="",FALSE,ISNUMBER(SEARCH("scout",$K280)))</f>
        <v/>
      </c>
      <c r="AA280" s="72">
        <f>IF($J280="",FALSE,IFERROR(INDEX(B!$N$2:$N$61,MATCH($J280,B!$E$2:$E$61,0))="Sim",FALSE))</f>
        <v/>
      </c>
      <c r="AB280" s="72">
        <f>IF($J280="",FALSE,LEFT($X280,2)="XX")</f>
        <v/>
      </c>
      <c r="AC280" s="72">
        <f>IF($J280="",FALSE,IFERROR(INDEX(B!$P$2:$P$61,MATCH($J280,B!$E$2:$E$61,0))="Sim",FALSE))</f>
        <v/>
      </c>
      <c r="AD280" s="20" t="n"/>
      <c r="AE280" s="52">
        <f>IF(H280="","",HOUR(H280))</f>
        <v/>
      </c>
      <c r="AF280" s="52" t="n"/>
    </row>
    <row r="281" ht="19.5" customHeight="1" s="58">
      <c r="A281" s="62">
        <f>IF(G281="","",IF(G281=G280,"",COUNTIF($G$3:$G$976,G281)))</f>
        <v/>
      </c>
      <c r="B281" s="20" t="n"/>
      <c r="C281" s="63">
        <f>IF(G281="","",DAY(G281))</f>
        <v/>
      </c>
      <c r="D281" s="63">
        <f>IF(G281="","",MONTH(G281))</f>
        <v/>
      </c>
      <c r="E281" s="63">
        <f>IF(G281="","",YEAR(G281))</f>
        <v/>
      </c>
      <c r="F281" s="33">
        <f>IF(G281="","",CHOOSE(MONTH(G281),"Janeiro","Fevereiro","Março","Abril","Maio","Junho","Julho","Agosto","Setembro","Outubro","Novembro","Dezembro"))</f>
        <v/>
      </c>
      <c r="G281" s="64" t="n">
        <v>46061</v>
      </c>
      <c r="H281" s="65" t="n">
        <v>0.2374074074074074</v>
      </c>
      <c r="I281" s="66" t="inlineStr">
        <is>
          <t>https://docs.google.com/spreadsheets/d/1ZiCGoPjLCjuYvujDTXK9Ixbth3tekiLtFBzBrGjPCr4/edit?gid=0#gid=0</t>
        </is>
      </c>
      <c r="J281" s="67" t="inlineStr">
        <is>
          <t>Transferência de LOB (Safety) - [TIST]</t>
        </is>
      </c>
      <c r="K281" s="67" t="inlineStr"/>
      <c r="L281" s="68" t="b">
        <v>0</v>
      </c>
      <c r="M281" s="20" t="n"/>
      <c r="N281" s="69">
        <f>IF($J281="","",IFERROR(INDEX(B!$F$2:$F$61,MATCH($J281,B!$E$2:$E$61,0))&amp;"",""))</f>
        <v/>
      </c>
      <c r="O281" s="69">
        <f>IF($J281="","",IFERROR(INDEX(B!$G$2:$G$61,MATCH($J281,B!$E$2:$E$61,0))&amp;"",""))</f>
        <v/>
      </c>
      <c r="P281" s="69">
        <f>IF($J281="","",IFERROR(INDEX(B!$H$2:$H$61,MATCH($J281,B!$E$2:$E$61,0))&amp;"",""))</f>
        <v/>
      </c>
      <c r="Q281" s="69">
        <f>IF($J281="","",IFERROR(INDEX(B!$I$2:$I$61,MATCH($J281,B!$E$2:$E$61,0))&amp;"",""))</f>
        <v/>
      </c>
      <c r="R281" s="69">
        <f>IF($J281="","",IFERROR(INDEX(B!$J$2:$J$61,MATCH($J281,B!$E$2:$E$61,0))&amp;"",""))</f>
        <v/>
      </c>
      <c r="S281" s="69">
        <f>IF($J281="","",IFERROR(INDEX(B!$K$2:$K$61,MATCH($J281,B!$E$2:$E$61,0))&amp;"",""))</f>
        <v/>
      </c>
      <c r="T281" s="69">
        <f>IF($J281="","",IFERROR(INDEX(B!$L$2:$L$61,MATCH($J281,B!$E$2:$E$61,0))&amp;"",""))</f>
        <v/>
      </c>
      <c r="U281" s="20" t="n"/>
      <c r="V281" s="70">
        <f>IF($J281="","",IFERROR(INDEX(B!$M$2:$M$61,MATCH($J281,B!$E$2:$E$61,0))&amp;"",""))</f>
        <v/>
      </c>
      <c r="W281" s="71">
        <f>IF(I281="","",IFERROR(MID(I281,FIND("/d/",I281)+3,FIND("/edit",I281)-FIND("/d/",I281)-3),I281))</f>
        <v/>
      </c>
      <c r="X281" s="71">
        <f>IF($J281="","",IFERROR(INDEX(B!$C$2:$C$61,MATCH($J281,B!$E$2:$E$61,0))&amp;"",""))</f>
        <v/>
      </c>
      <c r="Y281" s="20" t="n"/>
      <c r="Z281" s="72">
        <f>IF($J281="",FALSE,ISNUMBER(SEARCH("scout",$K281)))</f>
        <v/>
      </c>
      <c r="AA281" s="72">
        <f>IF($J281="",FALSE,IFERROR(INDEX(B!$N$2:$N$61,MATCH($J281,B!$E$2:$E$61,0))="Sim",FALSE))</f>
        <v/>
      </c>
      <c r="AB281" s="72">
        <f>IF($J281="",FALSE,LEFT($X281,2)="XX")</f>
        <v/>
      </c>
      <c r="AC281" s="72">
        <f>IF($J281="",FALSE,IFERROR(INDEX(B!$P$2:$P$61,MATCH($J281,B!$E$2:$E$61,0))="Sim",FALSE))</f>
        <v/>
      </c>
      <c r="AD281" s="20" t="n"/>
      <c r="AE281" s="52">
        <f>IF(H281="","",HOUR(H281))</f>
        <v/>
      </c>
      <c r="AF281" s="52" t="n"/>
    </row>
    <row r="282" ht="19.5" customHeight="1" s="58">
      <c r="A282" s="62">
        <f>IF(G282="","",IF(G282=G281,"",COUNTIF($G$3:$G$976,G282)))</f>
        <v/>
      </c>
      <c r="B282" s="20" t="n"/>
      <c r="C282" s="63">
        <f>IF(G282="","",DAY(G282))</f>
        <v/>
      </c>
      <c r="D282" s="63">
        <f>IF(G282="","",MONTH(G282))</f>
        <v/>
      </c>
      <c r="E282" s="63">
        <f>IF(G282="","",YEAR(G282))</f>
        <v/>
      </c>
      <c r="F282" s="33">
        <f>IF(G282="","",CHOOSE(MONTH(G282),"Janeiro","Fevereiro","Março","Abril","Maio","Junho","Julho","Agosto","Setembro","Outubro","Novembro","Dezembro"))</f>
        <v/>
      </c>
      <c r="G282" s="64" t="n">
        <v>46061</v>
      </c>
      <c r="H282" s="65" t="n">
        <v>0.2381365740740741</v>
      </c>
      <c r="I282" s="66" t="inlineStr">
        <is>
          <t>https://docs.google.com/spreadsheets/d/1ZiCGoPjLCjuYvujDTXK9Ixbth3tekiLtFBzBrGjPCr4/edit?gid=0#gid=0</t>
        </is>
      </c>
      <c r="J282" s="67" t="inlineStr">
        <is>
          <t>Overpaid, Não excede o limite, Sem comprovante - [OPNN]</t>
        </is>
      </c>
      <c r="K282" s="67" t="inlineStr"/>
      <c r="L282" s="68" t="b">
        <v>0</v>
      </c>
      <c r="M282" s="20" t="n"/>
      <c r="N282" s="69">
        <f>IF($J282="","",IFERROR(INDEX(B!$F$2:$F$61,MATCH($J282,B!$E$2:$E$61,0))&amp;"",""))</f>
        <v/>
      </c>
      <c r="O282" s="69">
        <f>IF($J282="","",IFERROR(INDEX(B!$G$2:$G$61,MATCH($J282,B!$E$2:$E$61,0))&amp;"",""))</f>
        <v/>
      </c>
      <c r="P282" s="69">
        <f>IF($J282="","",IFERROR(INDEX(B!$H$2:$H$61,MATCH($J282,B!$E$2:$E$61,0))&amp;"",""))</f>
        <v/>
      </c>
      <c r="Q282" s="69">
        <f>IF($J282="","",IFERROR(INDEX(B!$I$2:$I$61,MATCH($J282,B!$E$2:$E$61,0))&amp;"",""))</f>
        <v/>
      </c>
      <c r="R282" s="69">
        <f>IF($J282="","",IFERROR(INDEX(B!$J$2:$J$61,MATCH($J282,B!$E$2:$E$61,0))&amp;"",""))</f>
        <v/>
      </c>
      <c r="S282" s="69">
        <f>IF($J282="","",IFERROR(INDEX(B!$K$2:$K$61,MATCH($J282,B!$E$2:$E$61,0))&amp;"",""))</f>
        <v/>
      </c>
      <c r="T282" s="69">
        <f>IF($J282="","",IFERROR(INDEX(B!$L$2:$L$61,MATCH($J282,B!$E$2:$E$61,0))&amp;"",""))</f>
        <v/>
      </c>
      <c r="U282" s="20" t="n"/>
      <c r="V282" s="70">
        <f>IF($J282="","",IFERROR(INDEX(B!$M$2:$M$61,MATCH($J282,B!$E$2:$E$61,0))&amp;"",""))</f>
        <v/>
      </c>
      <c r="W282" s="71">
        <f>IF(I282="","",IFERROR(MID(I282,FIND("/d/",I282)+3,FIND("/edit",I282)-FIND("/d/",I282)-3),I282))</f>
        <v/>
      </c>
      <c r="X282" s="71">
        <f>IF($J282="","",IFERROR(INDEX(B!$C$2:$C$61,MATCH($J282,B!$E$2:$E$61,0))&amp;"",""))</f>
        <v/>
      </c>
      <c r="Y282" s="20" t="n"/>
      <c r="Z282" s="72">
        <f>IF($J282="",FALSE,ISNUMBER(SEARCH("scout",$K282)))</f>
        <v/>
      </c>
      <c r="AA282" s="72">
        <f>IF($J282="",FALSE,IFERROR(INDEX(B!$N$2:$N$61,MATCH($J282,B!$E$2:$E$61,0))="Sim",FALSE))</f>
        <v/>
      </c>
      <c r="AB282" s="72">
        <f>IF($J282="",FALSE,LEFT($X282,2)="XX")</f>
        <v/>
      </c>
      <c r="AC282" s="72">
        <f>IF($J282="",FALSE,IFERROR(INDEX(B!$P$2:$P$61,MATCH($J282,B!$E$2:$E$61,0))="Sim",FALSE))</f>
        <v/>
      </c>
      <c r="AD282" s="20" t="n"/>
      <c r="AE282" s="52">
        <f>IF(H282="","",HOUR(H282))</f>
        <v/>
      </c>
      <c r="AF282" s="52" t="n"/>
    </row>
    <row r="283" ht="19.5" customHeight="1" s="58">
      <c r="A283" s="62">
        <f>IF(G283="","",IF(G283=G282,"",COUNTIF($G$3:$G$976,G283)))</f>
        <v/>
      </c>
      <c r="B283" s="20" t="n"/>
      <c r="C283" s="63">
        <f>IF(G283="","",DAY(G283))</f>
        <v/>
      </c>
      <c r="D283" s="63">
        <f>IF(G283="","",MONTH(G283))</f>
        <v/>
      </c>
      <c r="E283" s="63">
        <f>IF(G283="","",YEAR(G283))</f>
        <v/>
      </c>
      <c r="F283" s="33">
        <f>IF(G283="","",CHOOSE(MONTH(G283),"Janeiro","Fevereiro","Março","Abril","Maio","Junho","Julho","Agosto","Setembro","Outubro","Novembro","Dezembro"))</f>
        <v/>
      </c>
      <c r="G283" s="64" t="n">
        <v>46061</v>
      </c>
      <c r="H283" s="65" t="n">
        <v>0.2407523148148148</v>
      </c>
      <c r="I283" s="66" t="inlineStr">
        <is>
          <t>https://docs.google.com/spreadsheets/d/1ZiCGoPjLCjuYvujDTXK9Ixbth3tekiLtFBzBrGjPCr4/edit?gid=0#gid=0</t>
        </is>
      </c>
      <c r="J283" s="67" t="inlineStr">
        <is>
          <t>Pushback (Agradecimento) - [XXA]</t>
        </is>
      </c>
      <c r="K283" s="67" t="inlineStr"/>
      <c r="L283" s="68" t="b">
        <v>0</v>
      </c>
      <c r="M283" s="20" t="n"/>
      <c r="N283" s="69">
        <f>IF($J283="","",IFERROR(INDEX(B!$F$2:$F$61,MATCH($J283,B!$E$2:$E$61,0))&amp;"",""))</f>
        <v/>
      </c>
      <c r="O283" s="69">
        <f>IF($J283="","",IFERROR(INDEX(B!$G$2:$G$61,MATCH($J283,B!$E$2:$E$61,0))&amp;"",""))</f>
        <v/>
      </c>
      <c r="P283" s="69">
        <f>IF($J283="","",IFERROR(INDEX(B!$H$2:$H$61,MATCH($J283,B!$E$2:$E$61,0))&amp;"",""))</f>
        <v/>
      </c>
      <c r="Q283" s="69">
        <f>IF($J283="","",IFERROR(INDEX(B!$I$2:$I$61,MATCH($J283,B!$E$2:$E$61,0))&amp;"",""))</f>
        <v/>
      </c>
      <c r="R283" s="69">
        <f>IF($J283="","",IFERROR(INDEX(B!$J$2:$J$61,MATCH($J283,B!$E$2:$E$61,0))&amp;"",""))</f>
        <v/>
      </c>
      <c r="S283" s="69">
        <f>IF($J283="","",IFERROR(INDEX(B!$K$2:$K$61,MATCH($J283,B!$E$2:$E$61,0))&amp;"",""))</f>
        <v/>
      </c>
      <c r="T283" s="69">
        <f>IF($J283="","",IFERROR(INDEX(B!$L$2:$L$61,MATCH($J283,B!$E$2:$E$61,0))&amp;"",""))</f>
        <v/>
      </c>
      <c r="U283" s="20" t="n"/>
      <c r="V283" s="70">
        <f>IF($J283="","",IFERROR(INDEX(B!$M$2:$M$61,MATCH($J283,B!$E$2:$E$61,0))&amp;"",""))</f>
        <v/>
      </c>
      <c r="W283" s="71">
        <f>IF(I283="","",IFERROR(MID(I283,FIND("/d/",I283)+3,FIND("/edit",I283)-FIND("/d/",I283)-3),I283))</f>
        <v/>
      </c>
      <c r="X283" s="71">
        <f>IF($J283="","",IFERROR(INDEX(B!$C$2:$C$61,MATCH($J283,B!$E$2:$E$61,0))&amp;"",""))</f>
        <v/>
      </c>
      <c r="Y283" s="20" t="n"/>
      <c r="Z283" s="72">
        <f>IF($J283="",FALSE,ISNUMBER(SEARCH("scout",$K283)))</f>
        <v/>
      </c>
      <c r="AA283" s="72">
        <f>IF($J283="",FALSE,IFERROR(INDEX(B!$N$2:$N$61,MATCH($J283,B!$E$2:$E$61,0))="Sim",FALSE))</f>
        <v/>
      </c>
      <c r="AB283" s="72">
        <f>IF($J283="",FALSE,LEFT($X283,2)="XX")</f>
        <v/>
      </c>
      <c r="AC283" s="72">
        <f>IF($J283="",FALSE,IFERROR(INDEX(B!$P$2:$P$61,MATCH($J283,B!$E$2:$E$61,0))="Sim",FALSE))</f>
        <v/>
      </c>
      <c r="AD283" s="20" t="n"/>
      <c r="AE283" s="52">
        <f>IF(H283="","",HOUR(H283))</f>
        <v/>
      </c>
      <c r="AF283" s="52" t="n"/>
    </row>
    <row r="284" ht="19.5" customHeight="1" s="58">
      <c r="A284" s="62">
        <f>IF(G284="","",IF(G284=G283,"",COUNTIF($G$3:$G$976,G284)))</f>
        <v/>
      </c>
      <c r="B284" s="20" t="n"/>
      <c r="C284" s="63">
        <f>IF(G284="","",DAY(G284))</f>
        <v/>
      </c>
      <c r="D284" s="63">
        <f>IF(G284="","",MONTH(G284))</f>
        <v/>
      </c>
      <c r="E284" s="63">
        <f>IF(G284="","",YEAR(G284))</f>
        <v/>
      </c>
      <c r="F284" s="33">
        <f>IF(G284="","",CHOOSE(MONTH(G284),"Janeiro","Fevereiro","Março","Abril","Maio","Junho","Julho","Agosto","Setembro","Outubro","Novembro","Dezembro"))</f>
        <v/>
      </c>
      <c r="G284" s="64" t="n">
        <v>46061</v>
      </c>
      <c r="H284" s="65" t="n">
        <v>0.2424768518518519</v>
      </c>
      <c r="I284" s="66" t="inlineStr">
        <is>
          <t>https://docs.google.com/spreadsheets/d/1ZiCGoPjLCjuYvujDTXK9Ixbth3tekiLtFBzBrGjPCr4/edit?gid=0#gid=0</t>
        </is>
      </c>
      <c r="J284" s="67" t="inlineStr">
        <is>
          <t>Overpaid, Excede o limite Com comprovante - [OPEC]</t>
        </is>
      </c>
      <c r="K284" s="67" t="inlineStr"/>
      <c r="L284" s="68" t="b">
        <v>0</v>
      </c>
      <c r="M284" s="20" t="n"/>
      <c r="N284" s="69">
        <f>IF($J284="","",IFERROR(INDEX(B!$F$2:$F$61,MATCH($J284,B!$E$2:$E$61,0))&amp;"",""))</f>
        <v/>
      </c>
      <c r="O284" s="69">
        <f>IF($J284="","",IFERROR(INDEX(B!$G$2:$G$61,MATCH($J284,B!$E$2:$E$61,0))&amp;"",""))</f>
        <v/>
      </c>
      <c r="P284" s="69">
        <f>IF($J284="","",IFERROR(INDEX(B!$H$2:$H$61,MATCH($J284,B!$E$2:$E$61,0))&amp;"",""))</f>
        <v/>
      </c>
      <c r="Q284" s="69">
        <f>IF($J284="","",IFERROR(INDEX(B!$I$2:$I$61,MATCH($J284,B!$E$2:$E$61,0))&amp;"",""))</f>
        <v/>
      </c>
      <c r="R284" s="69">
        <f>IF($J284="","",IFERROR(INDEX(B!$J$2:$J$61,MATCH($J284,B!$E$2:$E$61,0))&amp;"",""))</f>
        <v/>
      </c>
      <c r="S284" s="69">
        <f>IF($J284="","",IFERROR(INDEX(B!$K$2:$K$61,MATCH($J284,B!$E$2:$E$61,0))&amp;"",""))</f>
        <v/>
      </c>
      <c r="T284" s="69">
        <f>IF($J284="","",IFERROR(INDEX(B!$L$2:$L$61,MATCH($J284,B!$E$2:$E$61,0))&amp;"",""))</f>
        <v/>
      </c>
      <c r="U284" s="20" t="n"/>
      <c r="V284" s="70">
        <f>IF($J284="","",IFERROR(INDEX(B!$M$2:$M$61,MATCH($J284,B!$E$2:$E$61,0))&amp;"",""))</f>
        <v/>
      </c>
      <c r="W284" s="71">
        <f>IF(I284="","",IFERROR(MID(I284,FIND("/d/",I284)+3,FIND("/edit",I284)-FIND("/d/",I284)-3),I284))</f>
        <v/>
      </c>
      <c r="X284" s="71">
        <f>IF($J284="","",IFERROR(INDEX(B!$C$2:$C$61,MATCH($J284,B!$E$2:$E$61,0))&amp;"",""))</f>
        <v/>
      </c>
      <c r="Y284" s="20" t="n"/>
      <c r="Z284" s="72">
        <f>IF($J284="",FALSE,ISNUMBER(SEARCH("scout",$K284)))</f>
        <v/>
      </c>
      <c r="AA284" s="72">
        <f>IF($J284="",FALSE,IFERROR(INDEX(B!$N$2:$N$61,MATCH($J284,B!$E$2:$E$61,0))="Sim",FALSE))</f>
        <v/>
      </c>
      <c r="AB284" s="72">
        <f>IF($J284="",FALSE,LEFT($X284,2)="XX")</f>
        <v/>
      </c>
      <c r="AC284" s="72">
        <f>IF($J284="",FALSE,IFERROR(INDEX(B!$P$2:$P$61,MATCH($J284,B!$E$2:$E$61,0))="Sim",FALSE))</f>
        <v/>
      </c>
      <c r="AD284" s="20" t="n"/>
      <c r="AE284" s="52">
        <f>IF(H284="","",HOUR(H284))</f>
        <v/>
      </c>
      <c r="AF284" s="52" t="n"/>
    </row>
    <row r="285" ht="19.5" customHeight="1" s="58">
      <c r="A285" s="62">
        <f>IF(G285="","",IF(G285=G284,"",COUNTIF($G$3:$G$976,G285)))</f>
        <v/>
      </c>
      <c r="B285" s="20" t="n"/>
      <c r="C285" s="63">
        <f>IF(G285="","",DAY(G285))</f>
        <v/>
      </c>
      <c r="D285" s="63">
        <f>IF(G285="","",MONTH(G285))</f>
        <v/>
      </c>
      <c r="E285" s="63">
        <f>IF(G285="","",YEAR(G285))</f>
        <v/>
      </c>
      <c r="F285" s="33">
        <f>IF(G285="","",CHOOSE(MONTH(G285),"Janeiro","Fevereiro","Março","Abril","Maio","Junho","Julho","Agosto","Setembro","Outubro","Novembro","Dezembro"))</f>
        <v/>
      </c>
      <c r="G285" s="64" t="n">
        <v>46061</v>
      </c>
      <c r="H285" s="65" t="n">
        <v>0.2440972222222222</v>
      </c>
      <c r="I285" s="66" t="inlineStr">
        <is>
          <t>https://docs.google.com/spreadsheets/d/1ZiCGoPjLCjuYvujDTXK9Ixbth3tekiLtFBzBrGjPCr4/edit?gid=0#gid=0</t>
        </is>
      </c>
      <c r="J285" s="67" t="inlineStr">
        <is>
          <t>Transferência de LOB (Lost Items) - [TILI]</t>
        </is>
      </c>
      <c r="K285" s="67" t="inlineStr"/>
      <c r="L285" s="68" t="b">
        <v>0</v>
      </c>
      <c r="M285" s="20" t="n"/>
      <c r="N285" s="69">
        <f>IF($J285="","",IFERROR(INDEX(B!$F$2:$F$61,MATCH($J285,B!$E$2:$E$61,0))&amp;"",""))</f>
        <v/>
      </c>
      <c r="O285" s="69">
        <f>IF($J285="","",IFERROR(INDEX(B!$G$2:$G$61,MATCH($J285,B!$E$2:$E$61,0))&amp;"",""))</f>
        <v/>
      </c>
      <c r="P285" s="69">
        <f>IF($J285="","",IFERROR(INDEX(B!$H$2:$H$61,MATCH($J285,B!$E$2:$E$61,0))&amp;"",""))</f>
        <v/>
      </c>
      <c r="Q285" s="69">
        <f>IF($J285="","",IFERROR(INDEX(B!$I$2:$I$61,MATCH($J285,B!$E$2:$E$61,0))&amp;"",""))</f>
        <v/>
      </c>
      <c r="R285" s="69">
        <f>IF($J285="","",IFERROR(INDEX(B!$J$2:$J$61,MATCH($J285,B!$E$2:$E$61,0))&amp;"",""))</f>
        <v/>
      </c>
      <c r="S285" s="69">
        <f>IF($J285="","",IFERROR(INDEX(B!$K$2:$K$61,MATCH($J285,B!$E$2:$E$61,0))&amp;"",""))</f>
        <v/>
      </c>
      <c r="T285" s="69">
        <f>IF($J285="","",IFERROR(INDEX(B!$L$2:$L$61,MATCH($J285,B!$E$2:$E$61,0))&amp;"",""))</f>
        <v/>
      </c>
      <c r="U285" s="20" t="n"/>
      <c r="V285" s="70">
        <f>IF($J285="","",IFERROR(INDEX(B!$M$2:$M$61,MATCH($J285,B!$E$2:$E$61,0))&amp;"",""))</f>
        <v/>
      </c>
      <c r="W285" s="71">
        <f>IF(I285="","",IFERROR(MID(I285,FIND("/d/",I285)+3,FIND("/edit",I285)-FIND("/d/",I285)-3),I285))</f>
        <v/>
      </c>
      <c r="X285" s="71">
        <f>IF($J285="","",IFERROR(INDEX(B!$C$2:$C$61,MATCH($J285,B!$E$2:$E$61,0))&amp;"",""))</f>
        <v/>
      </c>
      <c r="Y285" s="20" t="n"/>
      <c r="Z285" s="72">
        <f>IF($J285="",FALSE,ISNUMBER(SEARCH("scout",$K285)))</f>
        <v/>
      </c>
      <c r="AA285" s="72">
        <f>IF($J285="",FALSE,IFERROR(INDEX(B!$N$2:$N$61,MATCH($J285,B!$E$2:$E$61,0))="Sim",FALSE))</f>
        <v/>
      </c>
      <c r="AB285" s="72">
        <f>IF($J285="",FALSE,LEFT($X285,2)="XX")</f>
        <v/>
      </c>
      <c r="AC285" s="72">
        <f>IF($J285="",FALSE,IFERROR(INDEX(B!$P$2:$P$61,MATCH($J285,B!$E$2:$E$61,0))="Sim",FALSE))</f>
        <v/>
      </c>
      <c r="AD285" s="20" t="n"/>
      <c r="AE285" s="52">
        <f>IF(H285="","",HOUR(H285))</f>
        <v/>
      </c>
      <c r="AF285" s="52" t="n"/>
    </row>
    <row r="286" ht="19.5" customHeight="1" s="58">
      <c r="A286" s="62">
        <f>IF(G286="","",IF(G286=G285,"",COUNTIF($G$3:$G$976,G286)))</f>
        <v/>
      </c>
      <c r="B286" s="20" t="n"/>
      <c r="C286" s="63">
        <f>IF(G286="","",DAY(G286))</f>
        <v/>
      </c>
      <c r="D286" s="63">
        <f>IF(G286="","",MONTH(G286))</f>
        <v/>
      </c>
      <c r="E286" s="63">
        <f>IF(G286="","",YEAR(G286))</f>
        <v/>
      </c>
      <c r="F286" s="33">
        <f>IF(G286="","",CHOOSE(MONTH(G286),"Janeiro","Fevereiro","Março","Abril","Maio","Junho","Julho","Agosto","Setembro","Outubro","Novembro","Dezembro"))</f>
        <v/>
      </c>
      <c r="G286" s="64" t="n">
        <v>46061</v>
      </c>
      <c r="H286" s="65" t="n">
        <v>0.2499768518518518</v>
      </c>
      <c r="I286" s="66" t="inlineStr">
        <is>
          <t>https://docs.google.com/spreadsheets/d/1ZiCGoPjLCjuYvujDTXK9Ixbth3tekiLtFBzBrGjPCr4/edit?gid=0#gid=0</t>
        </is>
      </c>
      <c r="J286" s="67" t="inlineStr">
        <is>
          <t>Pushback (Agradecimento) - [XXA]</t>
        </is>
      </c>
      <c r="K286" s="67" t="inlineStr"/>
      <c r="L286" s="68" t="b">
        <v>0</v>
      </c>
      <c r="M286" s="20" t="n"/>
      <c r="N286" s="69">
        <f>IF($J286="","",IFERROR(INDEX(B!$F$2:$F$61,MATCH($J286,B!$E$2:$E$61,0))&amp;"",""))</f>
        <v/>
      </c>
      <c r="O286" s="69">
        <f>IF($J286="","",IFERROR(INDEX(B!$G$2:$G$61,MATCH($J286,B!$E$2:$E$61,0))&amp;"",""))</f>
        <v/>
      </c>
      <c r="P286" s="69">
        <f>IF($J286="","",IFERROR(INDEX(B!$H$2:$H$61,MATCH($J286,B!$E$2:$E$61,0))&amp;"",""))</f>
        <v/>
      </c>
      <c r="Q286" s="69">
        <f>IF($J286="","",IFERROR(INDEX(B!$I$2:$I$61,MATCH($J286,B!$E$2:$E$61,0))&amp;"",""))</f>
        <v/>
      </c>
      <c r="R286" s="69">
        <f>IF($J286="","",IFERROR(INDEX(B!$J$2:$J$61,MATCH($J286,B!$E$2:$E$61,0))&amp;"",""))</f>
        <v/>
      </c>
      <c r="S286" s="69">
        <f>IF($J286="","",IFERROR(INDEX(B!$K$2:$K$61,MATCH($J286,B!$E$2:$E$61,0))&amp;"",""))</f>
        <v/>
      </c>
      <c r="T286" s="69">
        <f>IF($J286="","",IFERROR(INDEX(B!$L$2:$L$61,MATCH($J286,B!$E$2:$E$61,0))&amp;"",""))</f>
        <v/>
      </c>
      <c r="U286" s="20" t="n"/>
      <c r="V286" s="70">
        <f>IF($J286="","",IFERROR(INDEX(B!$M$2:$M$61,MATCH($J286,B!$E$2:$E$61,0))&amp;"",""))</f>
        <v/>
      </c>
      <c r="W286" s="71">
        <f>IF(I286="","",IFERROR(MID(I286,FIND("/d/",I286)+3,FIND("/edit",I286)-FIND("/d/",I286)-3),I286))</f>
        <v/>
      </c>
      <c r="X286" s="71">
        <f>IF($J286="","",IFERROR(INDEX(B!$C$2:$C$61,MATCH($J286,B!$E$2:$E$61,0))&amp;"",""))</f>
        <v/>
      </c>
      <c r="Y286" s="20" t="n"/>
      <c r="Z286" s="72">
        <f>IF($J286="",FALSE,ISNUMBER(SEARCH("scout",$K286)))</f>
        <v/>
      </c>
      <c r="AA286" s="72">
        <f>IF($J286="",FALSE,IFERROR(INDEX(B!$N$2:$N$61,MATCH($J286,B!$E$2:$E$61,0))="Sim",FALSE))</f>
        <v/>
      </c>
      <c r="AB286" s="72">
        <f>IF($J286="",FALSE,LEFT($X286,2)="XX")</f>
        <v/>
      </c>
      <c r="AC286" s="72">
        <f>IF($J286="",FALSE,IFERROR(INDEX(B!$P$2:$P$61,MATCH($J286,B!$E$2:$E$61,0))="Sim",FALSE))</f>
        <v/>
      </c>
      <c r="AD286" s="20" t="n"/>
      <c r="AE286" s="52">
        <f>IF(H286="","",HOUR(H286))</f>
        <v/>
      </c>
      <c r="AF286" s="52" t="n"/>
    </row>
    <row r="287" ht="19.5" customHeight="1" s="58">
      <c r="A287" s="62">
        <f>IF(G287="","",IF(G287=G286,"",COUNTIF($G$3:$G$976,G287)))</f>
        <v/>
      </c>
      <c r="B287" s="20" t="n"/>
      <c r="C287" s="63">
        <f>IF(G287="","",DAY(G287))</f>
        <v/>
      </c>
      <c r="D287" s="63">
        <f>IF(G287="","",MONTH(G287))</f>
        <v/>
      </c>
      <c r="E287" s="63">
        <f>IF(G287="","",YEAR(G287))</f>
        <v/>
      </c>
      <c r="F287" s="33">
        <f>IF(G287="","",CHOOSE(MONTH(G287),"Janeiro","Fevereiro","Março","Abril","Maio","Junho","Julho","Agosto","Setembro","Outubro","Novembro","Dezembro"))</f>
        <v/>
      </c>
      <c r="G287" s="64" t="n">
        <v>46062</v>
      </c>
      <c r="H287" s="65" t="n">
        <v>0.0003356481481481481</v>
      </c>
      <c r="I287" s="66" t="inlineStr">
        <is>
          <t>https://docs.google.com/spreadsheets/d/1ZiCGoPjLCjuYvujDTXK9Ixbth3tekiLtFBzBrGjPCr4/edit?gid=0#gid=0</t>
        </is>
      </c>
      <c r="J287" s="67" t="inlineStr">
        <is>
          <t>Pushback (Agradecimento) - [XXA]</t>
        </is>
      </c>
      <c r="K287" s="67" t="inlineStr"/>
      <c r="L287" s="68" t="b">
        <v>0</v>
      </c>
      <c r="M287" s="20" t="n"/>
      <c r="N287" s="69">
        <f>IF($J287="","",IFERROR(INDEX(B!$F$2:$F$61,MATCH($J287,B!$E$2:$E$61,0))&amp;"",""))</f>
        <v/>
      </c>
      <c r="O287" s="69">
        <f>IF($J287="","",IFERROR(INDEX(B!$G$2:$G$61,MATCH($J287,B!$E$2:$E$61,0))&amp;"",""))</f>
        <v/>
      </c>
      <c r="P287" s="69">
        <f>IF($J287="","",IFERROR(INDEX(B!$H$2:$H$61,MATCH($J287,B!$E$2:$E$61,0))&amp;"",""))</f>
        <v/>
      </c>
      <c r="Q287" s="69">
        <f>IF($J287="","",IFERROR(INDEX(B!$I$2:$I$61,MATCH($J287,B!$E$2:$E$61,0))&amp;"",""))</f>
        <v/>
      </c>
      <c r="R287" s="69">
        <f>IF($J287="","",IFERROR(INDEX(B!$J$2:$J$61,MATCH($J287,B!$E$2:$E$61,0))&amp;"",""))</f>
        <v/>
      </c>
      <c r="S287" s="69">
        <f>IF($J287="","",IFERROR(INDEX(B!$K$2:$K$61,MATCH($J287,B!$E$2:$E$61,0))&amp;"",""))</f>
        <v/>
      </c>
      <c r="T287" s="69">
        <f>IF($J287="","",IFERROR(INDEX(B!$L$2:$L$61,MATCH($J287,B!$E$2:$E$61,0))&amp;"",""))</f>
        <v/>
      </c>
      <c r="U287" s="20" t="n"/>
      <c r="V287" s="70">
        <f>IF($J287="","",IFERROR(INDEX(B!$M$2:$M$61,MATCH($J287,B!$E$2:$E$61,0))&amp;"",""))</f>
        <v/>
      </c>
      <c r="W287" s="71">
        <f>IF(I287="","",IFERROR(MID(I287,FIND("/d/",I287)+3,FIND("/edit",I287)-FIND("/d/",I287)-3),I287))</f>
        <v/>
      </c>
      <c r="X287" s="71">
        <f>IF($J287="","",IFERROR(INDEX(B!$C$2:$C$61,MATCH($J287,B!$E$2:$E$61,0))&amp;"",""))</f>
        <v/>
      </c>
      <c r="Y287" s="20" t="n"/>
      <c r="Z287" s="72">
        <f>IF($J287="",FALSE,ISNUMBER(SEARCH("scout",$K287)))</f>
        <v/>
      </c>
      <c r="AA287" s="72">
        <f>IF($J287="",FALSE,IFERROR(INDEX(B!$N$2:$N$61,MATCH($J287,B!$E$2:$E$61,0))="Sim",FALSE))</f>
        <v/>
      </c>
      <c r="AB287" s="72">
        <f>IF($J287="",FALSE,LEFT($X287,2)="XX")</f>
        <v/>
      </c>
      <c r="AC287" s="72">
        <f>IF($J287="",FALSE,IFERROR(INDEX(B!$P$2:$P$61,MATCH($J287,B!$E$2:$E$61,0))="Sim",FALSE))</f>
        <v/>
      </c>
      <c r="AD287" s="20" t="n"/>
      <c r="AE287" s="52">
        <f>IF(H287="","",HOUR(H287))</f>
        <v/>
      </c>
      <c r="AF287" s="52" t="n"/>
    </row>
    <row r="288" ht="19.5" customHeight="1" s="58">
      <c r="A288" s="62">
        <f>IF(G288="","",IF(G288=G287,"",COUNTIF($G$3:$G$976,G288)))</f>
        <v/>
      </c>
      <c r="B288" s="20" t="n"/>
      <c r="C288" s="63">
        <f>IF(G288="","",DAY(G288))</f>
        <v/>
      </c>
      <c r="D288" s="63">
        <f>IF(G288="","",MONTH(G288))</f>
        <v/>
      </c>
      <c r="E288" s="63">
        <f>IF(G288="","",YEAR(G288))</f>
        <v/>
      </c>
      <c r="F288" s="33">
        <f>IF(G288="","",CHOOSE(MONTH(G288),"Janeiro","Fevereiro","Março","Abril","Maio","Junho","Julho","Agosto","Setembro","Outubro","Novembro","Dezembro"))</f>
        <v/>
      </c>
      <c r="G288" s="64" t="n">
        <v>46062</v>
      </c>
      <c r="H288" s="65" t="n">
        <v>0.003356481481481482</v>
      </c>
      <c r="I288" s="66" t="inlineStr">
        <is>
          <t>https://docs.google.com/spreadsheets/d/1ZiCGoPjLCjuYvujDTXK9Ixbth3tekiLtFBzBrGjPCr4/edit?gid=0#gid=0</t>
        </is>
      </c>
      <c r="J288" s="67" t="inlineStr">
        <is>
          <t>Transferência de LOB (Driver) - [TIDV]</t>
        </is>
      </c>
      <c r="K288" s="67" t="inlineStr"/>
      <c r="L288" s="68" t="b">
        <v>0</v>
      </c>
      <c r="M288" s="20" t="n"/>
      <c r="N288" s="69">
        <f>IF($J288="","",IFERROR(INDEX(B!$F$2:$F$61,MATCH($J288,B!$E$2:$E$61,0))&amp;"",""))</f>
        <v/>
      </c>
      <c r="O288" s="69">
        <f>IF($J288="","",IFERROR(INDEX(B!$G$2:$G$61,MATCH($J288,B!$E$2:$E$61,0))&amp;"",""))</f>
        <v/>
      </c>
      <c r="P288" s="69">
        <f>IF($J288="","",IFERROR(INDEX(B!$H$2:$H$61,MATCH($J288,B!$E$2:$E$61,0))&amp;"",""))</f>
        <v/>
      </c>
      <c r="Q288" s="69">
        <f>IF($J288="","",IFERROR(INDEX(B!$I$2:$I$61,MATCH($J288,B!$E$2:$E$61,0))&amp;"",""))</f>
        <v/>
      </c>
      <c r="R288" s="69">
        <f>IF($J288="","",IFERROR(INDEX(B!$J$2:$J$61,MATCH($J288,B!$E$2:$E$61,0))&amp;"",""))</f>
        <v/>
      </c>
      <c r="S288" s="69">
        <f>IF($J288="","",IFERROR(INDEX(B!$K$2:$K$61,MATCH($J288,B!$E$2:$E$61,0))&amp;"",""))</f>
        <v/>
      </c>
      <c r="T288" s="69">
        <f>IF($J288="","",IFERROR(INDEX(B!$L$2:$L$61,MATCH($J288,B!$E$2:$E$61,0))&amp;"",""))</f>
        <v/>
      </c>
      <c r="U288" s="20" t="n"/>
      <c r="V288" s="70">
        <f>IF($J288="","",IFERROR(INDEX(B!$M$2:$M$61,MATCH($J288,B!$E$2:$E$61,0))&amp;"",""))</f>
        <v/>
      </c>
      <c r="W288" s="71">
        <f>IF(I288="","",IFERROR(MID(I288,FIND("/d/",I288)+3,FIND("/edit",I288)-FIND("/d/",I288)-3),I288))</f>
        <v/>
      </c>
      <c r="X288" s="71">
        <f>IF($J288="","",IFERROR(INDEX(B!$C$2:$C$61,MATCH($J288,B!$E$2:$E$61,0))&amp;"",""))</f>
        <v/>
      </c>
      <c r="Y288" s="20" t="n"/>
      <c r="Z288" s="72">
        <f>IF($J288="",FALSE,ISNUMBER(SEARCH("scout",$K288)))</f>
        <v/>
      </c>
      <c r="AA288" s="72">
        <f>IF($J288="",FALSE,IFERROR(INDEX(B!$N$2:$N$61,MATCH($J288,B!$E$2:$E$61,0))="Sim",FALSE))</f>
        <v/>
      </c>
      <c r="AB288" s="72">
        <f>IF($J288="",FALSE,LEFT($X288,2)="XX")</f>
        <v/>
      </c>
      <c r="AC288" s="72">
        <f>IF($J288="",FALSE,IFERROR(INDEX(B!$P$2:$P$61,MATCH($J288,B!$E$2:$E$61,0))="Sim",FALSE))</f>
        <v/>
      </c>
      <c r="AD288" s="20" t="n"/>
      <c r="AE288" s="52">
        <f>IF(H288="","",HOUR(H288))</f>
        <v/>
      </c>
      <c r="AF288" s="52" t="n"/>
    </row>
    <row r="289" ht="19.5" customHeight="1" s="58">
      <c r="A289" s="62">
        <f>IF(G289="","",IF(G289=G288,"",COUNTIF($G$3:$G$976,G289)))</f>
        <v/>
      </c>
      <c r="B289" s="20" t="n"/>
      <c r="C289" s="63">
        <f>IF(G289="","",DAY(G289))</f>
        <v/>
      </c>
      <c r="D289" s="63">
        <f>IF(G289="","",MONTH(G289))</f>
        <v/>
      </c>
      <c r="E289" s="63">
        <f>IF(G289="","",YEAR(G289))</f>
        <v/>
      </c>
      <c r="F289" s="33">
        <f>IF(G289="","",CHOOSE(MONTH(G289),"Janeiro","Fevereiro","Março","Abril","Maio","Junho","Julho","Agosto","Setembro","Outubro","Novembro","Dezembro"))</f>
        <v/>
      </c>
      <c r="G289" s="64" t="n">
        <v>46062</v>
      </c>
      <c r="H289" s="65" t="n">
        <v>0.005208333333333333</v>
      </c>
      <c r="I289" s="66" t="inlineStr">
        <is>
          <t>https://docs.google.com/spreadsheets/d/1ZiCGoPjLCjuYvujDTXK9Ixbth3tekiLtFBzBrGjPCr4/edit?gid=0#gid=0</t>
        </is>
      </c>
      <c r="J289" s="67" t="inlineStr">
        <is>
          <t>Outros Valores Retidos (Pedágio, Cartão, Taxa de Cancelamento...) - [OTV]</t>
        </is>
      </c>
      <c r="K289" s="67" t="inlineStr">
        <is>
          <t>Scout</t>
        </is>
      </c>
      <c r="L289" s="68" t="b">
        <v>0</v>
      </c>
      <c r="M289" s="20" t="n"/>
      <c r="N289" s="69">
        <f>IF($J289="","",IFERROR(INDEX(B!$F$2:$F$61,MATCH($J289,B!$E$2:$E$61,0))&amp;"",""))</f>
        <v/>
      </c>
      <c r="O289" s="69">
        <f>IF($J289="","",IFERROR(INDEX(B!$G$2:$G$61,MATCH($J289,B!$E$2:$E$61,0))&amp;"",""))</f>
        <v/>
      </c>
      <c r="P289" s="69">
        <f>IF($J289="","",IFERROR(INDEX(B!$H$2:$H$61,MATCH($J289,B!$E$2:$E$61,0))&amp;"",""))</f>
        <v/>
      </c>
      <c r="Q289" s="69">
        <f>IF($J289="","",IFERROR(INDEX(B!$I$2:$I$61,MATCH($J289,B!$E$2:$E$61,0))&amp;"",""))</f>
        <v/>
      </c>
      <c r="R289" s="69">
        <f>IF($J289="","",IFERROR(INDEX(B!$J$2:$J$61,MATCH($J289,B!$E$2:$E$61,0))&amp;"",""))</f>
        <v/>
      </c>
      <c r="S289" s="69">
        <f>IF($J289="","",IFERROR(INDEX(B!$K$2:$K$61,MATCH($J289,B!$E$2:$E$61,0))&amp;"",""))</f>
        <v/>
      </c>
      <c r="T289" s="69">
        <f>IF($J289="","",IFERROR(INDEX(B!$L$2:$L$61,MATCH($J289,B!$E$2:$E$61,0))&amp;"",""))</f>
        <v/>
      </c>
      <c r="U289" s="20" t="n"/>
      <c r="V289" s="70">
        <f>IF($J289="","",IFERROR(INDEX(B!$M$2:$M$61,MATCH($J289,B!$E$2:$E$61,0))&amp;"",""))</f>
        <v/>
      </c>
      <c r="W289" s="71">
        <f>IF(I289="","",IFERROR(MID(I289,FIND("/d/",I289)+3,FIND("/edit",I289)-FIND("/d/",I289)-3),I289))</f>
        <v/>
      </c>
      <c r="X289" s="71">
        <f>IF($J289="","",IFERROR(INDEX(B!$C$2:$C$61,MATCH($J289,B!$E$2:$E$61,0))&amp;"",""))</f>
        <v/>
      </c>
      <c r="Y289" s="20" t="n"/>
      <c r="Z289" s="72">
        <f>IF($J289="",FALSE,ISNUMBER(SEARCH("scout",$K289)))</f>
        <v/>
      </c>
      <c r="AA289" s="72">
        <f>IF($J289="",FALSE,IFERROR(INDEX(B!$N$2:$N$61,MATCH($J289,B!$E$2:$E$61,0))="Sim",FALSE))</f>
        <v/>
      </c>
      <c r="AB289" s="72">
        <f>IF($J289="",FALSE,LEFT($X289,2)="XX")</f>
        <v/>
      </c>
      <c r="AC289" s="72">
        <f>IF($J289="",FALSE,IFERROR(INDEX(B!$P$2:$P$61,MATCH($J289,B!$E$2:$E$61,0))="Sim",FALSE))</f>
        <v/>
      </c>
      <c r="AD289" s="20" t="n"/>
      <c r="AE289" s="52">
        <f>IF(H289="","",HOUR(H289))</f>
        <v/>
      </c>
      <c r="AF289" s="52" t="n"/>
    </row>
    <row r="290" ht="19.5" customHeight="1" s="58">
      <c r="A290" s="62">
        <f>IF(G290="","",IF(G290=G289,"",COUNTIF($G$3:$G$976,G290)))</f>
        <v/>
      </c>
      <c r="B290" s="20" t="n"/>
      <c r="C290" s="63">
        <f>IF(G290="","",DAY(G290))</f>
        <v/>
      </c>
      <c r="D290" s="63">
        <f>IF(G290="","",MONTH(G290))</f>
        <v/>
      </c>
      <c r="E290" s="63">
        <f>IF(G290="","",YEAR(G290))</f>
        <v/>
      </c>
      <c r="F290" s="33">
        <f>IF(G290="","",CHOOSE(MONTH(G290),"Janeiro","Fevereiro","Março","Abril","Maio","Junho","Julho","Agosto","Setembro","Outubro","Novembro","Dezembro"))</f>
        <v/>
      </c>
      <c r="G290" s="64" t="n">
        <v>46062</v>
      </c>
      <c r="H290" s="65" t="n">
        <v>0.008368055555555556</v>
      </c>
      <c r="I290" s="66" t="inlineStr">
        <is>
          <t>https://docs.google.com/spreadsheets/d/1ZiCGoPjLCjuYvujDTXK9Ixbth3tekiLtFBzBrGjPCr4/edit?gid=0#gid=0</t>
        </is>
      </c>
      <c r="J290" s="67" t="inlineStr">
        <is>
          <t>Taxa de Cancelamento Cobrada Corretamente - [TXCO]</t>
        </is>
      </c>
      <c r="K290" s="67" t="inlineStr"/>
      <c r="L290" s="68" t="b">
        <v>0</v>
      </c>
      <c r="M290" s="20" t="n"/>
      <c r="N290" s="69">
        <f>IF($J290="","",IFERROR(INDEX(B!$F$2:$F$61,MATCH($J290,B!$E$2:$E$61,0))&amp;"",""))</f>
        <v/>
      </c>
      <c r="O290" s="69">
        <f>IF($J290="","",IFERROR(INDEX(B!$G$2:$G$61,MATCH($J290,B!$E$2:$E$61,0))&amp;"",""))</f>
        <v/>
      </c>
      <c r="P290" s="69">
        <f>IF($J290="","",IFERROR(INDEX(B!$H$2:$H$61,MATCH($J290,B!$E$2:$E$61,0))&amp;"",""))</f>
        <v/>
      </c>
      <c r="Q290" s="69">
        <f>IF($J290="","",IFERROR(INDEX(B!$I$2:$I$61,MATCH($J290,B!$E$2:$E$61,0))&amp;"",""))</f>
        <v/>
      </c>
      <c r="R290" s="69">
        <f>IF($J290="","",IFERROR(INDEX(B!$J$2:$J$61,MATCH($J290,B!$E$2:$E$61,0))&amp;"",""))</f>
        <v/>
      </c>
      <c r="S290" s="69">
        <f>IF($J290="","",IFERROR(INDEX(B!$K$2:$K$61,MATCH($J290,B!$E$2:$E$61,0))&amp;"",""))</f>
        <v/>
      </c>
      <c r="T290" s="69">
        <f>IF($J290="","",IFERROR(INDEX(B!$L$2:$L$61,MATCH($J290,B!$E$2:$E$61,0))&amp;"",""))</f>
        <v/>
      </c>
      <c r="U290" s="20" t="n"/>
      <c r="V290" s="70">
        <f>IF($J290="","",IFERROR(INDEX(B!$M$2:$M$61,MATCH($J290,B!$E$2:$E$61,0))&amp;"",""))</f>
        <v/>
      </c>
      <c r="W290" s="71">
        <f>IF(I290="","",IFERROR(MID(I290,FIND("/d/",I290)+3,FIND("/edit",I290)-FIND("/d/",I290)-3),I290))</f>
        <v/>
      </c>
      <c r="X290" s="71">
        <f>IF($J290="","",IFERROR(INDEX(B!$C$2:$C$61,MATCH($J290,B!$E$2:$E$61,0))&amp;"",""))</f>
        <v/>
      </c>
      <c r="Y290" s="20" t="n"/>
      <c r="Z290" s="72">
        <f>IF($J290="",FALSE,ISNUMBER(SEARCH("scout",$K290)))</f>
        <v/>
      </c>
      <c r="AA290" s="72">
        <f>IF($J290="",FALSE,IFERROR(INDEX(B!$N$2:$N$61,MATCH($J290,B!$E$2:$E$61,0))="Sim",FALSE))</f>
        <v/>
      </c>
      <c r="AB290" s="72">
        <f>IF($J290="",FALSE,LEFT($X290,2)="XX")</f>
        <v/>
      </c>
      <c r="AC290" s="72">
        <f>IF($J290="",FALSE,IFERROR(INDEX(B!$P$2:$P$61,MATCH($J290,B!$E$2:$E$61,0))="Sim",FALSE))</f>
        <v/>
      </c>
      <c r="AD290" s="20" t="n"/>
      <c r="AE290" s="52">
        <f>IF(H290="","",HOUR(H290))</f>
        <v/>
      </c>
      <c r="AF290" s="52" t="n"/>
    </row>
    <row r="291" ht="19.5" customHeight="1" s="58">
      <c r="A291" s="62">
        <f>IF(G291="","",IF(G291=G290,"",COUNTIF($G$3:$G$976,G291)))</f>
        <v/>
      </c>
      <c r="B291" s="20" t="n"/>
      <c r="C291" s="63">
        <f>IF(G291="","",DAY(G291))</f>
        <v/>
      </c>
      <c r="D291" s="63">
        <f>IF(G291="","",MONTH(G291))</f>
        <v/>
      </c>
      <c r="E291" s="63">
        <f>IF(G291="","",YEAR(G291))</f>
        <v/>
      </c>
      <c r="F291" s="33">
        <f>IF(G291="","",CHOOSE(MONTH(G291),"Janeiro","Fevereiro","Março","Abril","Maio","Junho","Julho","Agosto","Setembro","Outubro","Novembro","Dezembro"))</f>
        <v/>
      </c>
      <c r="G291" s="64" t="n">
        <v>46062</v>
      </c>
      <c r="H291" s="65" t="n">
        <v>0.01247685185185185</v>
      </c>
      <c r="I291" s="66" t="inlineStr">
        <is>
          <t>https://docs.google.com/spreadsheets/d/1ZiCGoPjLCjuYvujDTXK9Ixbth3tekiLtFBzBrGjPCr4/edit?gid=0#gid=0</t>
        </is>
      </c>
      <c r="J291" s="67" t="inlineStr">
        <is>
          <t>Não houve Taxa de Cancelamento - [NTX]</t>
        </is>
      </c>
      <c r="K291" s="67" t="inlineStr"/>
      <c r="L291" s="68" t="b">
        <v>0</v>
      </c>
      <c r="M291" s="20" t="n"/>
      <c r="N291" s="69">
        <f>IF($J291="","",IFERROR(INDEX(B!$F$2:$F$61,MATCH($J291,B!$E$2:$E$61,0))&amp;"",""))</f>
        <v/>
      </c>
      <c r="O291" s="69">
        <f>IF($J291="","",IFERROR(INDEX(B!$G$2:$G$61,MATCH($J291,B!$E$2:$E$61,0))&amp;"",""))</f>
        <v/>
      </c>
      <c r="P291" s="69">
        <f>IF($J291="","",IFERROR(INDEX(B!$H$2:$H$61,MATCH($J291,B!$E$2:$E$61,0))&amp;"",""))</f>
        <v/>
      </c>
      <c r="Q291" s="69">
        <f>IF($J291="","",IFERROR(INDEX(B!$I$2:$I$61,MATCH($J291,B!$E$2:$E$61,0))&amp;"",""))</f>
        <v/>
      </c>
      <c r="R291" s="69">
        <f>IF($J291="","",IFERROR(INDEX(B!$J$2:$J$61,MATCH($J291,B!$E$2:$E$61,0))&amp;"",""))</f>
        <v/>
      </c>
      <c r="S291" s="69">
        <f>IF($J291="","",IFERROR(INDEX(B!$K$2:$K$61,MATCH($J291,B!$E$2:$E$61,0))&amp;"",""))</f>
        <v/>
      </c>
      <c r="T291" s="69">
        <f>IF($J291="","",IFERROR(INDEX(B!$L$2:$L$61,MATCH($J291,B!$E$2:$E$61,0))&amp;"",""))</f>
        <v/>
      </c>
      <c r="U291" s="20" t="n"/>
      <c r="V291" s="70">
        <f>IF($J291="","",IFERROR(INDEX(B!$M$2:$M$61,MATCH($J291,B!$E$2:$E$61,0))&amp;"",""))</f>
        <v/>
      </c>
      <c r="W291" s="71">
        <f>IF(I291="","",IFERROR(MID(I291,FIND("/d/",I291)+3,FIND("/edit",I291)-FIND("/d/",I291)-3),I291))</f>
        <v/>
      </c>
      <c r="X291" s="71">
        <f>IF($J291="","",IFERROR(INDEX(B!$C$2:$C$61,MATCH($J291,B!$E$2:$E$61,0))&amp;"",""))</f>
        <v/>
      </c>
      <c r="Y291" s="20" t="n"/>
      <c r="Z291" s="72">
        <f>IF($J291="",FALSE,ISNUMBER(SEARCH("scout",$K291)))</f>
        <v/>
      </c>
      <c r="AA291" s="72">
        <f>IF($J291="",FALSE,IFERROR(INDEX(B!$N$2:$N$61,MATCH($J291,B!$E$2:$E$61,0))="Sim",FALSE))</f>
        <v/>
      </c>
      <c r="AB291" s="72">
        <f>IF($J291="",FALSE,LEFT($X291,2)="XX")</f>
        <v/>
      </c>
      <c r="AC291" s="72">
        <f>IF($J291="",FALSE,IFERROR(INDEX(B!$P$2:$P$61,MATCH($J291,B!$E$2:$E$61,0))="Sim",FALSE))</f>
        <v/>
      </c>
      <c r="AD291" s="20" t="n"/>
      <c r="AE291" s="52">
        <f>IF(H291="","",HOUR(H291))</f>
        <v/>
      </c>
      <c r="AF291" s="52" t="n"/>
    </row>
    <row r="292" ht="19.5" customHeight="1" s="58">
      <c r="A292" s="62">
        <f>IF(G292="","",IF(G292=G291,"",COUNTIF($G$3:$G$976,G292)))</f>
        <v/>
      </c>
      <c r="B292" s="20" t="n"/>
      <c r="C292" s="63">
        <f>IF(G292="","",DAY(G292))</f>
        <v/>
      </c>
      <c r="D292" s="63">
        <f>IF(G292="","",MONTH(G292))</f>
        <v/>
      </c>
      <c r="E292" s="63">
        <f>IF(G292="","",YEAR(G292))</f>
        <v/>
      </c>
      <c r="F292" s="33">
        <f>IF(G292="","",CHOOSE(MONTH(G292),"Janeiro","Fevereiro","Março","Abril","Maio","Junho","Julho","Agosto","Setembro","Outubro","Novembro","Dezembro"))</f>
        <v/>
      </c>
      <c r="G292" s="64" t="n">
        <v>46062</v>
      </c>
      <c r="H292" s="65" t="n">
        <v>0.01982638888888889</v>
      </c>
      <c r="I292" s="66" t="inlineStr">
        <is>
          <t>https://docs.google.com/spreadsheets/d/1ZiCGoPjLCjuYvujDTXK9Ixbth3tekiLtFBzBrGjPCr4/edit?gid=0#gid=0</t>
        </is>
      </c>
      <c r="J292" s="67" t="inlineStr">
        <is>
          <t>Overpaid, Excede o limite Com comprovante - [OPEC]</t>
        </is>
      </c>
      <c r="K292" s="67" t="inlineStr"/>
      <c r="L292" s="68" t="b">
        <v>0</v>
      </c>
      <c r="M292" s="20" t="n"/>
      <c r="N292" s="69">
        <f>IF($J292="","",IFERROR(INDEX(B!$F$2:$F$61,MATCH($J292,B!$E$2:$E$61,0))&amp;"",""))</f>
        <v/>
      </c>
      <c r="O292" s="69">
        <f>IF($J292="","",IFERROR(INDEX(B!$G$2:$G$61,MATCH($J292,B!$E$2:$E$61,0))&amp;"",""))</f>
        <v/>
      </c>
      <c r="P292" s="69">
        <f>IF($J292="","",IFERROR(INDEX(B!$H$2:$H$61,MATCH($J292,B!$E$2:$E$61,0))&amp;"",""))</f>
        <v/>
      </c>
      <c r="Q292" s="69">
        <f>IF($J292="","",IFERROR(INDEX(B!$I$2:$I$61,MATCH($J292,B!$E$2:$E$61,0))&amp;"",""))</f>
        <v/>
      </c>
      <c r="R292" s="69">
        <f>IF($J292="","",IFERROR(INDEX(B!$J$2:$J$61,MATCH($J292,B!$E$2:$E$61,0))&amp;"",""))</f>
        <v/>
      </c>
      <c r="S292" s="69">
        <f>IF($J292="","",IFERROR(INDEX(B!$K$2:$K$61,MATCH($J292,B!$E$2:$E$61,0))&amp;"",""))</f>
        <v/>
      </c>
      <c r="T292" s="69">
        <f>IF($J292="","",IFERROR(INDEX(B!$L$2:$L$61,MATCH($J292,B!$E$2:$E$61,0))&amp;"",""))</f>
        <v/>
      </c>
      <c r="U292" s="20" t="n"/>
      <c r="V292" s="70">
        <f>IF($J292="","",IFERROR(INDEX(B!$M$2:$M$61,MATCH($J292,B!$E$2:$E$61,0))&amp;"",""))</f>
        <v/>
      </c>
      <c r="W292" s="71">
        <f>IF(I292="","",IFERROR(MID(I292,FIND("/d/",I292)+3,FIND("/edit",I292)-FIND("/d/",I292)-3),I292))</f>
        <v/>
      </c>
      <c r="X292" s="71">
        <f>IF($J292="","",IFERROR(INDEX(B!$C$2:$C$61,MATCH($J292,B!$E$2:$E$61,0))&amp;"",""))</f>
        <v/>
      </c>
      <c r="Y292" s="20" t="n"/>
      <c r="Z292" s="72">
        <f>IF($J292="",FALSE,ISNUMBER(SEARCH("scout",$K292)))</f>
        <v/>
      </c>
      <c r="AA292" s="72">
        <f>IF($J292="",FALSE,IFERROR(INDEX(B!$N$2:$N$61,MATCH($J292,B!$E$2:$E$61,0))="Sim",FALSE))</f>
        <v/>
      </c>
      <c r="AB292" s="72">
        <f>IF($J292="",FALSE,LEFT($X292,2)="XX")</f>
        <v/>
      </c>
      <c r="AC292" s="72">
        <f>IF($J292="",FALSE,IFERROR(INDEX(B!$P$2:$P$61,MATCH($J292,B!$E$2:$E$61,0))="Sim",FALSE))</f>
        <v/>
      </c>
      <c r="AD292" s="20" t="n"/>
      <c r="AE292" s="52">
        <f>IF(H292="","",HOUR(H292))</f>
        <v/>
      </c>
      <c r="AF292" s="52" t="n"/>
    </row>
    <row r="293" ht="19.5" customHeight="1" s="58">
      <c r="A293" s="62">
        <f>IF(G293="","",IF(G293=G292,"",COUNTIF($G$3:$G$976,G293)))</f>
        <v/>
      </c>
      <c r="B293" s="20" t="n"/>
      <c r="C293" s="63">
        <f>IF(G293="","",DAY(G293))</f>
        <v/>
      </c>
      <c r="D293" s="63">
        <f>IF(G293="","",MONTH(G293))</f>
        <v/>
      </c>
      <c r="E293" s="63">
        <f>IF(G293="","",YEAR(G293))</f>
        <v/>
      </c>
      <c r="F293" s="33">
        <f>IF(G293="","",CHOOSE(MONTH(G293),"Janeiro","Fevereiro","Março","Abril","Maio","Junho","Julho","Agosto","Setembro","Outubro","Novembro","Dezembro"))</f>
        <v/>
      </c>
      <c r="G293" s="64" t="n">
        <v>46062</v>
      </c>
      <c r="H293" s="65" t="n">
        <v>0.02798611111111111</v>
      </c>
      <c r="I293" s="66" t="inlineStr">
        <is>
          <t>https://docs.google.com/spreadsheets/d/1ZiCGoPjLCjuYvujDTXK9Ixbth3tekiLtFBzBrGjPCr4/edit?gid=0#gid=0</t>
        </is>
      </c>
      <c r="J293" s="67" t="inlineStr">
        <is>
          <t>Não houve Taxa de Cancelamento - [NTX]</t>
        </is>
      </c>
      <c r="K293" s="67" t="inlineStr"/>
      <c r="L293" s="68" t="b">
        <v>0</v>
      </c>
      <c r="M293" s="20" t="n"/>
      <c r="N293" s="69">
        <f>IF($J293="","",IFERROR(INDEX(B!$F$2:$F$61,MATCH($J293,B!$E$2:$E$61,0))&amp;"",""))</f>
        <v/>
      </c>
      <c r="O293" s="69">
        <f>IF($J293="","",IFERROR(INDEX(B!$G$2:$G$61,MATCH($J293,B!$E$2:$E$61,0))&amp;"",""))</f>
        <v/>
      </c>
      <c r="P293" s="69">
        <f>IF($J293="","",IFERROR(INDEX(B!$H$2:$H$61,MATCH($J293,B!$E$2:$E$61,0))&amp;"",""))</f>
        <v/>
      </c>
      <c r="Q293" s="69">
        <f>IF($J293="","",IFERROR(INDEX(B!$I$2:$I$61,MATCH($J293,B!$E$2:$E$61,0))&amp;"",""))</f>
        <v/>
      </c>
      <c r="R293" s="69">
        <f>IF($J293="","",IFERROR(INDEX(B!$J$2:$J$61,MATCH($J293,B!$E$2:$E$61,0))&amp;"",""))</f>
        <v/>
      </c>
      <c r="S293" s="69">
        <f>IF($J293="","",IFERROR(INDEX(B!$K$2:$K$61,MATCH($J293,B!$E$2:$E$61,0))&amp;"",""))</f>
        <v/>
      </c>
      <c r="T293" s="69">
        <f>IF($J293="","",IFERROR(INDEX(B!$L$2:$L$61,MATCH($J293,B!$E$2:$E$61,0))&amp;"",""))</f>
        <v/>
      </c>
      <c r="U293" s="20" t="n"/>
      <c r="V293" s="70">
        <f>IF($J293="","",IFERROR(INDEX(B!$M$2:$M$61,MATCH($J293,B!$E$2:$E$61,0))&amp;"",""))</f>
        <v/>
      </c>
      <c r="W293" s="71">
        <f>IF(I293="","",IFERROR(MID(I293,FIND("/d/",I293)+3,FIND("/edit",I293)-FIND("/d/",I293)-3),I293))</f>
        <v/>
      </c>
      <c r="X293" s="71">
        <f>IF($J293="","",IFERROR(INDEX(B!$C$2:$C$61,MATCH($J293,B!$E$2:$E$61,0))&amp;"",""))</f>
        <v/>
      </c>
      <c r="Y293" s="20" t="n"/>
      <c r="Z293" s="72">
        <f>IF($J293="",FALSE,ISNUMBER(SEARCH("scout",$K293)))</f>
        <v/>
      </c>
      <c r="AA293" s="72">
        <f>IF($J293="",FALSE,IFERROR(INDEX(B!$N$2:$N$61,MATCH($J293,B!$E$2:$E$61,0))="Sim",FALSE))</f>
        <v/>
      </c>
      <c r="AB293" s="72">
        <f>IF($J293="",FALSE,LEFT($X293,2)="XX")</f>
        <v/>
      </c>
      <c r="AC293" s="72">
        <f>IF($J293="",FALSE,IFERROR(INDEX(B!$P$2:$P$61,MATCH($J293,B!$E$2:$E$61,0))="Sim",FALSE))</f>
        <v/>
      </c>
      <c r="AD293" s="20" t="n"/>
      <c r="AE293" s="52">
        <f>IF(H293="","",HOUR(H293))</f>
        <v/>
      </c>
      <c r="AF293" s="52" t="n"/>
    </row>
    <row r="294" ht="19.5" customHeight="1" s="58">
      <c r="A294" s="62">
        <f>IF(G294="","",IF(G294=G293,"",COUNTIF($G$3:$G$976,G294)))</f>
        <v/>
      </c>
      <c r="B294" s="20" t="n"/>
      <c r="C294" s="63">
        <f>IF(G294="","",DAY(G294))</f>
        <v/>
      </c>
      <c r="D294" s="63">
        <f>IF(G294="","",MONTH(G294))</f>
        <v/>
      </c>
      <c r="E294" s="63">
        <f>IF(G294="","",YEAR(G294))</f>
        <v/>
      </c>
      <c r="F294" s="33">
        <f>IF(G294="","",CHOOSE(MONTH(G294),"Janeiro","Fevereiro","Março","Abril","Maio","Junho","Julho","Agosto","Setembro","Outubro","Novembro","Dezembro"))</f>
        <v/>
      </c>
      <c r="G294" s="64" t="n">
        <v>46062</v>
      </c>
      <c r="H294" s="65" t="n">
        <v>0.03133101851851852</v>
      </c>
      <c r="I294" s="66" t="inlineStr">
        <is>
          <t>https://docs.google.com/spreadsheets/d/1ZiCGoPjLCjuYvujDTXK9Ixbth3tekiLtFBzBrGjPCr4/edit?gid=0#gid=0</t>
        </is>
      </c>
      <c r="J294" s="67" t="inlineStr">
        <is>
          <t>Transferência de LOB (Accounts) - [TIAC]</t>
        </is>
      </c>
      <c r="K294" s="67" t="inlineStr">
        <is>
          <t>Scout</t>
        </is>
      </c>
      <c r="L294" s="68" t="b">
        <v>0</v>
      </c>
      <c r="M294" s="20" t="n"/>
      <c r="N294" s="69">
        <f>IF($J294="","",IFERROR(INDEX(B!$F$2:$F$61,MATCH($J294,B!$E$2:$E$61,0))&amp;"",""))</f>
        <v/>
      </c>
      <c r="O294" s="69">
        <f>IF($J294="","",IFERROR(INDEX(B!$G$2:$G$61,MATCH($J294,B!$E$2:$E$61,0))&amp;"",""))</f>
        <v/>
      </c>
      <c r="P294" s="69">
        <f>IF($J294="","",IFERROR(INDEX(B!$H$2:$H$61,MATCH($J294,B!$E$2:$E$61,0))&amp;"",""))</f>
        <v/>
      </c>
      <c r="Q294" s="69">
        <f>IF($J294="","",IFERROR(INDEX(B!$I$2:$I$61,MATCH($J294,B!$E$2:$E$61,0))&amp;"",""))</f>
        <v/>
      </c>
      <c r="R294" s="69">
        <f>IF($J294="","",IFERROR(INDEX(B!$J$2:$J$61,MATCH($J294,B!$E$2:$E$61,0))&amp;"",""))</f>
        <v/>
      </c>
      <c r="S294" s="69">
        <f>IF($J294="","",IFERROR(INDEX(B!$K$2:$K$61,MATCH($J294,B!$E$2:$E$61,0))&amp;"",""))</f>
        <v/>
      </c>
      <c r="T294" s="69">
        <f>IF($J294="","",IFERROR(INDEX(B!$L$2:$L$61,MATCH($J294,B!$E$2:$E$61,0))&amp;"",""))</f>
        <v/>
      </c>
      <c r="U294" s="20" t="n"/>
      <c r="V294" s="70">
        <f>IF($J294="","",IFERROR(INDEX(B!$M$2:$M$61,MATCH($J294,B!$E$2:$E$61,0))&amp;"",""))</f>
        <v/>
      </c>
      <c r="W294" s="71">
        <f>IF(I294="","",IFERROR(MID(I294,FIND("/d/",I294)+3,FIND("/edit",I294)-FIND("/d/",I294)-3),I294))</f>
        <v/>
      </c>
      <c r="X294" s="71">
        <f>IF($J294="","",IFERROR(INDEX(B!$C$2:$C$61,MATCH($J294,B!$E$2:$E$61,0))&amp;"",""))</f>
        <v/>
      </c>
      <c r="Y294" s="20" t="n"/>
      <c r="Z294" s="72">
        <f>IF($J294="",FALSE,ISNUMBER(SEARCH("scout",$K294)))</f>
        <v/>
      </c>
      <c r="AA294" s="72">
        <f>IF($J294="",FALSE,IFERROR(INDEX(B!$N$2:$N$61,MATCH($J294,B!$E$2:$E$61,0))="Sim",FALSE))</f>
        <v/>
      </c>
      <c r="AB294" s="72">
        <f>IF($J294="",FALSE,LEFT($X294,2)="XX")</f>
        <v/>
      </c>
      <c r="AC294" s="72">
        <f>IF($J294="",FALSE,IFERROR(INDEX(B!$P$2:$P$61,MATCH($J294,B!$E$2:$E$61,0))="Sim",FALSE))</f>
        <v/>
      </c>
      <c r="AD294" s="20" t="n"/>
      <c r="AE294" s="52">
        <f>IF(H294="","",HOUR(H294))</f>
        <v/>
      </c>
      <c r="AF294" s="52" t="n"/>
    </row>
    <row r="295" ht="19.5" customHeight="1" s="58">
      <c r="A295" s="62">
        <f>IF(G295="","",IF(G295=G294,"",COUNTIF($G$3:$G$976,G295)))</f>
        <v/>
      </c>
      <c r="B295" s="20" t="n"/>
      <c r="C295" s="63">
        <f>IF(G295="","",DAY(G295))</f>
        <v/>
      </c>
      <c r="D295" s="63">
        <f>IF(G295="","",MONTH(G295))</f>
        <v/>
      </c>
      <c r="E295" s="63">
        <f>IF(G295="","",YEAR(G295))</f>
        <v/>
      </c>
      <c r="F295" s="33">
        <f>IF(G295="","",CHOOSE(MONTH(G295),"Janeiro","Fevereiro","Março","Abril","Maio","Junho","Julho","Agosto","Setembro","Outubro","Novembro","Dezembro"))</f>
        <v/>
      </c>
      <c r="G295" s="64" t="n">
        <v>46062</v>
      </c>
      <c r="H295" s="65" t="n">
        <v>0.0388425925925926</v>
      </c>
      <c r="I295" s="66" t="inlineStr">
        <is>
          <t>https://docs.google.com/spreadsheets/d/1ZiCGoPjLCjuYvujDTXK9Ixbth3tekiLtFBzBrGjPCr4/edit?gid=0#gid=0</t>
        </is>
      </c>
      <c r="J295" s="67" t="inlineStr">
        <is>
          <t>Transferência de LOB (Driver) - [TIDV]</t>
        </is>
      </c>
      <c r="K295" s="67" t="inlineStr"/>
      <c r="L295" s="68" t="b">
        <v>1</v>
      </c>
      <c r="M295" s="20" t="n"/>
      <c r="N295" s="69">
        <f>IF($J295="","",IFERROR(INDEX(B!$F$2:$F$61,MATCH($J295,B!$E$2:$E$61,0))&amp;"",""))</f>
        <v/>
      </c>
      <c r="O295" s="69">
        <f>IF($J295="","",IFERROR(INDEX(B!$G$2:$G$61,MATCH($J295,B!$E$2:$E$61,0))&amp;"",""))</f>
        <v/>
      </c>
      <c r="P295" s="69">
        <f>IF($J295="","",IFERROR(INDEX(B!$H$2:$H$61,MATCH($J295,B!$E$2:$E$61,0))&amp;"",""))</f>
        <v/>
      </c>
      <c r="Q295" s="69">
        <f>IF($J295="","",IFERROR(INDEX(B!$I$2:$I$61,MATCH($J295,B!$E$2:$E$61,0))&amp;"",""))</f>
        <v/>
      </c>
      <c r="R295" s="69">
        <f>IF($J295="","",IFERROR(INDEX(B!$J$2:$J$61,MATCH($J295,B!$E$2:$E$61,0))&amp;"",""))</f>
        <v/>
      </c>
      <c r="S295" s="69">
        <f>IF($J295="","",IFERROR(INDEX(B!$K$2:$K$61,MATCH($J295,B!$E$2:$E$61,0))&amp;"",""))</f>
        <v/>
      </c>
      <c r="T295" s="69">
        <f>IF($J295="","",IFERROR(INDEX(B!$L$2:$L$61,MATCH($J295,B!$E$2:$E$61,0))&amp;"",""))</f>
        <v/>
      </c>
      <c r="U295" s="20" t="n"/>
      <c r="V295" s="70">
        <f>IF($J295="","",IFERROR(INDEX(B!$M$2:$M$61,MATCH($J295,B!$E$2:$E$61,0))&amp;"",""))</f>
        <v/>
      </c>
      <c r="W295" s="71">
        <f>IF(I295="","",IFERROR(MID(I295,FIND("/d/",I295)+3,FIND("/edit",I295)-FIND("/d/",I295)-3),I295))</f>
        <v/>
      </c>
      <c r="X295" s="71">
        <f>IF($J295="","",IFERROR(INDEX(B!$C$2:$C$61,MATCH($J295,B!$E$2:$E$61,0))&amp;"",""))</f>
        <v/>
      </c>
      <c r="Y295" s="20" t="n"/>
      <c r="Z295" s="72">
        <f>IF($J295="",FALSE,ISNUMBER(SEARCH("scout",$K295)))</f>
        <v/>
      </c>
      <c r="AA295" s="72">
        <f>IF($J295="",FALSE,IFERROR(INDEX(B!$N$2:$N$61,MATCH($J295,B!$E$2:$E$61,0))="Sim",FALSE))</f>
        <v/>
      </c>
      <c r="AB295" s="72">
        <f>IF($J295="",FALSE,LEFT($X295,2)="XX")</f>
        <v/>
      </c>
      <c r="AC295" s="72">
        <f>IF($J295="",FALSE,IFERROR(INDEX(B!$P$2:$P$61,MATCH($J295,B!$E$2:$E$61,0))="Sim",FALSE))</f>
        <v/>
      </c>
      <c r="AD295" s="20" t="n"/>
      <c r="AE295" s="52">
        <f>IF(H295="","",HOUR(H295))</f>
        <v/>
      </c>
      <c r="AF295" s="52" t="n"/>
    </row>
    <row r="296" ht="19.5" customHeight="1" s="58">
      <c r="A296" s="62">
        <f>IF(G296="","",IF(G296=G295,"",COUNTIF($G$3:$G$976,G296)))</f>
        <v/>
      </c>
      <c r="B296" s="20" t="n"/>
      <c r="C296" s="63">
        <f>IF(G296="","",DAY(G296))</f>
        <v/>
      </c>
      <c r="D296" s="63">
        <f>IF(G296="","",MONTH(G296))</f>
        <v/>
      </c>
      <c r="E296" s="63">
        <f>IF(G296="","",YEAR(G296))</f>
        <v/>
      </c>
      <c r="F296" s="33">
        <f>IF(G296="","",CHOOSE(MONTH(G296),"Janeiro","Fevereiro","Março","Abril","Maio","Junho","Julho","Agosto","Setembro","Outubro","Novembro","Dezembro"))</f>
        <v/>
      </c>
      <c r="G296" s="64" t="n">
        <v>46062</v>
      </c>
      <c r="H296" s="65" t="n">
        <v>0.05289351851851852</v>
      </c>
      <c r="I296" s="66" t="inlineStr">
        <is>
          <t>https://docs.google.com/spreadsheets/d/1ZiCGoPjLCjuYvujDTXK9Ixbth3tekiLtFBzBrGjPCr4/edit?gid=0#gid=0</t>
        </is>
      </c>
      <c r="J296" s="67" t="inlineStr">
        <is>
          <t>Mais informações (Quanto Pagou?) - [AAV]</t>
        </is>
      </c>
      <c r="K296" s="67" t="inlineStr"/>
      <c r="L296" s="68" t="b">
        <v>0</v>
      </c>
      <c r="M296" s="20" t="n"/>
      <c r="N296" s="69">
        <f>IF($J296="","",IFERROR(INDEX(B!$F$2:$F$61,MATCH($J296,B!$E$2:$E$61,0))&amp;"",""))</f>
        <v/>
      </c>
      <c r="O296" s="69">
        <f>IF($J296="","",IFERROR(INDEX(B!$G$2:$G$61,MATCH($J296,B!$E$2:$E$61,0))&amp;"",""))</f>
        <v/>
      </c>
      <c r="P296" s="69">
        <f>IF($J296="","",IFERROR(INDEX(B!$H$2:$H$61,MATCH($J296,B!$E$2:$E$61,0))&amp;"",""))</f>
        <v/>
      </c>
      <c r="Q296" s="69">
        <f>IF($J296="","",IFERROR(INDEX(B!$I$2:$I$61,MATCH($J296,B!$E$2:$E$61,0))&amp;"",""))</f>
        <v/>
      </c>
      <c r="R296" s="69">
        <f>IF($J296="","",IFERROR(INDEX(B!$J$2:$J$61,MATCH($J296,B!$E$2:$E$61,0))&amp;"",""))</f>
        <v/>
      </c>
      <c r="S296" s="69">
        <f>IF($J296="","",IFERROR(INDEX(B!$K$2:$K$61,MATCH($J296,B!$E$2:$E$61,0))&amp;"",""))</f>
        <v/>
      </c>
      <c r="T296" s="69">
        <f>IF($J296="","",IFERROR(INDEX(B!$L$2:$L$61,MATCH($J296,B!$E$2:$E$61,0))&amp;"",""))</f>
        <v/>
      </c>
      <c r="U296" s="20" t="n"/>
      <c r="V296" s="70">
        <f>IF($J296="","",IFERROR(INDEX(B!$M$2:$M$61,MATCH($J296,B!$E$2:$E$61,0))&amp;"",""))</f>
        <v/>
      </c>
      <c r="W296" s="71">
        <f>IF(I296="","",IFERROR(MID(I296,FIND("/d/",I296)+3,FIND("/edit",I296)-FIND("/d/",I296)-3),I296))</f>
        <v/>
      </c>
      <c r="X296" s="71">
        <f>IF($J296="","",IFERROR(INDEX(B!$C$2:$C$61,MATCH($J296,B!$E$2:$E$61,0))&amp;"",""))</f>
        <v/>
      </c>
      <c r="Y296" s="20" t="n"/>
      <c r="Z296" s="72">
        <f>IF($J296="",FALSE,ISNUMBER(SEARCH("scout",$K296)))</f>
        <v/>
      </c>
      <c r="AA296" s="72">
        <f>IF($J296="",FALSE,IFERROR(INDEX(B!$N$2:$N$61,MATCH($J296,B!$E$2:$E$61,0))="Sim",FALSE))</f>
        <v/>
      </c>
      <c r="AB296" s="72">
        <f>IF($J296="",FALSE,LEFT($X296,2)="XX")</f>
        <v/>
      </c>
      <c r="AC296" s="72">
        <f>IF($J296="",FALSE,IFERROR(INDEX(B!$P$2:$P$61,MATCH($J296,B!$E$2:$E$61,0))="Sim",FALSE))</f>
        <v/>
      </c>
      <c r="AD296" s="20" t="n"/>
      <c r="AE296" s="52">
        <f>IF(H296="","",HOUR(H296))</f>
        <v/>
      </c>
      <c r="AF296" s="52" t="n"/>
    </row>
    <row r="297" ht="19.5" customHeight="1" s="58">
      <c r="A297" s="62">
        <f>IF(G297="","",IF(G297=G296,"",COUNTIF($G$3:$G$976,G297)))</f>
        <v/>
      </c>
      <c r="B297" s="20" t="n"/>
      <c r="C297" s="63">
        <f>IF(G297="","",DAY(G297))</f>
        <v/>
      </c>
      <c r="D297" s="63">
        <f>IF(G297="","",MONTH(G297))</f>
        <v/>
      </c>
      <c r="E297" s="63">
        <f>IF(G297="","",YEAR(G297))</f>
        <v/>
      </c>
      <c r="F297" s="33">
        <f>IF(G297="","",CHOOSE(MONTH(G297),"Janeiro","Fevereiro","Março","Abril","Maio","Junho","Julho","Agosto","Setembro","Outubro","Novembro","Dezembro"))</f>
        <v/>
      </c>
      <c r="G297" s="64" t="n">
        <v>46062</v>
      </c>
      <c r="H297" s="65" t="n">
        <v>0.05597222222222222</v>
      </c>
      <c r="I297" s="66" t="inlineStr">
        <is>
          <t>https://docs.google.com/spreadsheets/d/1ZiCGoPjLCjuYvujDTXK9Ixbth3tekiLtFBzBrGjPCr4/edit?gid=0#gid=0</t>
        </is>
      </c>
      <c r="J297" s="67" t="inlineStr">
        <is>
          <t>Mais informações (Quanto Pagou?) - [AAV]</t>
        </is>
      </c>
      <c r="K297" s="67" t="inlineStr">
        <is>
          <t>Scout</t>
        </is>
      </c>
      <c r="L297" s="68" t="b">
        <v>0</v>
      </c>
      <c r="M297" s="20" t="n"/>
      <c r="N297" s="69">
        <f>IF($J297="","",IFERROR(INDEX(B!$F$2:$F$61,MATCH($J297,B!$E$2:$E$61,0))&amp;"",""))</f>
        <v/>
      </c>
      <c r="O297" s="69">
        <f>IF($J297="","",IFERROR(INDEX(B!$G$2:$G$61,MATCH($J297,B!$E$2:$E$61,0))&amp;"",""))</f>
        <v/>
      </c>
      <c r="P297" s="69">
        <f>IF($J297="","",IFERROR(INDEX(B!$H$2:$H$61,MATCH($J297,B!$E$2:$E$61,0))&amp;"",""))</f>
        <v/>
      </c>
      <c r="Q297" s="69">
        <f>IF($J297="","",IFERROR(INDEX(B!$I$2:$I$61,MATCH($J297,B!$E$2:$E$61,0))&amp;"",""))</f>
        <v/>
      </c>
      <c r="R297" s="69">
        <f>IF($J297="","",IFERROR(INDEX(B!$J$2:$J$61,MATCH($J297,B!$E$2:$E$61,0))&amp;"",""))</f>
        <v/>
      </c>
      <c r="S297" s="69">
        <f>IF($J297="","",IFERROR(INDEX(B!$K$2:$K$61,MATCH($J297,B!$E$2:$E$61,0))&amp;"",""))</f>
        <v/>
      </c>
      <c r="T297" s="69">
        <f>IF($J297="","",IFERROR(INDEX(B!$L$2:$L$61,MATCH($J297,B!$E$2:$E$61,0))&amp;"",""))</f>
        <v/>
      </c>
      <c r="U297" s="20" t="n"/>
      <c r="V297" s="70">
        <f>IF($J297="","",IFERROR(INDEX(B!$M$2:$M$61,MATCH($J297,B!$E$2:$E$61,0))&amp;"",""))</f>
        <v/>
      </c>
      <c r="W297" s="71">
        <f>IF(I297="","",IFERROR(MID(I297,FIND("/d/",I297)+3,FIND("/edit",I297)-FIND("/d/",I297)-3),I297))</f>
        <v/>
      </c>
      <c r="X297" s="71">
        <f>IF($J297="","",IFERROR(INDEX(B!$C$2:$C$61,MATCH($J297,B!$E$2:$E$61,0))&amp;"",""))</f>
        <v/>
      </c>
      <c r="Y297" s="20" t="n"/>
      <c r="Z297" s="72">
        <f>IF($J297="",FALSE,ISNUMBER(SEARCH("scout",$K297)))</f>
        <v/>
      </c>
      <c r="AA297" s="72">
        <f>IF($J297="",FALSE,IFERROR(INDEX(B!$N$2:$N$61,MATCH($J297,B!$E$2:$E$61,0))="Sim",FALSE))</f>
        <v/>
      </c>
      <c r="AB297" s="72">
        <f>IF($J297="",FALSE,LEFT($X297,2)="XX")</f>
        <v/>
      </c>
      <c r="AC297" s="72">
        <f>IF($J297="",FALSE,IFERROR(INDEX(B!$P$2:$P$61,MATCH($J297,B!$E$2:$E$61,0))="Sim",FALSE))</f>
        <v/>
      </c>
      <c r="AD297" s="20" t="n"/>
      <c r="AE297" s="52">
        <f>IF(H297="","",HOUR(H297))</f>
        <v/>
      </c>
      <c r="AF297" s="52" t="n"/>
    </row>
    <row r="298" ht="19.5" customHeight="1" s="58">
      <c r="A298" s="62">
        <f>IF(G298="","",IF(G298=G297,"",COUNTIF($G$3:$G$976,G298)))</f>
        <v/>
      </c>
      <c r="B298" s="20" t="n"/>
      <c r="C298" s="63">
        <f>IF(G298="","",DAY(G298))</f>
        <v/>
      </c>
      <c r="D298" s="63">
        <f>IF(G298="","",MONTH(G298))</f>
        <v/>
      </c>
      <c r="E298" s="63">
        <f>IF(G298="","",YEAR(G298))</f>
        <v/>
      </c>
      <c r="F298" s="33">
        <f>IF(G298="","",CHOOSE(MONTH(G298),"Janeiro","Fevereiro","Março","Abril","Maio","Junho","Julho","Agosto","Setembro","Outubro","Novembro","Dezembro"))</f>
        <v/>
      </c>
      <c r="G298" s="64" t="n">
        <v>46062</v>
      </c>
      <c r="H298" s="65" t="n">
        <v>0.09395833333333334</v>
      </c>
      <c r="I298" s="66" t="inlineStr">
        <is>
          <t>https://docs.google.com/spreadsheets/d/1ZiCGoPjLCjuYvujDTXK9Ixbth3tekiLtFBzBrGjPCr4/edit?gid=0#gid=0</t>
        </is>
      </c>
      <c r="J298" s="67" t="inlineStr">
        <is>
          <t>Taxa de Cancelamento Cobrada Corretamente - [TXCO]</t>
        </is>
      </c>
      <c r="K298" s="67" t="inlineStr"/>
      <c r="L298" s="68" t="b">
        <v>0</v>
      </c>
      <c r="M298" s="20" t="n"/>
      <c r="N298" s="69">
        <f>IF($J298="","",IFERROR(INDEX(B!$F$2:$F$61,MATCH($J298,B!$E$2:$E$61,0))&amp;"",""))</f>
        <v/>
      </c>
      <c r="O298" s="69">
        <f>IF($J298="","",IFERROR(INDEX(B!$G$2:$G$61,MATCH($J298,B!$E$2:$E$61,0))&amp;"",""))</f>
        <v/>
      </c>
      <c r="P298" s="69">
        <f>IF($J298="","",IFERROR(INDEX(B!$H$2:$H$61,MATCH($J298,B!$E$2:$E$61,0))&amp;"",""))</f>
        <v/>
      </c>
      <c r="Q298" s="69">
        <f>IF($J298="","",IFERROR(INDEX(B!$I$2:$I$61,MATCH($J298,B!$E$2:$E$61,0))&amp;"",""))</f>
        <v/>
      </c>
      <c r="R298" s="69">
        <f>IF($J298="","",IFERROR(INDEX(B!$J$2:$J$61,MATCH($J298,B!$E$2:$E$61,0))&amp;"",""))</f>
        <v/>
      </c>
      <c r="S298" s="69">
        <f>IF($J298="","",IFERROR(INDEX(B!$K$2:$K$61,MATCH($J298,B!$E$2:$E$61,0))&amp;"",""))</f>
        <v/>
      </c>
      <c r="T298" s="69">
        <f>IF($J298="","",IFERROR(INDEX(B!$L$2:$L$61,MATCH($J298,B!$E$2:$E$61,0))&amp;"",""))</f>
        <v/>
      </c>
      <c r="U298" s="20" t="n"/>
      <c r="V298" s="70">
        <f>IF($J298="","",IFERROR(INDEX(B!$M$2:$M$61,MATCH($J298,B!$E$2:$E$61,0))&amp;"",""))</f>
        <v/>
      </c>
      <c r="W298" s="71">
        <f>IF(I298="","",IFERROR(MID(I298,FIND("/d/",I298)+3,FIND("/edit",I298)-FIND("/d/",I298)-3),I298))</f>
        <v/>
      </c>
      <c r="X298" s="71">
        <f>IF($J298="","",IFERROR(INDEX(B!$C$2:$C$61,MATCH($J298,B!$E$2:$E$61,0))&amp;"",""))</f>
        <v/>
      </c>
      <c r="Y298" s="20" t="n"/>
      <c r="Z298" s="72">
        <f>IF($J298="",FALSE,ISNUMBER(SEARCH("scout",$K298)))</f>
        <v/>
      </c>
      <c r="AA298" s="72">
        <f>IF($J298="",FALSE,IFERROR(INDEX(B!$N$2:$N$61,MATCH($J298,B!$E$2:$E$61,0))="Sim",FALSE))</f>
        <v/>
      </c>
      <c r="AB298" s="72">
        <f>IF($J298="",FALSE,LEFT($X298,2)="XX")</f>
        <v/>
      </c>
      <c r="AC298" s="72">
        <f>IF($J298="",FALSE,IFERROR(INDEX(B!$P$2:$P$61,MATCH($J298,B!$E$2:$E$61,0))="Sim",FALSE))</f>
        <v/>
      </c>
      <c r="AD298" s="20" t="n"/>
      <c r="AE298" s="52">
        <f>IF(H298="","",HOUR(H298))</f>
        <v/>
      </c>
      <c r="AF298" s="52" t="n"/>
    </row>
    <row r="299" ht="19.5" customHeight="1" s="58">
      <c r="A299" s="62">
        <f>IF(G299="","",IF(G299=G298,"",COUNTIF($G$3:$G$976,G299)))</f>
        <v/>
      </c>
      <c r="B299" s="20" t="n"/>
      <c r="C299" s="63">
        <f>IF(G299="","",DAY(G299))</f>
        <v/>
      </c>
      <c r="D299" s="63">
        <f>IF(G299="","",MONTH(G299))</f>
        <v/>
      </c>
      <c r="E299" s="63">
        <f>IF(G299="","",YEAR(G299))</f>
        <v/>
      </c>
      <c r="F299" s="33">
        <f>IF(G299="","",CHOOSE(MONTH(G299),"Janeiro","Fevereiro","Março","Abril","Maio","Junho","Julho","Agosto","Setembro","Outubro","Novembro","Dezembro"))</f>
        <v/>
      </c>
      <c r="G299" s="64" t="n">
        <v>46062</v>
      </c>
      <c r="H299" s="65" t="n">
        <v>0.09422453703703704</v>
      </c>
      <c r="I299" s="66" t="inlineStr">
        <is>
          <t>https://docs.google.com/spreadsheets/d/1ZiCGoPjLCjuYvujDTXK9Ixbth3tekiLtFBzBrGjPCr4/edit?gid=0#gid=0</t>
        </is>
      </c>
      <c r="J299" s="67" t="inlineStr">
        <is>
          <t>Transferência de LOB (Driver) - [TIDV]</t>
        </is>
      </c>
      <c r="K299" s="67" t="inlineStr">
        <is>
          <t>Scout</t>
        </is>
      </c>
      <c r="L299" s="68" t="b">
        <v>1</v>
      </c>
      <c r="M299" s="20" t="n"/>
      <c r="N299" s="69">
        <f>IF($J299="","",IFERROR(INDEX(B!$F$2:$F$61,MATCH($J299,B!$E$2:$E$61,0))&amp;"",""))</f>
        <v/>
      </c>
      <c r="O299" s="69">
        <f>IF($J299="","",IFERROR(INDEX(B!$G$2:$G$61,MATCH($J299,B!$E$2:$E$61,0))&amp;"",""))</f>
        <v/>
      </c>
      <c r="P299" s="69">
        <f>IF($J299="","",IFERROR(INDEX(B!$H$2:$H$61,MATCH($J299,B!$E$2:$E$61,0))&amp;"",""))</f>
        <v/>
      </c>
      <c r="Q299" s="69">
        <f>IF($J299="","",IFERROR(INDEX(B!$I$2:$I$61,MATCH($J299,B!$E$2:$E$61,0))&amp;"",""))</f>
        <v/>
      </c>
      <c r="R299" s="69">
        <f>IF($J299="","",IFERROR(INDEX(B!$J$2:$J$61,MATCH($J299,B!$E$2:$E$61,0))&amp;"",""))</f>
        <v/>
      </c>
      <c r="S299" s="69">
        <f>IF($J299="","",IFERROR(INDEX(B!$K$2:$K$61,MATCH($J299,B!$E$2:$E$61,0))&amp;"",""))</f>
        <v/>
      </c>
      <c r="T299" s="69">
        <f>IF($J299="","",IFERROR(INDEX(B!$L$2:$L$61,MATCH($J299,B!$E$2:$E$61,0))&amp;"",""))</f>
        <v/>
      </c>
      <c r="U299" s="20" t="n"/>
      <c r="V299" s="70">
        <f>IF($J299="","",IFERROR(INDEX(B!$M$2:$M$61,MATCH($J299,B!$E$2:$E$61,0))&amp;"",""))</f>
        <v/>
      </c>
      <c r="W299" s="71">
        <f>IF(I299="","",IFERROR(MID(I299,FIND("/d/",I299)+3,FIND("/edit",I299)-FIND("/d/",I299)-3),I299))</f>
        <v/>
      </c>
      <c r="X299" s="71">
        <f>IF($J299="","",IFERROR(INDEX(B!$C$2:$C$61,MATCH($J299,B!$E$2:$E$61,0))&amp;"",""))</f>
        <v/>
      </c>
      <c r="Y299" s="20" t="n"/>
      <c r="Z299" s="72">
        <f>IF($J299="",FALSE,ISNUMBER(SEARCH("scout",$K299)))</f>
        <v/>
      </c>
      <c r="AA299" s="72">
        <f>IF($J299="",FALSE,IFERROR(INDEX(B!$N$2:$N$61,MATCH($J299,B!$E$2:$E$61,0))="Sim",FALSE))</f>
        <v/>
      </c>
      <c r="AB299" s="72">
        <f>IF($J299="",FALSE,LEFT($X299,2)="XX")</f>
        <v/>
      </c>
      <c r="AC299" s="72">
        <f>IF($J299="",FALSE,IFERROR(INDEX(B!$P$2:$P$61,MATCH($J299,B!$E$2:$E$61,0))="Sim",FALSE))</f>
        <v/>
      </c>
      <c r="AD299" s="20" t="n"/>
      <c r="AE299" s="52">
        <f>IF(H299="","",HOUR(H299))</f>
        <v/>
      </c>
      <c r="AF299" s="52" t="n"/>
    </row>
    <row r="300" ht="19.5" customHeight="1" s="58">
      <c r="A300" s="62">
        <f>IF(G300="","",IF(G300=G299,"",COUNTIF($G$3:$G$976,G300)))</f>
        <v/>
      </c>
      <c r="B300" s="20" t="n"/>
      <c r="C300" s="63">
        <f>IF(G300="","",DAY(G300))</f>
        <v/>
      </c>
      <c r="D300" s="63">
        <f>IF(G300="","",MONTH(G300))</f>
        <v/>
      </c>
      <c r="E300" s="63">
        <f>IF(G300="","",YEAR(G300))</f>
        <v/>
      </c>
      <c r="F300" s="33">
        <f>IF(G300="","",CHOOSE(MONTH(G300),"Janeiro","Fevereiro","Março","Abril","Maio","Junho","Julho","Agosto","Setembro","Outubro","Novembro","Dezembro"))</f>
        <v/>
      </c>
      <c r="G300" s="64" t="n">
        <v>46062</v>
      </c>
      <c r="H300" s="65" t="n">
        <v>0.0974074074074074</v>
      </c>
      <c r="I300" s="66" t="inlineStr">
        <is>
          <t>https://docs.google.com/spreadsheets/d/1ZiCGoPjLCjuYvujDTXK9Ixbth3tekiLtFBzBrGjPCr4/edit?gid=0#gid=0</t>
        </is>
      </c>
      <c r="J300" s="67" t="inlineStr">
        <is>
          <t>Pushback - [XX]</t>
        </is>
      </c>
      <c r="K300" s="67" t="inlineStr">
        <is>
          <t>Scout</t>
        </is>
      </c>
      <c r="L300" s="68" t="b">
        <v>0</v>
      </c>
      <c r="M300" s="20" t="n"/>
      <c r="N300" s="69">
        <f>IF($J300="","",IFERROR(INDEX(B!$F$2:$F$61,MATCH($J300,B!$E$2:$E$61,0))&amp;"",""))</f>
        <v/>
      </c>
      <c r="O300" s="69">
        <f>IF($J300="","",IFERROR(INDEX(B!$G$2:$G$61,MATCH($J300,B!$E$2:$E$61,0))&amp;"",""))</f>
        <v/>
      </c>
      <c r="P300" s="69">
        <f>IF($J300="","",IFERROR(INDEX(B!$H$2:$H$61,MATCH($J300,B!$E$2:$E$61,0))&amp;"",""))</f>
        <v/>
      </c>
      <c r="Q300" s="69">
        <f>IF($J300="","",IFERROR(INDEX(B!$I$2:$I$61,MATCH($J300,B!$E$2:$E$61,0))&amp;"",""))</f>
        <v/>
      </c>
      <c r="R300" s="69">
        <f>IF($J300="","",IFERROR(INDEX(B!$J$2:$J$61,MATCH($J300,B!$E$2:$E$61,0))&amp;"",""))</f>
        <v/>
      </c>
      <c r="S300" s="69">
        <f>IF($J300="","",IFERROR(INDEX(B!$K$2:$K$61,MATCH($J300,B!$E$2:$E$61,0))&amp;"",""))</f>
        <v/>
      </c>
      <c r="T300" s="69">
        <f>IF($J300="","",IFERROR(INDEX(B!$L$2:$L$61,MATCH($J300,B!$E$2:$E$61,0))&amp;"",""))</f>
        <v/>
      </c>
      <c r="U300" s="20" t="n"/>
      <c r="V300" s="70">
        <f>IF($J300="","",IFERROR(INDEX(B!$M$2:$M$61,MATCH($J300,B!$E$2:$E$61,0))&amp;"",""))</f>
        <v/>
      </c>
      <c r="W300" s="71">
        <f>IF(I300="","",IFERROR(MID(I300,FIND("/d/",I300)+3,FIND("/edit",I300)-FIND("/d/",I300)-3),I300))</f>
        <v/>
      </c>
      <c r="X300" s="71">
        <f>IF($J300="","",IFERROR(INDEX(B!$C$2:$C$61,MATCH($J300,B!$E$2:$E$61,0))&amp;"",""))</f>
        <v/>
      </c>
      <c r="Y300" s="20" t="n"/>
      <c r="Z300" s="72">
        <f>IF($J300="",FALSE,ISNUMBER(SEARCH("scout",$K300)))</f>
        <v/>
      </c>
      <c r="AA300" s="72">
        <f>IF($J300="",FALSE,IFERROR(INDEX(B!$N$2:$N$61,MATCH($J300,B!$E$2:$E$61,0))="Sim",FALSE))</f>
        <v/>
      </c>
      <c r="AB300" s="72">
        <f>IF($J300="",FALSE,LEFT($X300,2)="XX")</f>
        <v/>
      </c>
      <c r="AC300" s="72">
        <f>IF($J300="",FALSE,IFERROR(INDEX(B!$P$2:$P$61,MATCH($J300,B!$E$2:$E$61,0))="Sim",FALSE))</f>
        <v/>
      </c>
      <c r="AD300" s="20" t="n"/>
      <c r="AE300" s="52">
        <f>IF(H300="","",HOUR(H300))</f>
        <v/>
      </c>
      <c r="AF300" s="52" t="n"/>
    </row>
    <row r="301" ht="19.5" customHeight="1" s="58">
      <c r="A301" s="62">
        <f>IF(G301="","",IF(G301=G300,"",COUNTIF($G$3:$G$976,G301)))</f>
        <v/>
      </c>
      <c r="B301" s="20" t="n"/>
      <c r="C301" s="63">
        <f>IF(G301="","",DAY(G301))</f>
        <v/>
      </c>
      <c r="D301" s="63">
        <f>IF(G301="","",MONTH(G301))</f>
        <v/>
      </c>
      <c r="E301" s="63">
        <f>IF(G301="","",YEAR(G301))</f>
        <v/>
      </c>
      <c r="F301" s="33">
        <f>IF(G301="","",CHOOSE(MONTH(G301),"Janeiro","Fevereiro","Março","Abril","Maio","Junho","Julho","Agosto","Setembro","Outubro","Novembro","Dezembro"))</f>
        <v/>
      </c>
      <c r="G301" s="64" t="n">
        <v>46063</v>
      </c>
      <c r="H301" s="65" t="n">
        <v>0.0005787037037037037</v>
      </c>
      <c r="I301" s="66" t="inlineStr">
        <is>
          <t>https://docs.google.com/spreadsheets/d/1ZiCGoPjLCjuYvujDTXK9Ixbth3tekiLtFBzBrGjPCr4/edit?gid=0#gid=0</t>
        </is>
      </c>
      <c r="J301" s="67" t="inlineStr">
        <is>
          <t>Transferência de LOB (Safety) - [TIST]</t>
        </is>
      </c>
      <c r="K301" s="67" t="inlineStr"/>
      <c r="L301" s="68" t="b">
        <v>0</v>
      </c>
      <c r="M301" s="20" t="n"/>
      <c r="N301" s="69">
        <f>IF($J301="","",IFERROR(INDEX(B!$F$2:$F$61,MATCH($J301,B!$E$2:$E$61,0))&amp;"",""))</f>
        <v/>
      </c>
      <c r="O301" s="69">
        <f>IF($J301="","",IFERROR(INDEX(B!$G$2:$G$61,MATCH($J301,B!$E$2:$E$61,0))&amp;"",""))</f>
        <v/>
      </c>
      <c r="P301" s="69">
        <f>IF($J301="","",IFERROR(INDEX(B!$H$2:$H$61,MATCH($J301,B!$E$2:$E$61,0))&amp;"",""))</f>
        <v/>
      </c>
      <c r="Q301" s="69">
        <f>IF($J301="","",IFERROR(INDEX(B!$I$2:$I$61,MATCH($J301,B!$E$2:$E$61,0))&amp;"",""))</f>
        <v/>
      </c>
      <c r="R301" s="69">
        <f>IF($J301="","",IFERROR(INDEX(B!$J$2:$J$61,MATCH($J301,B!$E$2:$E$61,0))&amp;"",""))</f>
        <v/>
      </c>
      <c r="S301" s="69">
        <f>IF($J301="","",IFERROR(INDEX(B!$K$2:$K$61,MATCH($J301,B!$E$2:$E$61,0))&amp;"",""))</f>
        <v/>
      </c>
      <c r="T301" s="69">
        <f>IF($J301="","",IFERROR(INDEX(B!$L$2:$L$61,MATCH($J301,B!$E$2:$E$61,0))&amp;"",""))</f>
        <v/>
      </c>
      <c r="U301" s="20" t="n"/>
      <c r="V301" s="70">
        <f>IF($J301="","",IFERROR(INDEX(B!$M$2:$M$61,MATCH($J301,B!$E$2:$E$61,0))&amp;"",""))</f>
        <v/>
      </c>
      <c r="W301" s="71">
        <f>IF(I301="","",IFERROR(MID(I301,FIND("/d/",I301)+3,FIND("/edit",I301)-FIND("/d/",I301)-3),I301))</f>
        <v/>
      </c>
      <c r="X301" s="71">
        <f>IF($J301="","",IFERROR(INDEX(B!$C$2:$C$61,MATCH($J301,B!$E$2:$E$61,0))&amp;"",""))</f>
        <v/>
      </c>
      <c r="Y301" s="20" t="n"/>
      <c r="Z301" s="72">
        <f>IF($J301="",FALSE,ISNUMBER(SEARCH("scout",$K301)))</f>
        <v/>
      </c>
      <c r="AA301" s="72">
        <f>IF($J301="",FALSE,IFERROR(INDEX(B!$N$2:$N$61,MATCH($J301,B!$E$2:$E$61,0))="Sim",FALSE))</f>
        <v/>
      </c>
      <c r="AB301" s="72">
        <f>IF($J301="",FALSE,LEFT($X301,2)="XX")</f>
        <v/>
      </c>
      <c r="AC301" s="72">
        <f>IF($J301="",FALSE,IFERROR(INDEX(B!$P$2:$P$61,MATCH($J301,B!$E$2:$E$61,0))="Sim",FALSE))</f>
        <v/>
      </c>
      <c r="AD301" s="20" t="n"/>
      <c r="AE301" s="52">
        <f>IF(H301="","",HOUR(H301))</f>
        <v/>
      </c>
      <c r="AF301" s="52" t="n"/>
    </row>
    <row r="302" ht="19.5" customHeight="1" s="58">
      <c r="A302" s="62">
        <f>IF(G302="","",IF(G302=G301,"",COUNTIF($G$3:$G$976,G302)))</f>
        <v/>
      </c>
      <c r="B302" s="20" t="n"/>
      <c r="C302" s="63">
        <f>IF(G302="","",DAY(G302))</f>
        <v/>
      </c>
      <c r="D302" s="63">
        <f>IF(G302="","",MONTH(G302))</f>
        <v/>
      </c>
      <c r="E302" s="63">
        <f>IF(G302="","",YEAR(G302))</f>
        <v/>
      </c>
      <c r="F302" s="33">
        <f>IF(G302="","",CHOOSE(MONTH(G302),"Janeiro","Fevereiro","Março","Abril","Maio","Junho","Julho","Agosto","Setembro","Outubro","Novembro","Dezembro"))</f>
        <v/>
      </c>
      <c r="G302" s="64" t="n">
        <v>46063</v>
      </c>
      <c r="H302" s="65" t="n">
        <v>0.01320601851851852</v>
      </c>
      <c r="I302" s="66" t="inlineStr">
        <is>
          <t>https://docs.google.com/spreadsheets/d/1ZiCGoPjLCjuYvujDTXK9Ixbth3tekiLtFBzBrGjPCr4/edit?gid=0#gid=0</t>
        </is>
      </c>
      <c r="J302" s="67" t="inlineStr">
        <is>
          <t>Taxa de Cancelamento - [TXC]</t>
        </is>
      </c>
      <c r="K302" s="67" t="inlineStr"/>
      <c r="L302" s="68" t="b">
        <v>0</v>
      </c>
      <c r="M302" s="20" t="n"/>
      <c r="N302" s="69">
        <f>IF($J302="","",IFERROR(INDEX(B!$F$2:$F$61,MATCH($J302,B!$E$2:$E$61,0))&amp;"",""))</f>
        <v/>
      </c>
      <c r="O302" s="69">
        <f>IF($J302="","",IFERROR(INDEX(B!$G$2:$G$61,MATCH($J302,B!$E$2:$E$61,0))&amp;"",""))</f>
        <v/>
      </c>
      <c r="P302" s="69">
        <f>IF($J302="","",IFERROR(INDEX(B!$H$2:$H$61,MATCH($J302,B!$E$2:$E$61,0))&amp;"",""))</f>
        <v/>
      </c>
      <c r="Q302" s="69">
        <f>IF($J302="","",IFERROR(INDEX(B!$I$2:$I$61,MATCH($J302,B!$E$2:$E$61,0))&amp;"",""))</f>
        <v/>
      </c>
      <c r="R302" s="69">
        <f>IF($J302="","",IFERROR(INDEX(B!$J$2:$J$61,MATCH($J302,B!$E$2:$E$61,0))&amp;"",""))</f>
        <v/>
      </c>
      <c r="S302" s="69">
        <f>IF($J302="","",IFERROR(INDEX(B!$K$2:$K$61,MATCH($J302,B!$E$2:$E$61,0))&amp;"",""))</f>
        <v/>
      </c>
      <c r="T302" s="69">
        <f>IF($J302="","",IFERROR(INDEX(B!$L$2:$L$61,MATCH($J302,B!$E$2:$E$61,0))&amp;"",""))</f>
        <v/>
      </c>
      <c r="U302" s="20" t="n"/>
      <c r="V302" s="70">
        <f>IF($J302="","",IFERROR(INDEX(B!$M$2:$M$61,MATCH($J302,B!$E$2:$E$61,0))&amp;"",""))</f>
        <v/>
      </c>
      <c r="W302" s="71">
        <f>IF(I302="","",IFERROR(MID(I302,FIND("/d/",I302)+3,FIND("/edit",I302)-FIND("/d/",I302)-3),I302))</f>
        <v/>
      </c>
      <c r="X302" s="71">
        <f>IF($J302="","",IFERROR(INDEX(B!$C$2:$C$61,MATCH($J302,B!$E$2:$E$61,0))&amp;"",""))</f>
        <v/>
      </c>
      <c r="Y302" s="20" t="n"/>
      <c r="Z302" s="72">
        <f>IF($J302="",FALSE,ISNUMBER(SEARCH("scout",$K302)))</f>
        <v/>
      </c>
      <c r="AA302" s="72">
        <f>IF($J302="",FALSE,IFERROR(INDEX(B!$N$2:$N$61,MATCH($J302,B!$E$2:$E$61,0))="Sim",FALSE))</f>
        <v/>
      </c>
      <c r="AB302" s="72">
        <f>IF($J302="",FALSE,LEFT($X302,2)="XX")</f>
        <v/>
      </c>
      <c r="AC302" s="72">
        <f>IF($J302="",FALSE,IFERROR(INDEX(B!$P$2:$P$61,MATCH($J302,B!$E$2:$E$61,0))="Sim",FALSE))</f>
        <v/>
      </c>
      <c r="AD302" s="20" t="n"/>
      <c r="AE302" s="52">
        <f>IF(H302="","",HOUR(H302))</f>
        <v/>
      </c>
      <c r="AF302" s="52" t="n"/>
    </row>
    <row r="303" ht="19.5" customHeight="1" s="58">
      <c r="A303" s="62">
        <f>IF(G303="","",IF(G303=G302,"",COUNTIF($G$3:$G$976,G303)))</f>
        <v/>
      </c>
      <c r="B303" s="20" t="n"/>
      <c r="C303" s="63">
        <f>IF(G303="","",DAY(G303))</f>
        <v/>
      </c>
      <c r="D303" s="63">
        <f>IF(G303="","",MONTH(G303))</f>
        <v/>
      </c>
      <c r="E303" s="63">
        <f>IF(G303="","",YEAR(G303))</f>
        <v/>
      </c>
      <c r="F303" s="33">
        <f>IF(G303="","",CHOOSE(MONTH(G303),"Janeiro","Fevereiro","Março","Abril","Maio","Junho","Julho","Agosto","Setembro","Outubro","Novembro","Dezembro"))</f>
        <v/>
      </c>
      <c r="G303" s="64" t="n">
        <v>46063</v>
      </c>
      <c r="H303" s="65" t="n">
        <v>0.01354166666666667</v>
      </c>
      <c r="I303" s="66" t="inlineStr">
        <is>
          <t>https://docs.google.com/spreadsheets/d/1ZiCGoPjLCjuYvujDTXK9Ixbth3tekiLtFBzBrGjPCr4/edit?gid=0#gid=0</t>
        </is>
      </c>
      <c r="J303" s="67" t="inlineStr">
        <is>
          <t>Overpaid, Excede o limite, Sem comprovante - [OPEN]</t>
        </is>
      </c>
      <c r="K303" s="67" t="inlineStr"/>
      <c r="L303" s="68" t="b">
        <v>0</v>
      </c>
      <c r="M303" s="20" t="n"/>
      <c r="N303" s="69">
        <f>IF($J303="","",IFERROR(INDEX(B!$F$2:$F$61,MATCH($J303,B!$E$2:$E$61,0))&amp;"",""))</f>
        <v/>
      </c>
      <c r="O303" s="69">
        <f>IF($J303="","",IFERROR(INDEX(B!$G$2:$G$61,MATCH($J303,B!$E$2:$E$61,0))&amp;"",""))</f>
        <v/>
      </c>
      <c r="P303" s="69">
        <f>IF($J303="","",IFERROR(INDEX(B!$H$2:$H$61,MATCH($J303,B!$E$2:$E$61,0))&amp;"",""))</f>
        <v/>
      </c>
      <c r="Q303" s="69">
        <f>IF($J303="","",IFERROR(INDEX(B!$I$2:$I$61,MATCH($J303,B!$E$2:$E$61,0))&amp;"",""))</f>
        <v/>
      </c>
      <c r="R303" s="69">
        <f>IF($J303="","",IFERROR(INDEX(B!$J$2:$J$61,MATCH($J303,B!$E$2:$E$61,0))&amp;"",""))</f>
        <v/>
      </c>
      <c r="S303" s="69">
        <f>IF($J303="","",IFERROR(INDEX(B!$K$2:$K$61,MATCH($J303,B!$E$2:$E$61,0))&amp;"",""))</f>
        <v/>
      </c>
      <c r="T303" s="69">
        <f>IF($J303="","",IFERROR(INDEX(B!$L$2:$L$61,MATCH($J303,B!$E$2:$E$61,0))&amp;"",""))</f>
        <v/>
      </c>
      <c r="U303" s="20" t="n"/>
      <c r="V303" s="70">
        <f>IF($J303="","",IFERROR(INDEX(B!$M$2:$M$61,MATCH($J303,B!$E$2:$E$61,0))&amp;"",""))</f>
        <v/>
      </c>
      <c r="W303" s="71">
        <f>IF(I303="","",IFERROR(MID(I303,FIND("/d/",I303)+3,FIND("/edit",I303)-FIND("/d/",I303)-3),I303))</f>
        <v/>
      </c>
      <c r="X303" s="71">
        <f>IF($J303="","",IFERROR(INDEX(B!$C$2:$C$61,MATCH($J303,B!$E$2:$E$61,0))&amp;"",""))</f>
        <v/>
      </c>
      <c r="Y303" s="20" t="n"/>
      <c r="Z303" s="72">
        <f>IF($J303="",FALSE,ISNUMBER(SEARCH("scout",$K303)))</f>
        <v/>
      </c>
      <c r="AA303" s="72">
        <f>IF($J303="",FALSE,IFERROR(INDEX(B!$N$2:$N$61,MATCH($J303,B!$E$2:$E$61,0))="Sim",FALSE))</f>
        <v/>
      </c>
      <c r="AB303" s="72">
        <f>IF($J303="",FALSE,LEFT($X303,2)="XX")</f>
        <v/>
      </c>
      <c r="AC303" s="72">
        <f>IF($J303="",FALSE,IFERROR(INDEX(B!$P$2:$P$61,MATCH($J303,B!$E$2:$E$61,0))="Sim",FALSE))</f>
        <v/>
      </c>
      <c r="AD303" s="20" t="n"/>
      <c r="AE303" s="52">
        <f>IF(H303="","",HOUR(H303))</f>
        <v/>
      </c>
      <c r="AF303" s="52" t="n"/>
    </row>
    <row r="304" ht="19.5" customHeight="1" s="58">
      <c r="A304" s="62">
        <f>IF(G304="","",IF(G304=G303,"",COUNTIF($G$3:$G$976,G304)))</f>
        <v/>
      </c>
      <c r="B304" s="20" t="n"/>
      <c r="C304" s="63">
        <f>IF(G304="","",DAY(G304))</f>
        <v/>
      </c>
      <c r="D304" s="63">
        <f>IF(G304="","",MONTH(G304))</f>
        <v/>
      </c>
      <c r="E304" s="63">
        <f>IF(G304="","",YEAR(G304))</f>
        <v/>
      </c>
      <c r="F304" s="33">
        <f>IF(G304="","",CHOOSE(MONTH(G304),"Janeiro","Fevereiro","Março","Abril","Maio","Junho","Julho","Agosto","Setembro","Outubro","Novembro","Dezembro"))</f>
        <v/>
      </c>
      <c r="G304" s="64" t="n">
        <v>46063</v>
      </c>
      <c r="H304" s="65" t="n">
        <v>0.01726851851851852</v>
      </c>
      <c r="I304" s="66" t="inlineStr">
        <is>
          <t>https://docs.google.com/spreadsheets/d/1ZiCGoPjLCjuYvujDTXK9Ixbth3tekiLtFBzBrGjPCr4/edit?gid=0#gid=0</t>
        </is>
      </c>
      <c r="J304" s="67" t="inlineStr">
        <is>
          <t>Transferência de LOB (Lost Items) - [TILI]</t>
        </is>
      </c>
      <c r="K304" s="67" t="inlineStr">
        <is>
          <t>Scout</t>
        </is>
      </c>
      <c r="L304" s="68" t="b">
        <v>0</v>
      </c>
      <c r="M304" s="20" t="n"/>
      <c r="N304" s="69">
        <f>IF($J304="","",IFERROR(INDEX(B!$F$2:$F$61,MATCH($J304,B!$E$2:$E$61,0))&amp;"",""))</f>
        <v/>
      </c>
      <c r="O304" s="69">
        <f>IF($J304="","",IFERROR(INDEX(B!$G$2:$G$61,MATCH($J304,B!$E$2:$E$61,0))&amp;"",""))</f>
        <v/>
      </c>
      <c r="P304" s="69">
        <f>IF($J304="","",IFERROR(INDEX(B!$H$2:$H$61,MATCH($J304,B!$E$2:$E$61,0))&amp;"",""))</f>
        <v/>
      </c>
      <c r="Q304" s="69">
        <f>IF($J304="","",IFERROR(INDEX(B!$I$2:$I$61,MATCH($J304,B!$E$2:$E$61,0))&amp;"",""))</f>
        <v/>
      </c>
      <c r="R304" s="69">
        <f>IF($J304="","",IFERROR(INDEX(B!$J$2:$J$61,MATCH($J304,B!$E$2:$E$61,0))&amp;"",""))</f>
        <v/>
      </c>
      <c r="S304" s="69">
        <f>IF($J304="","",IFERROR(INDEX(B!$K$2:$K$61,MATCH($J304,B!$E$2:$E$61,0))&amp;"",""))</f>
        <v/>
      </c>
      <c r="T304" s="69">
        <f>IF($J304="","",IFERROR(INDEX(B!$L$2:$L$61,MATCH($J304,B!$E$2:$E$61,0))&amp;"",""))</f>
        <v/>
      </c>
      <c r="U304" s="20" t="n"/>
      <c r="V304" s="70">
        <f>IF($J304="","",IFERROR(INDEX(B!$M$2:$M$61,MATCH($J304,B!$E$2:$E$61,0))&amp;"",""))</f>
        <v/>
      </c>
      <c r="W304" s="71">
        <f>IF(I304="","",IFERROR(MID(I304,FIND("/d/",I304)+3,FIND("/edit",I304)-FIND("/d/",I304)-3),I304))</f>
        <v/>
      </c>
      <c r="X304" s="71">
        <f>IF($J304="","",IFERROR(INDEX(B!$C$2:$C$61,MATCH($J304,B!$E$2:$E$61,0))&amp;"",""))</f>
        <v/>
      </c>
      <c r="Y304" s="20" t="n"/>
      <c r="Z304" s="72">
        <f>IF($J304="",FALSE,ISNUMBER(SEARCH("scout",$K304)))</f>
        <v/>
      </c>
      <c r="AA304" s="72">
        <f>IF($J304="",FALSE,IFERROR(INDEX(B!$N$2:$N$61,MATCH($J304,B!$E$2:$E$61,0))="Sim",FALSE))</f>
        <v/>
      </c>
      <c r="AB304" s="72">
        <f>IF($J304="",FALSE,LEFT($X304,2)="XX")</f>
        <v/>
      </c>
      <c r="AC304" s="72">
        <f>IF($J304="",FALSE,IFERROR(INDEX(B!$P$2:$P$61,MATCH($J304,B!$E$2:$E$61,0))="Sim",FALSE))</f>
        <v/>
      </c>
      <c r="AD304" s="20" t="n"/>
      <c r="AE304" s="52">
        <f>IF(H304="","",HOUR(H304))</f>
        <v/>
      </c>
      <c r="AF304" s="52" t="n"/>
    </row>
    <row r="305" ht="19.5" customHeight="1" s="58">
      <c r="A305" s="62">
        <f>IF(G305="","",IF(G305=G304,"",COUNTIF($G$3:$G$976,G305)))</f>
        <v/>
      </c>
      <c r="B305" s="20" t="n"/>
      <c r="C305" s="63">
        <f>IF(G305="","",DAY(G305))</f>
        <v/>
      </c>
      <c r="D305" s="63">
        <f>IF(G305="","",MONTH(G305))</f>
        <v/>
      </c>
      <c r="E305" s="63">
        <f>IF(G305="","",YEAR(G305))</f>
        <v/>
      </c>
      <c r="F305" s="33">
        <f>IF(G305="","",CHOOSE(MONTH(G305),"Janeiro","Fevereiro","Março","Abril","Maio","Junho","Julho","Agosto","Setembro","Outubro","Novembro","Dezembro"))</f>
        <v/>
      </c>
      <c r="G305" s="64" t="n">
        <v>46063</v>
      </c>
      <c r="H305" s="65" t="n">
        <v>0.02443287037037037</v>
      </c>
      <c r="I305" s="66" t="inlineStr">
        <is>
          <t>https://docs.google.com/spreadsheets/d/1ZiCGoPjLCjuYvujDTXK9Ixbth3tekiLtFBzBrGjPCr4/edit?gid=0#gid=0</t>
        </is>
      </c>
      <c r="J305" s="67" t="inlineStr">
        <is>
          <t>Overpaid, Não excede o limite, Sem comprovante - [OPNN]</t>
        </is>
      </c>
      <c r="K305" s="67" t="inlineStr"/>
      <c r="L305" s="68" t="b">
        <v>0</v>
      </c>
      <c r="M305" s="20" t="n"/>
      <c r="N305" s="69">
        <f>IF($J305="","",IFERROR(INDEX(B!$F$2:$F$61,MATCH($J305,B!$E$2:$E$61,0))&amp;"",""))</f>
        <v/>
      </c>
      <c r="O305" s="69">
        <f>IF($J305="","",IFERROR(INDEX(B!$G$2:$G$61,MATCH($J305,B!$E$2:$E$61,0))&amp;"",""))</f>
        <v/>
      </c>
      <c r="P305" s="69">
        <f>IF($J305="","",IFERROR(INDEX(B!$H$2:$H$61,MATCH($J305,B!$E$2:$E$61,0))&amp;"",""))</f>
        <v/>
      </c>
      <c r="Q305" s="69">
        <f>IF($J305="","",IFERROR(INDEX(B!$I$2:$I$61,MATCH($J305,B!$E$2:$E$61,0))&amp;"",""))</f>
        <v/>
      </c>
      <c r="R305" s="69">
        <f>IF($J305="","",IFERROR(INDEX(B!$J$2:$J$61,MATCH($J305,B!$E$2:$E$61,0))&amp;"",""))</f>
        <v/>
      </c>
      <c r="S305" s="69">
        <f>IF($J305="","",IFERROR(INDEX(B!$K$2:$K$61,MATCH($J305,B!$E$2:$E$61,0))&amp;"",""))</f>
        <v/>
      </c>
      <c r="T305" s="69">
        <f>IF($J305="","",IFERROR(INDEX(B!$L$2:$L$61,MATCH($J305,B!$E$2:$E$61,0))&amp;"",""))</f>
        <v/>
      </c>
      <c r="U305" s="20" t="n"/>
      <c r="V305" s="70">
        <f>IF($J305="","",IFERROR(INDEX(B!$M$2:$M$61,MATCH($J305,B!$E$2:$E$61,0))&amp;"",""))</f>
        <v/>
      </c>
      <c r="W305" s="71">
        <f>IF(I305="","",IFERROR(MID(I305,FIND("/d/",I305)+3,FIND("/edit",I305)-FIND("/d/",I305)-3),I305))</f>
        <v/>
      </c>
      <c r="X305" s="71">
        <f>IF($J305="","",IFERROR(INDEX(B!$C$2:$C$61,MATCH($J305,B!$E$2:$E$61,0))&amp;"",""))</f>
        <v/>
      </c>
      <c r="Y305" s="20" t="n"/>
      <c r="Z305" s="72">
        <f>IF($J305="",FALSE,ISNUMBER(SEARCH("scout",$K305)))</f>
        <v/>
      </c>
      <c r="AA305" s="72">
        <f>IF($J305="",FALSE,IFERROR(INDEX(B!$N$2:$N$61,MATCH($J305,B!$E$2:$E$61,0))="Sim",FALSE))</f>
        <v/>
      </c>
      <c r="AB305" s="72">
        <f>IF($J305="",FALSE,LEFT($X305,2)="XX")</f>
        <v/>
      </c>
      <c r="AC305" s="72">
        <f>IF($J305="",FALSE,IFERROR(INDEX(B!$P$2:$P$61,MATCH($J305,B!$E$2:$E$61,0))="Sim",FALSE))</f>
        <v/>
      </c>
      <c r="AD305" s="20" t="n"/>
      <c r="AE305" s="52">
        <f>IF(H305="","",HOUR(H305))</f>
        <v/>
      </c>
      <c r="AF305" s="52" t="n"/>
    </row>
    <row r="306" ht="19.5" customHeight="1" s="58">
      <c r="A306" s="62">
        <f>IF(G306="","",IF(G306=G305,"",COUNTIF($G$3:$G$976,G306)))</f>
        <v/>
      </c>
      <c r="B306" s="20" t="n"/>
      <c r="C306" s="63">
        <f>IF(G306="","",DAY(G306))</f>
        <v/>
      </c>
      <c r="D306" s="63">
        <f>IF(G306="","",MONTH(G306))</f>
        <v/>
      </c>
      <c r="E306" s="63">
        <f>IF(G306="","",YEAR(G306))</f>
        <v/>
      </c>
      <c r="F306" s="33">
        <f>IF(G306="","",CHOOSE(MONTH(G306),"Janeiro","Fevereiro","Março","Abril","Maio","Junho","Julho","Agosto","Setembro","Outubro","Novembro","Dezembro"))</f>
        <v/>
      </c>
      <c r="G306" s="64" t="n">
        <v>46063</v>
      </c>
      <c r="H306" s="65" t="n">
        <v>0.02472222222222222</v>
      </c>
      <c r="I306" s="66" t="inlineStr">
        <is>
          <t>https://docs.google.com/spreadsheets/d/1ZiCGoPjLCjuYvujDTXK9Ixbth3tekiLtFBzBrGjPCr4/edit?gid=0#gid=0</t>
        </is>
      </c>
      <c r="J306" s="67" t="inlineStr">
        <is>
          <t>Taxa de Cancelamento - [TXC]</t>
        </is>
      </c>
      <c r="K306" s="67" t="inlineStr">
        <is>
          <t>Scout</t>
        </is>
      </c>
      <c r="L306" s="68" t="b">
        <v>0</v>
      </c>
      <c r="M306" s="20" t="n"/>
      <c r="N306" s="69">
        <f>IF($J306="","",IFERROR(INDEX(B!$F$2:$F$61,MATCH($J306,B!$E$2:$E$61,0))&amp;"",""))</f>
        <v/>
      </c>
      <c r="O306" s="69">
        <f>IF($J306="","",IFERROR(INDEX(B!$G$2:$G$61,MATCH($J306,B!$E$2:$E$61,0))&amp;"",""))</f>
        <v/>
      </c>
      <c r="P306" s="69">
        <f>IF($J306="","",IFERROR(INDEX(B!$H$2:$H$61,MATCH($J306,B!$E$2:$E$61,0))&amp;"",""))</f>
        <v/>
      </c>
      <c r="Q306" s="69">
        <f>IF($J306="","",IFERROR(INDEX(B!$I$2:$I$61,MATCH($J306,B!$E$2:$E$61,0))&amp;"",""))</f>
        <v/>
      </c>
      <c r="R306" s="69">
        <f>IF($J306="","",IFERROR(INDEX(B!$J$2:$J$61,MATCH($J306,B!$E$2:$E$61,0))&amp;"",""))</f>
        <v/>
      </c>
      <c r="S306" s="69">
        <f>IF($J306="","",IFERROR(INDEX(B!$K$2:$K$61,MATCH($J306,B!$E$2:$E$61,0))&amp;"",""))</f>
        <v/>
      </c>
      <c r="T306" s="69">
        <f>IF($J306="","",IFERROR(INDEX(B!$L$2:$L$61,MATCH($J306,B!$E$2:$E$61,0))&amp;"",""))</f>
        <v/>
      </c>
      <c r="U306" s="20" t="n"/>
      <c r="V306" s="70">
        <f>IF($J306="","",IFERROR(INDEX(B!$M$2:$M$61,MATCH($J306,B!$E$2:$E$61,0))&amp;"",""))</f>
        <v/>
      </c>
      <c r="W306" s="71">
        <f>IF(I306="","",IFERROR(MID(I306,FIND("/d/",I306)+3,FIND("/edit",I306)-FIND("/d/",I306)-3),I306))</f>
        <v/>
      </c>
      <c r="X306" s="71">
        <f>IF($J306="","",IFERROR(INDEX(B!$C$2:$C$61,MATCH($J306,B!$E$2:$E$61,0))&amp;"",""))</f>
        <v/>
      </c>
      <c r="Y306" s="20" t="n"/>
      <c r="Z306" s="72">
        <f>IF($J306="",FALSE,ISNUMBER(SEARCH("scout",$K306)))</f>
        <v/>
      </c>
      <c r="AA306" s="72">
        <f>IF($J306="",FALSE,IFERROR(INDEX(B!$N$2:$N$61,MATCH($J306,B!$E$2:$E$61,0))="Sim",FALSE))</f>
        <v/>
      </c>
      <c r="AB306" s="72">
        <f>IF($J306="",FALSE,LEFT($X306,2)="XX")</f>
        <v/>
      </c>
      <c r="AC306" s="72">
        <f>IF($J306="",FALSE,IFERROR(INDEX(B!$P$2:$P$61,MATCH($J306,B!$E$2:$E$61,0))="Sim",FALSE))</f>
        <v/>
      </c>
      <c r="AD306" s="20" t="n"/>
      <c r="AE306" s="52">
        <f>IF(H306="","",HOUR(H306))</f>
        <v/>
      </c>
      <c r="AF306" s="52" t="n"/>
    </row>
    <row r="307" ht="19.5" customHeight="1" s="58">
      <c r="A307" s="62">
        <f>IF(G307="","",IF(G307=G306,"",COUNTIF($G$3:$G$976,G307)))</f>
        <v/>
      </c>
      <c r="B307" s="20" t="n"/>
      <c r="C307" s="63">
        <f>IF(G307="","",DAY(G307))</f>
        <v/>
      </c>
      <c r="D307" s="63">
        <f>IF(G307="","",MONTH(G307))</f>
        <v/>
      </c>
      <c r="E307" s="63">
        <f>IF(G307="","",YEAR(G307))</f>
        <v/>
      </c>
      <c r="F307" s="33">
        <f>IF(G307="","",CHOOSE(MONTH(G307),"Janeiro","Fevereiro","Março","Abril","Maio","Junho","Julho","Agosto","Setembro","Outubro","Novembro","Dezembro"))</f>
        <v/>
      </c>
      <c r="G307" s="64" t="n">
        <v>46063</v>
      </c>
      <c r="H307" s="65" t="n">
        <v>0.02577546296296296</v>
      </c>
      <c r="I307" s="66" t="inlineStr">
        <is>
          <t>https://docs.google.com/spreadsheets/d/1ZiCGoPjLCjuYvujDTXK9Ixbth3tekiLtFBzBrGjPCr4/edit?gid=0#gid=0</t>
        </is>
      </c>
      <c r="J307" s="67" t="inlineStr">
        <is>
          <t>Pushback (Agradecimento) - [XXA]</t>
        </is>
      </c>
      <c r="K307" s="67" t="inlineStr"/>
      <c r="L307" s="68" t="b">
        <v>0</v>
      </c>
      <c r="M307" s="20" t="n"/>
      <c r="N307" s="69">
        <f>IF($J307="","",IFERROR(INDEX(B!$F$2:$F$61,MATCH($J307,B!$E$2:$E$61,0))&amp;"",""))</f>
        <v/>
      </c>
      <c r="O307" s="69">
        <f>IF($J307="","",IFERROR(INDEX(B!$G$2:$G$61,MATCH($J307,B!$E$2:$E$61,0))&amp;"",""))</f>
        <v/>
      </c>
      <c r="P307" s="69">
        <f>IF($J307="","",IFERROR(INDEX(B!$H$2:$H$61,MATCH($J307,B!$E$2:$E$61,0))&amp;"",""))</f>
        <v/>
      </c>
      <c r="Q307" s="69">
        <f>IF($J307="","",IFERROR(INDEX(B!$I$2:$I$61,MATCH($J307,B!$E$2:$E$61,0))&amp;"",""))</f>
        <v/>
      </c>
      <c r="R307" s="69">
        <f>IF($J307="","",IFERROR(INDEX(B!$J$2:$J$61,MATCH($J307,B!$E$2:$E$61,0))&amp;"",""))</f>
        <v/>
      </c>
      <c r="S307" s="69">
        <f>IF($J307="","",IFERROR(INDEX(B!$K$2:$K$61,MATCH($J307,B!$E$2:$E$61,0))&amp;"",""))</f>
        <v/>
      </c>
      <c r="T307" s="69">
        <f>IF($J307="","",IFERROR(INDEX(B!$L$2:$L$61,MATCH($J307,B!$E$2:$E$61,0))&amp;"",""))</f>
        <v/>
      </c>
      <c r="U307" s="20" t="n"/>
      <c r="V307" s="70">
        <f>IF($J307="","",IFERROR(INDEX(B!$M$2:$M$61,MATCH($J307,B!$E$2:$E$61,0))&amp;"",""))</f>
        <v/>
      </c>
      <c r="W307" s="71">
        <f>IF(I307="","",IFERROR(MID(I307,FIND("/d/",I307)+3,FIND("/edit",I307)-FIND("/d/",I307)-3),I307))</f>
        <v/>
      </c>
      <c r="X307" s="71">
        <f>IF($J307="","",IFERROR(INDEX(B!$C$2:$C$61,MATCH($J307,B!$E$2:$E$61,0))&amp;"",""))</f>
        <v/>
      </c>
      <c r="Y307" s="20" t="n"/>
      <c r="Z307" s="72">
        <f>IF($J307="",FALSE,ISNUMBER(SEARCH("scout",$K307)))</f>
        <v/>
      </c>
      <c r="AA307" s="72">
        <f>IF($J307="",FALSE,IFERROR(INDEX(B!$N$2:$N$61,MATCH($J307,B!$E$2:$E$61,0))="Sim",FALSE))</f>
        <v/>
      </c>
      <c r="AB307" s="72">
        <f>IF($J307="",FALSE,LEFT($X307,2)="XX")</f>
        <v/>
      </c>
      <c r="AC307" s="72">
        <f>IF($J307="",FALSE,IFERROR(INDEX(B!$P$2:$P$61,MATCH($J307,B!$E$2:$E$61,0))="Sim",FALSE))</f>
        <v/>
      </c>
      <c r="AD307" s="20" t="n"/>
      <c r="AE307" s="52">
        <f>IF(H307="","",HOUR(H307))</f>
        <v/>
      </c>
      <c r="AF307" s="52" t="n"/>
    </row>
    <row r="308" ht="19.5" customHeight="1" s="58">
      <c r="A308" s="62">
        <f>IF(G308="","",IF(G308=G307,"",COUNTIF($G$3:$G$976,G308)))</f>
        <v/>
      </c>
      <c r="B308" s="20" t="n"/>
      <c r="C308" s="63">
        <f>IF(G308="","",DAY(G308))</f>
        <v/>
      </c>
      <c r="D308" s="63">
        <f>IF(G308="","",MONTH(G308))</f>
        <v/>
      </c>
      <c r="E308" s="63">
        <f>IF(G308="","",YEAR(G308))</f>
        <v/>
      </c>
      <c r="F308" s="33">
        <f>IF(G308="","",CHOOSE(MONTH(G308),"Janeiro","Fevereiro","Março","Abril","Maio","Junho","Julho","Agosto","Setembro","Outubro","Novembro","Dezembro"))</f>
        <v/>
      </c>
      <c r="G308" s="64" t="n">
        <v>46063</v>
      </c>
      <c r="H308" s="65" t="n">
        <v>0.03100694444444444</v>
      </c>
      <c r="I308" s="66" t="inlineStr">
        <is>
          <t>https://docs.google.com/spreadsheets/d/1ZiCGoPjLCjuYvujDTXK9Ixbth3tekiLtFBzBrGjPCr4/edit?gid=0#gid=0</t>
        </is>
      </c>
      <c r="J308" s="67" t="inlineStr">
        <is>
          <t>Taxa de Limpeza, Reembolsado ao cliente - [TXLR]</t>
        </is>
      </c>
      <c r="K308" s="67" t="inlineStr"/>
      <c r="L308" s="68" t="b">
        <v>0</v>
      </c>
      <c r="M308" s="20" t="n"/>
      <c r="N308" s="69">
        <f>IF($J308="","",IFERROR(INDEX(B!$F$2:$F$61,MATCH($J308,B!$E$2:$E$61,0))&amp;"",""))</f>
        <v/>
      </c>
      <c r="O308" s="69">
        <f>IF($J308="","",IFERROR(INDEX(B!$G$2:$G$61,MATCH($J308,B!$E$2:$E$61,0))&amp;"",""))</f>
        <v/>
      </c>
      <c r="P308" s="69">
        <f>IF($J308="","",IFERROR(INDEX(B!$H$2:$H$61,MATCH($J308,B!$E$2:$E$61,0))&amp;"",""))</f>
        <v/>
      </c>
      <c r="Q308" s="69">
        <f>IF($J308="","",IFERROR(INDEX(B!$I$2:$I$61,MATCH($J308,B!$E$2:$E$61,0))&amp;"",""))</f>
        <v/>
      </c>
      <c r="R308" s="69">
        <f>IF($J308="","",IFERROR(INDEX(B!$J$2:$J$61,MATCH($J308,B!$E$2:$E$61,0))&amp;"",""))</f>
        <v/>
      </c>
      <c r="S308" s="69">
        <f>IF($J308="","",IFERROR(INDEX(B!$K$2:$K$61,MATCH($J308,B!$E$2:$E$61,0))&amp;"",""))</f>
        <v/>
      </c>
      <c r="T308" s="69">
        <f>IF($J308="","",IFERROR(INDEX(B!$L$2:$L$61,MATCH($J308,B!$E$2:$E$61,0))&amp;"",""))</f>
        <v/>
      </c>
      <c r="U308" s="20" t="n"/>
      <c r="V308" s="70">
        <f>IF($J308="","",IFERROR(INDEX(B!$M$2:$M$61,MATCH($J308,B!$E$2:$E$61,0))&amp;"",""))</f>
        <v/>
      </c>
      <c r="W308" s="71">
        <f>IF(I308="","",IFERROR(MID(I308,FIND("/d/",I308)+3,FIND("/edit",I308)-FIND("/d/",I308)-3),I308))</f>
        <v/>
      </c>
      <c r="X308" s="71">
        <f>IF($J308="","",IFERROR(INDEX(B!$C$2:$C$61,MATCH($J308,B!$E$2:$E$61,0))&amp;"",""))</f>
        <v/>
      </c>
      <c r="Y308" s="20" t="n"/>
      <c r="Z308" s="72">
        <f>IF($J308="",FALSE,ISNUMBER(SEARCH("scout",$K308)))</f>
        <v/>
      </c>
      <c r="AA308" s="72">
        <f>IF($J308="",FALSE,IFERROR(INDEX(B!$N$2:$N$61,MATCH($J308,B!$E$2:$E$61,0))="Sim",FALSE))</f>
        <v/>
      </c>
      <c r="AB308" s="72">
        <f>IF($J308="",FALSE,LEFT($X308,2)="XX")</f>
        <v/>
      </c>
      <c r="AC308" s="72">
        <f>IF($J308="",FALSE,IFERROR(INDEX(B!$P$2:$P$61,MATCH($J308,B!$E$2:$E$61,0))="Sim",FALSE))</f>
        <v/>
      </c>
      <c r="AD308" s="20" t="n"/>
      <c r="AE308" s="52">
        <f>IF(H308="","",HOUR(H308))</f>
        <v/>
      </c>
      <c r="AF308" s="52" t="n"/>
    </row>
    <row r="309" ht="19.5" customHeight="1" s="58">
      <c r="A309" s="62">
        <f>IF(G309="","",IF(G309=G308,"",COUNTIF($G$3:$G$976,G309)))</f>
        <v/>
      </c>
      <c r="B309" s="20" t="n"/>
      <c r="C309" s="63">
        <f>IF(G309="","",DAY(G309))</f>
        <v/>
      </c>
      <c r="D309" s="63">
        <f>IF(G309="","",MONTH(G309))</f>
        <v/>
      </c>
      <c r="E309" s="63">
        <f>IF(G309="","",YEAR(G309))</f>
        <v/>
      </c>
      <c r="F309" s="33">
        <f>IF(G309="","",CHOOSE(MONTH(G309),"Janeiro","Fevereiro","Março","Abril","Maio","Junho","Julho","Agosto","Setembro","Outubro","Novembro","Dezembro"))</f>
        <v/>
      </c>
      <c r="G309" s="64" t="n">
        <v>46063</v>
      </c>
      <c r="H309" s="65" t="n">
        <v>0.03157407407407407</v>
      </c>
      <c r="I309" s="66" t="inlineStr">
        <is>
          <t>https://docs.google.com/spreadsheets/d/1ZiCGoPjLCjuYvujDTXK9Ixbth3tekiLtFBzBrGjPCr4/edit?gid=0#gid=0</t>
        </is>
      </c>
      <c r="J309" s="67" t="inlineStr">
        <is>
          <t>Viagem Calculada Incorretamente - [VCI]</t>
        </is>
      </c>
      <c r="K309" s="67" t="inlineStr">
        <is>
          <t>Scout</t>
        </is>
      </c>
      <c r="L309" s="68" t="b">
        <v>0</v>
      </c>
      <c r="M309" s="20" t="n"/>
      <c r="N309" s="69">
        <f>IF($J309="","",IFERROR(INDEX(B!$F$2:$F$61,MATCH($J309,B!$E$2:$E$61,0))&amp;"",""))</f>
        <v/>
      </c>
      <c r="O309" s="69">
        <f>IF($J309="","",IFERROR(INDEX(B!$G$2:$G$61,MATCH($J309,B!$E$2:$E$61,0))&amp;"",""))</f>
        <v/>
      </c>
      <c r="P309" s="69">
        <f>IF($J309="","",IFERROR(INDEX(B!$H$2:$H$61,MATCH($J309,B!$E$2:$E$61,0))&amp;"",""))</f>
        <v/>
      </c>
      <c r="Q309" s="69">
        <f>IF($J309="","",IFERROR(INDEX(B!$I$2:$I$61,MATCH($J309,B!$E$2:$E$61,0))&amp;"",""))</f>
        <v/>
      </c>
      <c r="R309" s="69">
        <f>IF($J309="","",IFERROR(INDEX(B!$J$2:$J$61,MATCH($J309,B!$E$2:$E$61,0))&amp;"",""))</f>
        <v/>
      </c>
      <c r="S309" s="69">
        <f>IF($J309="","",IFERROR(INDEX(B!$K$2:$K$61,MATCH($J309,B!$E$2:$E$61,0))&amp;"",""))</f>
        <v/>
      </c>
      <c r="T309" s="69">
        <f>IF($J309="","",IFERROR(INDEX(B!$L$2:$L$61,MATCH($J309,B!$E$2:$E$61,0))&amp;"",""))</f>
        <v/>
      </c>
      <c r="U309" s="20" t="n"/>
      <c r="V309" s="70">
        <f>IF($J309="","",IFERROR(INDEX(B!$M$2:$M$61,MATCH($J309,B!$E$2:$E$61,0))&amp;"",""))</f>
        <v/>
      </c>
      <c r="W309" s="71">
        <f>IF(I309="","",IFERROR(MID(I309,FIND("/d/",I309)+3,FIND("/edit",I309)-FIND("/d/",I309)-3),I309))</f>
        <v/>
      </c>
      <c r="X309" s="71">
        <f>IF($J309="","",IFERROR(INDEX(B!$C$2:$C$61,MATCH($J309,B!$E$2:$E$61,0))&amp;"",""))</f>
        <v/>
      </c>
      <c r="Y309" s="20" t="n"/>
      <c r="Z309" s="72">
        <f>IF($J309="",FALSE,ISNUMBER(SEARCH("scout",$K309)))</f>
        <v/>
      </c>
      <c r="AA309" s="72">
        <f>IF($J309="",FALSE,IFERROR(INDEX(B!$N$2:$N$61,MATCH($J309,B!$E$2:$E$61,0))="Sim",FALSE))</f>
        <v/>
      </c>
      <c r="AB309" s="72">
        <f>IF($J309="",FALSE,LEFT($X309,2)="XX")</f>
        <v/>
      </c>
      <c r="AC309" s="72">
        <f>IF($J309="",FALSE,IFERROR(INDEX(B!$P$2:$P$61,MATCH($J309,B!$E$2:$E$61,0))="Sim",FALSE))</f>
        <v/>
      </c>
      <c r="AD309" s="20" t="n"/>
      <c r="AE309" s="52">
        <f>IF(H309="","",HOUR(H309))</f>
        <v/>
      </c>
      <c r="AF309" s="52" t="n"/>
    </row>
    <row r="310" ht="19.5" customHeight="1" s="58">
      <c r="A310" s="62">
        <f>IF(G310="","",IF(G310=G309,"",COUNTIF($G$3:$G$976,G310)))</f>
        <v/>
      </c>
      <c r="B310" s="20" t="n"/>
      <c r="C310" s="63">
        <f>IF(G310="","",DAY(G310))</f>
        <v/>
      </c>
      <c r="D310" s="63">
        <f>IF(G310="","",MONTH(G310))</f>
        <v/>
      </c>
      <c r="E310" s="63">
        <f>IF(G310="","",YEAR(G310))</f>
        <v/>
      </c>
      <c r="F310" s="33">
        <f>IF(G310="","",CHOOSE(MONTH(G310),"Janeiro","Fevereiro","Março","Abril","Maio","Junho","Julho","Agosto","Setembro","Outubro","Novembro","Dezembro"))</f>
        <v/>
      </c>
      <c r="G310" s="64" t="n">
        <v>46063</v>
      </c>
      <c r="H310" s="65" t="n">
        <v>0.03465277777777778</v>
      </c>
      <c r="I310" s="66" t="inlineStr">
        <is>
          <t>https://docs.google.com/spreadsheets/d/1ZiCGoPjLCjuYvujDTXK9Ixbth3tekiLtFBzBrGjPCr4/edit?gid=0#gid=0</t>
        </is>
      </c>
      <c r="J310" s="67" t="inlineStr">
        <is>
          <t>Outros Valores Retidos (Pedágio, Cartão, Taxa de Cancelamento...) - [OTV]</t>
        </is>
      </c>
      <c r="K310" s="67" t="inlineStr"/>
      <c r="L310" s="68" t="b">
        <v>0</v>
      </c>
      <c r="M310" s="20" t="n"/>
      <c r="N310" s="69">
        <f>IF($J310="","",IFERROR(INDEX(B!$F$2:$F$61,MATCH($J310,B!$E$2:$E$61,0))&amp;"",""))</f>
        <v/>
      </c>
      <c r="O310" s="69">
        <f>IF($J310="","",IFERROR(INDEX(B!$G$2:$G$61,MATCH($J310,B!$E$2:$E$61,0))&amp;"",""))</f>
        <v/>
      </c>
      <c r="P310" s="69">
        <f>IF($J310="","",IFERROR(INDEX(B!$H$2:$H$61,MATCH($J310,B!$E$2:$E$61,0))&amp;"",""))</f>
        <v/>
      </c>
      <c r="Q310" s="69">
        <f>IF($J310="","",IFERROR(INDEX(B!$I$2:$I$61,MATCH($J310,B!$E$2:$E$61,0))&amp;"",""))</f>
        <v/>
      </c>
      <c r="R310" s="69">
        <f>IF($J310="","",IFERROR(INDEX(B!$J$2:$J$61,MATCH($J310,B!$E$2:$E$61,0))&amp;"",""))</f>
        <v/>
      </c>
      <c r="S310" s="69">
        <f>IF($J310="","",IFERROR(INDEX(B!$K$2:$K$61,MATCH($J310,B!$E$2:$E$61,0))&amp;"",""))</f>
        <v/>
      </c>
      <c r="T310" s="69">
        <f>IF($J310="","",IFERROR(INDEX(B!$L$2:$L$61,MATCH($J310,B!$E$2:$E$61,0))&amp;"",""))</f>
        <v/>
      </c>
      <c r="U310" s="20" t="n"/>
      <c r="V310" s="70">
        <f>IF($J310="","",IFERROR(INDEX(B!$M$2:$M$61,MATCH($J310,B!$E$2:$E$61,0))&amp;"",""))</f>
        <v/>
      </c>
      <c r="W310" s="71">
        <f>IF(I310="","",IFERROR(MID(I310,FIND("/d/",I310)+3,FIND("/edit",I310)-FIND("/d/",I310)-3),I310))</f>
        <v/>
      </c>
      <c r="X310" s="71">
        <f>IF($J310="","",IFERROR(INDEX(B!$C$2:$C$61,MATCH($J310,B!$E$2:$E$61,0))&amp;"",""))</f>
        <v/>
      </c>
      <c r="Y310" s="20" t="n"/>
      <c r="Z310" s="72">
        <f>IF($J310="",FALSE,ISNUMBER(SEARCH("scout",$K310)))</f>
        <v/>
      </c>
      <c r="AA310" s="72">
        <f>IF($J310="",FALSE,IFERROR(INDEX(B!$N$2:$N$61,MATCH($J310,B!$E$2:$E$61,0))="Sim",FALSE))</f>
        <v/>
      </c>
      <c r="AB310" s="72">
        <f>IF($J310="",FALSE,LEFT($X310,2)="XX")</f>
        <v/>
      </c>
      <c r="AC310" s="72">
        <f>IF($J310="",FALSE,IFERROR(INDEX(B!$P$2:$P$61,MATCH($J310,B!$E$2:$E$61,0))="Sim",FALSE))</f>
        <v/>
      </c>
      <c r="AD310" s="20" t="n"/>
      <c r="AE310" s="52">
        <f>IF(H310="","",HOUR(H310))</f>
        <v/>
      </c>
      <c r="AF310" s="52" t="n"/>
    </row>
    <row r="311" ht="19.5" customHeight="1" s="58">
      <c r="A311" s="62">
        <f>IF(G311="","",IF(G311=G310,"",COUNTIF($G$3:$G$976,G311)))</f>
        <v/>
      </c>
      <c r="B311" s="20" t="n"/>
      <c r="C311" s="63">
        <f>IF(G311="","",DAY(G311))</f>
        <v/>
      </c>
      <c r="D311" s="63">
        <f>IF(G311="","",MONTH(G311))</f>
        <v/>
      </c>
      <c r="E311" s="63">
        <f>IF(G311="","",YEAR(G311))</f>
        <v/>
      </c>
      <c r="F311" s="33">
        <f>IF(G311="","",CHOOSE(MONTH(G311),"Janeiro","Fevereiro","Março","Abril","Maio","Junho","Julho","Agosto","Setembro","Outubro","Novembro","Dezembro"))</f>
        <v/>
      </c>
      <c r="G311" s="64" t="n">
        <v>46063</v>
      </c>
      <c r="H311" s="65" t="n">
        <v>0.03582175925925926</v>
      </c>
      <c r="I311" s="66" t="inlineStr">
        <is>
          <t>https://docs.google.com/spreadsheets/d/1ZiCGoPjLCjuYvujDTXK9Ixbth3tekiLtFBzBrGjPCr4/edit?gid=0#gid=0</t>
        </is>
      </c>
      <c r="J311" s="67" t="inlineStr">
        <is>
          <t>Mais informações Gerais - [AA]</t>
        </is>
      </c>
      <c r="K311" s="67" t="inlineStr"/>
      <c r="L311" s="68" t="b">
        <v>0</v>
      </c>
      <c r="M311" s="20" t="n"/>
      <c r="N311" s="69">
        <f>IF($J311="","",IFERROR(INDEX(B!$F$2:$F$61,MATCH($J311,B!$E$2:$E$61,0))&amp;"",""))</f>
        <v/>
      </c>
      <c r="O311" s="69">
        <f>IF($J311="","",IFERROR(INDEX(B!$G$2:$G$61,MATCH($J311,B!$E$2:$E$61,0))&amp;"",""))</f>
        <v/>
      </c>
      <c r="P311" s="69">
        <f>IF($J311="","",IFERROR(INDEX(B!$H$2:$H$61,MATCH($J311,B!$E$2:$E$61,0))&amp;"",""))</f>
        <v/>
      </c>
      <c r="Q311" s="69">
        <f>IF($J311="","",IFERROR(INDEX(B!$I$2:$I$61,MATCH($J311,B!$E$2:$E$61,0))&amp;"",""))</f>
        <v/>
      </c>
      <c r="R311" s="69">
        <f>IF($J311="","",IFERROR(INDEX(B!$J$2:$J$61,MATCH($J311,B!$E$2:$E$61,0))&amp;"",""))</f>
        <v/>
      </c>
      <c r="S311" s="69">
        <f>IF($J311="","",IFERROR(INDEX(B!$K$2:$K$61,MATCH($J311,B!$E$2:$E$61,0))&amp;"",""))</f>
        <v/>
      </c>
      <c r="T311" s="69">
        <f>IF($J311="","",IFERROR(INDEX(B!$L$2:$L$61,MATCH($J311,B!$E$2:$E$61,0))&amp;"",""))</f>
        <v/>
      </c>
      <c r="U311" s="20" t="n"/>
      <c r="V311" s="70">
        <f>IF($J311="","",IFERROR(INDEX(B!$M$2:$M$61,MATCH($J311,B!$E$2:$E$61,0))&amp;"",""))</f>
        <v/>
      </c>
      <c r="W311" s="71">
        <f>IF(I311="","",IFERROR(MID(I311,FIND("/d/",I311)+3,FIND("/edit",I311)-FIND("/d/",I311)-3),I311))</f>
        <v/>
      </c>
      <c r="X311" s="71">
        <f>IF($J311="","",IFERROR(INDEX(B!$C$2:$C$61,MATCH($J311,B!$E$2:$E$61,0))&amp;"",""))</f>
        <v/>
      </c>
      <c r="Y311" s="20" t="n"/>
      <c r="Z311" s="72">
        <f>IF($J311="",FALSE,ISNUMBER(SEARCH("scout",$K311)))</f>
        <v/>
      </c>
      <c r="AA311" s="72">
        <f>IF($J311="",FALSE,IFERROR(INDEX(B!$N$2:$N$61,MATCH($J311,B!$E$2:$E$61,0))="Sim",FALSE))</f>
        <v/>
      </c>
      <c r="AB311" s="72">
        <f>IF($J311="",FALSE,LEFT($X311,2)="XX")</f>
        <v/>
      </c>
      <c r="AC311" s="72">
        <f>IF($J311="",FALSE,IFERROR(INDEX(B!$P$2:$P$61,MATCH($J311,B!$E$2:$E$61,0))="Sim",FALSE))</f>
        <v/>
      </c>
      <c r="AD311" s="20" t="n"/>
      <c r="AE311" s="52">
        <f>IF(H311="","",HOUR(H311))</f>
        <v/>
      </c>
      <c r="AF311" s="52" t="n"/>
    </row>
    <row r="312" ht="19.5" customHeight="1" s="58">
      <c r="A312" s="62">
        <f>IF(G312="","",IF(G312=G311,"",COUNTIF($G$3:$G$976,G312)))</f>
        <v/>
      </c>
      <c r="B312" s="20" t="n"/>
      <c r="C312" s="63">
        <f>IF(G312="","",DAY(G312))</f>
        <v/>
      </c>
      <c r="D312" s="63">
        <f>IF(G312="","",MONTH(G312))</f>
        <v/>
      </c>
      <c r="E312" s="63">
        <f>IF(G312="","",YEAR(G312))</f>
        <v/>
      </c>
      <c r="F312" s="33">
        <f>IF(G312="","",CHOOSE(MONTH(G312),"Janeiro","Fevereiro","Março","Abril","Maio","Junho","Julho","Agosto","Setembro","Outubro","Novembro","Dezembro"))</f>
        <v/>
      </c>
      <c r="G312" s="64" t="n">
        <v>46063</v>
      </c>
      <c r="H312" s="65" t="n">
        <v>0.03650462962962963</v>
      </c>
      <c r="I312" s="66" t="inlineStr">
        <is>
          <t>https://docs.google.com/spreadsheets/d/1ZiCGoPjLCjuYvujDTXK9Ixbth3tekiLtFBzBrGjPCr4/edit?gid=0#gid=0</t>
        </is>
      </c>
      <c r="J312" s="67" t="inlineStr">
        <is>
          <t>Mais informações (Quanto Pagou?) - [AAV]</t>
        </is>
      </c>
      <c r="K312" s="67" t="inlineStr">
        <is>
          <t>Scout</t>
        </is>
      </c>
      <c r="L312" s="68" t="b">
        <v>1</v>
      </c>
      <c r="M312" s="20" t="n"/>
      <c r="N312" s="69">
        <f>IF($J312="","",IFERROR(INDEX(B!$F$2:$F$61,MATCH($J312,B!$E$2:$E$61,0))&amp;"",""))</f>
        <v/>
      </c>
      <c r="O312" s="69">
        <f>IF($J312="","",IFERROR(INDEX(B!$G$2:$G$61,MATCH($J312,B!$E$2:$E$61,0))&amp;"",""))</f>
        <v/>
      </c>
      <c r="P312" s="69">
        <f>IF($J312="","",IFERROR(INDEX(B!$H$2:$H$61,MATCH($J312,B!$E$2:$E$61,0))&amp;"",""))</f>
        <v/>
      </c>
      <c r="Q312" s="69">
        <f>IF($J312="","",IFERROR(INDEX(B!$I$2:$I$61,MATCH($J312,B!$E$2:$E$61,0))&amp;"",""))</f>
        <v/>
      </c>
      <c r="R312" s="69">
        <f>IF($J312="","",IFERROR(INDEX(B!$J$2:$J$61,MATCH($J312,B!$E$2:$E$61,0))&amp;"",""))</f>
        <v/>
      </c>
      <c r="S312" s="69">
        <f>IF($J312="","",IFERROR(INDEX(B!$K$2:$K$61,MATCH($J312,B!$E$2:$E$61,0))&amp;"",""))</f>
        <v/>
      </c>
      <c r="T312" s="69">
        <f>IF($J312="","",IFERROR(INDEX(B!$L$2:$L$61,MATCH($J312,B!$E$2:$E$61,0))&amp;"",""))</f>
        <v/>
      </c>
      <c r="U312" s="20" t="n"/>
      <c r="V312" s="70">
        <f>IF($J312="","",IFERROR(INDEX(B!$M$2:$M$61,MATCH($J312,B!$E$2:$E$61,0))&amp;"",""))</f>
        <v/>
      </c>
      <c r="W312" s="71">
        <f>IF(I312="","",IFERROR(MID(I312,FIND("/d/",I312)+3,FIND("/edit",I312)-FIND("/d/",I312)-3),I312))</f>
        <v/>
      </c>
      <c r="X312" s="71">
        <f>IF($J312="","",IFERROR(INDEX(B!$C$2:$C$61,MATCH($J312,B!$E$2:$E$61,0))&amp;"",""))</f>
        <v/>
      </c>
      <c r="Y312" s="20" t="n"/>
      <c r="Z312" s="72">
        <f>IF($J312="",FALSE,ISNUMBER(SEARCH("scout",$K312)))</f>
        <v/>
      </c>
      <c r="AA312" s="72">
        <f>IF($J312="",FALSE,IFERROR(INDEX(B!$N$2:$N$61,MATCH($J312,B!$E$2:$E$61,0))="Sim",FALSE))</f>
        <v/>
      </c>
      <c r="AB312" s="72">
        <f>IF($J312="",FALSE,LEFT($X312,2)="XX")</f>
        <v/>
      </c>
      <c r="AC312" s="72">
        <f>IF($J312="",FALSE,IFERROR(INDEX(B!$P$2:$P$61,MATCH($J312,B!$E$2:$E$61,0))="Sim",FALSE))</f>
        <v/>
      </c>
      <c r="AD312" s="20" t="n"/>
      <c r="AE312" s="52">
        <f>IF(H312="","",HOUR(H312))</f>
        <v/>
      </c>
      <c r="AF312" s="52" t="n"/>
    </row>
    <row r="313" ht="19.5" customHeight="1" s="58">
      <c r="A313" s="62">
        <f>IF(G313="","",IF(G313=G312,"",COUNTIF($G$3:$G$976,G313)))</f>
        <v/>
      </c>
      <c r="B313" s="20" t="n"/>
      <c r="C313" s="63">
        <f>IF(G313="","",DAY(G313))</f>
        <v/>
      </c>
      <c r="D313" s="63">
        <f>IF(G313="","",MONTH(G313))</f>
        <v/>
      </c>
      <c r="E313" s="63">
        <f>IF(G313="","",YEAR(G313))</f>
        <v/>
      </c>
      <c r="F313" s="33">
        <f>IF(G313="","",CHOOSE(MONTH(G313),"Janeiro","Fevereiro","Março","Abril","Maio","Junho","Julho","Agosto","Setembro","Outubro","Novembro","Dezembro"))</f>
        <v/>
      </c>
      <c r="G313" s="64" t="n">
        <v>46063</v>
      </c>
      <c r="H313" s="65" t="n">
        <v>0.0434375</v>
      </c>
      <c r="I313" s="66" t="inlineStr">
        <is>
          <t>https://docs.google.com/spreadsheets/d/1ZiCGoPjLCjuYvujDTXK9Ixbth3tekiLtFBzBrGjPCr4/edit?gid=0#gid=0</t>
        </is>
      </c>
      <c r="J313" s="67" t="inlineStr">
        <is>
          <t>Transferência de LOB (Safety) - [TIST]</t>
        </is>
      </c>
      <c r="K313" s="67" t="inlineStr"/>
      <c r="L313" s="68" t="b">
        <v>0</v>
      </c>
      <c r="M313" s="20" t="n"/>
      <c r="N313" s="69">
        <f>IF($J313="","",IFERROR(INDEX(B!$F$2:$F$61,MATCH($J313,B!$E$2:$E$61,0))&amp;"",""))</f>
        <v/>
      </c>
      <c r="O313" s="69">
        <f>IF($J313="","",IFERROR(INDEX(B!$G$2:$G$61,MATCH($J313,B!$E$2:$E$61,0))&amp;"",""))</f>
        <v/>
      </c>
      <c r="P313" s="69">
        <f>IF($J313="","",IFERROR(INDEX(B!$H$2:$H$61,MATCH($J313,B!$E$2:$E$61,0))&amp;"",""))</f>
        <v/>
      </c>
      <c r="Q313" s="69">
        <f>IF($J313="","",IFERROR(INDEX(B!$I$2:$I$61,MATCH($J313,B!$E$2:$E$61,0))&amp;"",""))</f>
        <v/>
      </c>
      <c r="R313" s="69">
        <f>IF($J313="","",IFERROR(INDEX(B!$J$2:$J$61,MATCH($J313,B!$E$2:$E$61,0))&amp;"",""))</f>
        <v/>
      </c>
      <c r="S313" s="69">
        <f>IF($J313="","",IFERROR(INDEX(B!$K$2:$K$61,MATCH($J313,B!$E$2:$E$61,0))&amp;"",""))</f>
        <v/>
      </c>
      <c r="T313" s="69">
        <f>IF($J313="","",IFERROR(INDEX(B!$L$2:$L$61,MATCH($J313,B!$E$2:$E$61,0))&amp;"",""))</f>
        <v/>
      </c>
      <c r="U313" s="20" t="n"/>
      <c r="V313" s="70">
        <f>IF($J313="","",IFERROR(INDEX(B!$M$2:$M$61,MATCH($J313,B!$E$2:$E$61,0))&amp;"",""))</f>
        <v/>
      </c>
      <c r="W313" s="71">
        <f>IF(I313="","",IFERROR(MID(I313,FIND("/d/",I313)+3,FIND("/edit",I313)-FIND("/d/",I313)-3),I313))</f>
        <v/>
      </c>
      <c r="X313" s="71">
        <f>IF($J313="","",IFERROR(INDEX(B!$C$2:$C$61,MATCH($J313,B!$E$2:$E$61,0))&amp;"",""))</f>
        <v/>
      </c>
      <c r="Y313" s="20" t="n"/>
      <c r="Z313" s="72">
        <f>IF($J313="",FALSE,ISNUMBER(SEARCH("scout",$K313)))</f>
        <v/>
      </c>
      <c r="AA313" s="72">
        <f>IF($J313="",FALSE,IFERROR(INDEX(B!$N$2:$N$61,MATCH($J313,B!$E$2:$E$61,0))="Sim",FALSE))</f>
        <v/>
      </c>
      <c r="AB313" s="72">
        <f>IF($J313="",FALSE,LEFT($X313,2)="XX")</f>
        <v/>
      </c>
      <c r="AC313" s="72">
        <f>IF($J313="",FALSE,IFERROR(INDEX(B!$P$2:$P$61,MATCH($J313,B!$E$2:$E$61,0))="Sim",FALSE))</f>
        <v/>
      </c>
      <c r="AD313" s="20" t="n"/>
      <c r="AE313" s="52">
        <f>IF(H313="","",HOUR(H313))</f>
        <v/>
      </c>
      <c r="AF313" s="52" t="n"/>
    </row>
    <row r="314" ht="19.5" customHeight="1" s="58">
      <c r="A314" s="62">
        <f>IF(G314="","",IF(G314=G313,"",COUNTIF($G$3:$G$976,G314)))</f>
        <v/>
      </c>
      <c r="B314" s="20" t="n"/>
      <c r="C314" s="63">
        <f>IF(G314="","",DAY(G314))</f>
        <v/>
      </c>
      <c r="D314" s="63">
        <f>IF(G314="","",MONTH(G314))</f>
        <v/>
      </c>
      <c r="E314" s="63">
        <f>IF(G314="","",YEAR(G314))</f>
        <v/>
      </c>
      <c r="F314" s="33">
        <f>IF(G314="","",CHOOSE(MONTH(G314),"Janeiro","Fevereiro","Março","Abril","Maio","Junho","Julho","Agosto","Setembro","Outubro","Novembro","Dezembro"))</f>
        <v/>
      </c>
      <c r="G314" s="64" t="n">
        <v>46063</v>
      </c>
      <c r="H314" s="65" t="n">
        <v>0.04971064814814815</v>
      </c>
      <c r="I314" s="66" t="inlineStr">
        <is>
          <t>https://docs.google.com/spreadsheets/d/1ZiCGoPjLCjuYvujDTXK9Ixbth3tekiLtFBzBrGjPCr4/edit?gid=0#gid=0</t>
        </is>
      </c>
      <c r="J314" s="67" t="inlineStr">
        <is>
          <t>Overpaid, Não excede o limite, Sem comprovante - [OPNN]</t>
        </is>
      </c>
      <c r="K314" s="67" t="inlineStr">
        <is>
          <t>Scout</t>
        </is>
      </c>
      <c r="L314" s="68" t="b">
        <v>0</v>
      </c>
      <c r="M314" s="20" t="n"/>
      <c r="N314" s="69">
        <f>IF($J314="","",IFERROR(INDEX(B!$F$2:$F$61,MATCH($J314,B!$E$2:$E$61,0))&amp;"",""))</f>
        <v/>
      </c>
      <c r="O314" s="69">
        <f>IF($J314="","",IFERROR(INDEX(B!$G$2:$G$61,MATCH($J314,B!$E$2:$E$61,0))&amp;"",""))</f>
        <v/>
      </c>
      <c r="P314" s="69">
        <f>IF($J314="","",IFERROR(INDEX(B!$H$2:$H$61,MATCH($J314,B!$E$2:$E$61,0))&amp;"",""))</f>
        <v/>
      </c>
      <c r="Q314" s="69">
        <f>IF($J314="","",IFERROR(INDEX(B!$I$2:$I$61,MATCH($J314,B!$E$2:$E$61,0))&amp;"",""))</f>
        <v/>
      </c>
      <c r="R314" s="69">
        <f>IF($J314="","",IFERROR(INDEX(B!$J$2:$J$61,MATCH($J314,B!$E$2:$E$61,0))&amp;"",""))</f>
        <v/>
      </c>
      <c r="S314" s="69">
        <f>IF($J314="","",IFERROR(INDEX(B!$K$2:$K$61,MATCH($J314,B!$E$2:$E$61,0))&amp;"",""))</f>
        <v/>
      </c>
      <c r="T314" s="69">
        <f>IF($J314="","",IFERROR(INDEX(B!$L$2:$L$61,MATCH($J314,B!$E$2:$E$61,0))&amp;"",""))</f>
        <v/>
      </c>
      <c r="U314" s="20" t="n"/>
      <c r="V314" s="70">
        <f>IF($J314="","",IFERROR(INDEX(B!$M$2:$M$61,MATCH($J314,B!$E$2:$E$61,0))&amp;"",""))</f>
        <v/>
      </c>
      <c r="W314" s="71">
        <f>IF(I314="","",IFERROR(MID(I314,FIND("/d/",I314)+3,FIND("/edit",I314)-FIND("/d/",I314)-3),I314))</f>
        <v/>
      </c>
      <c r="X314" s="71">
        <f>IF($J314="","",IFERROR(INDEX(B!$C$2:$C$61,MATCH($J314,B!$E$2:$E$61,0))&amp;"",""))</f>
        <v/>
      </c>
      <c r="Y314" s="20" t="n"/>
      <c r="Z314" s="72">
        <f>IF($J314="",FALSE,ISNUMBER(SEARCH("scout",$K314)))</f>
        <v/>
      </c>
      <c r="AA314" s="72">
        <f>IF($J314="",FALSE,IFERROR(INDEX(B!$N$2:$N$61,MATCH($J314,B!$E$2:$E$61,0))="Sim",FALSE))</f>
        <v/>
      </c>
      <c r="AB314" s="72">
        <f>IF($J314="",FALSE,LEFT($X314,2)="XX")</f>
        <v/>
      </c>
      <c r="AC314" s="72">
        <f>IF($J314="",FALSE,IFERROR(INDEX(B!$P$2:$P$61,MATCH($J314,B!$E$2:$E$61,0))="Sim",FALSE))</f>
        <v/>
      </c>
      <c r="AD314" s="20" t="n"/>
      <c r="AE314" s="52">
        <f>IF(H314="","",HOUR(H314))</f>
        <v/>
      </c>
      <c r="AF314" s="52" t="n"/>
    </row>
    <row r="315" ht="19.5" customHeight="1" s="58">
      <c r="A315" s="62">
        <f>IF(G315="","",IF(G315=G314,"",COUNTIF($G$3:$G$976,G315)))</f>
        <v/>
      </c>
      <c r="B315" s="20" t="n"/>
      <c r="C315" s="63">
        <f>IF(G315="","",DAY(G315))</f>
        <v/>
      </c>
      <c r="D315" s="63">
        <f>IF(G315="","",MONTH(G315))</f>
        <v/>
      </c>
      <c r="E315" s="63">
        <f>IF(G315="","",YEAR(G315))</f>
        <v/>
      </c>
      <c r="F315" s="33">
        <f>IF(G315="","",CHOOSE(MONTH(G315),"Janeiro","Fevereiro","Março","Abril","Maio","Junho","Julho","Agosto","Setembro","Outubro","Novembro","Dezembro"))</f>
        <v/>
      </c>
      <c r="G315" s="64" t="n">
        <v>46063</v>
      </c>
      <c r="H315" s="65" t="n">
        <v>0.05557870370370371</v>
      </c>
      <c r="I315" s="66" t="inlineStr">
        <is>
          <t>https://docs.google.com/spreadsheets/d/1ZiCGoPjLCjuYvujDTXK9Ixbth3tekiLtFBzBrGjPCr4/edit?gid=0#gid=0</t>
        </is>
      </c>
      <c r="J315" s="67" t="inlineStr">
        <is>
          <t>Transferência de LOB (Safety) - [TIST]</t>
        </is>
      </c>
      <c r="K315" s="67" t="inlineStr"/>
      <c r="L315" s="68" t="b">
        <v>1</v>
      </c>
      <c r="M315" s="20" t="n"/>
      <c r="N315" s="69">
        <f>IF($J315="","",IFERROR(INDEX(B!$F$2:$F$61,MATCH($J315,B!$E$2:$E$61,0))&amp;"",""))</f>
        <v/>
      </c>
      <c r="O315" s="69">
        <f>IF($J315="","",IFERROR(INDEX(B!$G$2:$G$61,MATCH($J315,B!$E$2:$E$61,0))&amp;"",""))</f>
        <v/>
      </c>
      <c r="P315" s="69">
        <f>IF($J315="","",IFERROR(INDEX(B!$H$2:$H$61,MATCH($J315,B!$E$2:$E$61,0))&amp;"",""))</f>
        <v/>
      </c>
      <c r="Q315" s="69">
        <f>IF($J315="","",IFERROR(INDEX(B!$I$2:$I$61,MATCH($J315,B!$E$2:$E$61,0))&amp;"",""))</f>
        <v/>
      </c>
      <c r="R315" s="69">
        <f>IF($J315="","",IFERROR(INDEX(B!$J$2:$J$61,MATCH($J315,B!$E$2:$E$61,0))&amp;"",""))</f>
        <v/>
      </c>
      <c r="S315" s="69">
        <f>IF($J315="","",IFERROR(INDEX(B!$K$2:$K$61,MATCH($J315,B!$E$2:$E$61,0))&amp;"",""))</f>
        <v/>
      </c>
      <c r="T315" s="69">
        <f>IF($J315="","",IFERROR(INDEX(B!$L$2:$L$61,MATCH($J315,B!$E$2:$E$61,0))&amp;"",""))</f>
        <v/>
      </c>
      <c r="U315" s="20" t="n"/>
      <c r="V315" s="70">
        <f>IF($J315="","",IFERROR(INDEX(B!$M$2:$M$61,MATCH($J315,B!$E$2:$E$61,0))&amp;"",""))</f>
        <v/>
      </c>
      <c r="W315" s="71">
        <f>IF(I315="","",IFERROR(MID(I315,FIND("/d/",I315)+3,FIND("/edit",I315)-FIND("/d/",I315)-3),I315))</f>
        <v/>
      </c>
      <c r="X315" s="71">
        <f>IF($J315="","",IFERROR(INDEX(B!$C$2:$C$61,MATCH($J315,B!$E$2:$E$61,0))&amp;"",""))</f>
        <v/>
      </c>
      <c r="Y315" s="20" t="n"/>
      <c r="Z315" s="72">
        <f>IF($J315="",FALSE,ISNUMBER(SEARCH("scout",$K315)))</f>
        <v/>
      </c>
      <c r="AA315" s="72">
        <f>IF($J315="",FALSE,IFERROR(INDEX(B!$N$2:$N$61,MATCH($J315,B!$E$2:$E$61,0))="Sim",FALSE))</f>
        <v/>
      </c>
      <c r="AB315" s="72">
        <f>IF($J315="",FALSE,LEFT($X315,2)="XX")</f>
        <v/>
      </c>
      <c r="AC315" s="72">
        <f>IF($J315="",FALSE,IFERROR(INDEX(B!$P$2:$P$61,MATCH($J315,B!$E$2:$E$61,0))="Sim",FALSE))</f>
        <v/>
      </c>
      <c r="AD315" s="20" t="n"/>
      <c r="AE315" s="52">
        <f>IF(H315="","",HOUR(H315))</f>
        <v/>
      </c>
      <c r="AF315" s="52" t="n"/>
    </row>
    <row r="316" ht="19.5" customHeight="1" s="58">
      <c r="A316" s="62">
        <f>IF(G316="","",IF(G316=G315,"",COUNTIF($G$3:$G$976,G316)))</f>
        <v/>
      </c>
      <c r="B316" s="20" t="n"/>
      <c r="C316" s="63">
        <f>IF(G316="","",DAY(G316))</f>
        <v/>
      </c>
      <c r="D316" s="63">
        <f>IF(G316="","",MONTH(G316))</f>
        <v/>
      </c>
      <c r="E316" s="63">
        <f>IF(G316="","",YEAR(G316))</f>
        <v/>
      </c>
      <c r="F316" s="33">
        <f>IF(G316="","",CHOOSE(MONTH(G316),"Janeiro","Fevereiro","Março","Abril","Maio","Junho","Julho","Agosto","Setembro","Outubro","Novembro","Dezembro"))</f>
        <v/>
      </c>
      <c r="G316" s="64" t="n">
        <v>46063</v>
      </c>
      <c r="H316" s="65" t="n">
        <v>0.06136574074074074</v>
      </c>
      <c r="I316" s="66" t="inlineStr">
        <is>
          <t>https://docs.google.com/spreadsheets/d/1ZiCGoPjLCjuYvujDTXK9Ixbth3tekiLtFBzBrGjPCr4/edit?gid=0#gid=0</t>
        </is>
      </c>
      <c r="J316" s="67" t="inlineStr">
        <is>
          <t>Transferência de LOB (Accounts) - [TIAC]</t>
        </is>
      </c>
      <c r="K316" s="67" t="inlineStr"/>
      <c r="L316" s="68" t="b">
        <v>0</v>
      </c>
      <c r="M316" s="20" t="n"/>
      <c r="N316" s="69">
        <f>IF($J316="","",IFERROR(INDEX(B!$F$2:$F$61,MATCH($J316,B!$E$2:$E$61,0))&amp;"",""))</f>
        <v/>
      </c>
      <c r="O316" s="69">
        <f>IF($J316="","",IFERROR(INDEX(B!$G$2:$G$61,MATCH($J316,B!$E$2:$E$61,0))&amp;"",""))</f>
        <v/>
      </c>
      <c r="P316" s="69">
        <f>IF($J316="","",IFERROR(INDEX(B!$H$2:$H$61,MATCH($J316,B!$E$2:$E$61,0))&amp;"",""))</f>
        <v/>
      </c>
      <c r="Q316" s="69">
        <f>IF($J316="","",IFERROR(INDEX(B!$I$2:$I$61,MATCH($J316,B!$E$2:$E$61,0))&amp;"",""))</f>
        <v/>
      </c>
      <c r="R316" s="69">
        <f>IF($J316="","",IFERROR(INDEX(B!$J$2:$J$61,MATCH($J316,B!$E$2:$E$61,0))&amp;"",""))</f>
        <v/>
      </c>
      <c r="S316" s="69">
        <f>IF($J316="","",IFERROR(INDEX(B!$K$2:$K$61,MATCH($J316,B!$E$2:$E$61,0))&amp;"",""))</f>
        <v/>
      </c>
      <c r="T316" s="69">
        <f>IF($J316="","",IFERROR(INDEX(B!$L$2:$L$61,MATCH($J316,B!$E$2:$E$61,0))&amp;"",""))</f>
        <v/>
      </c>
      <c r="U316" s="20" t="n"/>
      <c r="V316" s="70">
        <f>IF($J316="","",IFERROR(INDEX(B!$M$2:$M$61,MATCH($J316,B!$E$2:$E$61,0))&amp;"",""))</f>
        <v/>
      </c>
      <c r="W316" s="71">
        <f>IF(I316="","",IFERROR(MID(I316,FIND("/d/",I316)+3,FIND("/edit",I316)-FIND("/d/",I316)-3),I316))</f>
        <v/>
      </c>
      <c r="X316" s="71">
        <f>IF($J316="","",IFERROR(INDEX(B!$C$2:$C$61,MATCH($J316,B!$E$2:$E$61,0))&amp;"",""))</f>
        <v/>
      </c>
      <c r="Y316" s="20" t="n"/>
      <c r="Z316" s="72">
        <f>IF($J316="",FALSE,ISNUMBER(SEARCH("scout",$K316)))</f>
        <v/>
      </c>
      <c r="AA316" s="72">
        <f>IF($J316="",FALSE,IFERROR(INDEX(B!$N$2:$N$61,MATCH($J316,B!$E$2:$E$61,0))="Sim",FALSE))</f>
        <v/>
      </c>
      <c r="AB316" s="72">
        <f>IF($J316="",FALSE,LEFT($X316,2)="XX")</f>
        <v/>
      </c>
      <c r="AC316" s="72">
        <f>IF($J316="",FALSE,IFERROR(INDEX(B!$P$2:$P$61,MATCH($J316,B!$E$2:$E$61,0))="Sim",FALSE))</f>
        <v/>
      </c>
      <c r="AD316" s="20" t="n"/>
      <c r="AE316" s="52">
        <f>IF(H316="","",HOUR(H316))</f>
        <v/>
      </c>
      <c r="AF316" s="52" t="n"/>
    </row>
    <row r="317" ht="19.5" customHeight="1" s="58">
      <c r="A317" s="62">
        <f>IF(G317="","",IF(G317=G316,"",COUNTIF($G$3:$G$976,G317)))</f>
        <v/>
      </c>
      <c r="B317" s="20" t="n"/>
      <c r="C317" s="63">
        <f>IF(G317="","",DAY(G317))</f>
        <v/>
      </c>
      <c r="D317" s="63">
        <f>IF(G317="","",MONTH(G317))</f>
        <v/>
      </c>
      <c r="E317" s="63">
        <f>IF(G317="","",YEAR(G317))</f>
        <v/>
      </c>
      <c r="F317" s="33">
        <f>IF(G317="","",CHOOSE(MONTH(G317),"Janeiro","Fevereiro","Março","Abril","Maio","Junho","Julho","Agosto","Setembro","Outubro","Novembro","Dezembro"))</f>
        <v/>
      </c>
      <c r="G317" s="64" t="n">
        <v>46063</v>
      </c>
      <c r="H317" s="65" t="n">
        <v>0.06403935185185185</v>
      </c>
      <c r="I317" s="66" t="inlineStr">
        <is>
          <t>https://docs.google.com/spreadsheets/d/1ZiCGoPjLCjuYvujDTXK9Ixbth3tekiLtFBzBrGjPCr4/edit?gid=0#gid=0</t>
        </is>
      </c>
      <c r="J317" s="67" t="inlineStr">
        <is>
          <t>Transferência de LOB (Driver) - [TIDV]</t>
        </is>
      </c>
      <c r="K317" s="67" t="inlineStr"/>
      <c r="L317" s="68" t="b">
        <v>0</v>
      </c>
      <c r="M317" s="20" t="n"/>
      <c r="N317" s="69">
        <f>IF($J317="","",IFERROR(INDEX(B!$F$2:$F$61,MATCH($J317,B!$E$2:$E$61,0))&amp;"",""))</f>
        <v/>
      </c>
      <c r="O317" s="69">
        <f>IF($J317="","",IFERROR(INDEX(B!$G$2:$G$61,MATCH($J317,B!$E$2:$E$61,0))&amp;"",""))</f>
        <v/>
      </c>
      <c r="P317" s="69">
        <f>IF($J317="","",IFERROR(INDEX(B!$H$2:$H$61,MATCH($J317,B!$E$2:$E$61,0))&amp;"",""))</f>
        <v/>
      </c>
      <c r="Q317" s="69">
        <f>IF($J317="","",IFERROR(INDEX(B!$I$2:$I$61,MATCH($J317,B!$E$2:$E$61,0))&amp;"",""))</f>
        <v/>
      </c>
      <c r="R317" s="69">
        <f>IF($J317="","",IFERROR(INDEX(B!$J$2:$J$61,MATCH($J317,B!$E$2:$E$61,0))&amp;"",""))</f>
        <v/>
      </c>
      <c r="S317" s="69">
        <f>IF($J317="","",IFERROR(INDEX(B!$K$2:$K$61,MATCH($J317,B!$E$2:$E$61,0))&amp;"",""))</f>
        <v/>
      </c>
      <c r="T317" s="69">
        <f>IF($J317="","",IFERROR(INDEX(B!$L$2:$L$61,MATCH($J317,B!$E$2:$E$61,0))&amp;"",""))</f>
        <v/>
      </c>
      <c r="U317" s="20" t="n"/>
      <c r="V317" s="70">
        <f>IF($J317="","",IFERROR(INDEX(B!$M$2:$M$61,MATCH($J317,B!$E$2:$E$61,0))&amp;"",""))</f>
        <v/>
      </c>
      <c r="W317" s="71">
        <f>IF(I317="","",IFERROR(MID(I317,FIND("/d/",I317)+3,FIND("/edit",I317)-FIND("/d/",I317)-3),I317))</f>
        <v/>
      </c>
      <c r="X317" s="71">
        <f>IF($J317="","",IFERROR(INDEX(B!$C$2:$C$61,MATCH($J317,B!$E$2:$E$61,0))&amp;"",""))</f>
        <v/>
      </c>
      <c r="Y317" s="20" t="n"/>
      <c r="Z317" s="72">
        <f>IF($J317="",FALSE,ISNUMBER(SEARCH("scout",$K317)))</f>
        <v/>
      </c>
      <c r="AA317" s="72">
        <f>IF($J317="",FALSE,IFERROR(INDEX(B!$N$2:$N$61,MATCH($J317,B!$E$2:$E$61,0))="Sim",FALSE))</f>
        <v/>
      </c>
      <c r="AB317" s="72">
        <f>IF($J317="",FALSE,LEFT($X317,2)="XX")</f>
        <v/>
      </c>
      <c r="AC317" s="72">
        <f>IF($J317="",FALSE,IFERROR(INDEX(B!$P$2:$P$61,MATCH($J317,B!$E$2:$E$61,0))="Sim",FALSE))</f>
        <v/>
      </c>
      <c r="AD317" s="20" t="n"/>
      <c r="AE317" s="52">
        <f>IF(H317="","",HOUR(H317))</f>
        <v/>
      </c>
      <c r="AF317" s="52" t="n"/>
    </row>
    <row r="318" ht="19.5" customHeight="1" s="58">
      <c r="A318" s="62">
        <f>IF(G318="","",IF(G318=G317,"",COUNTIF($G$3:$G$976,G318)))</f>
        <v/>
      </c>
      <c r="B318" s="20" t="n"/>
      <c r="C318" s="63">
        <f>IF(G318="","",DAY(G318))</f>
        <v/>
      </c>
      <c r="D318" s="63">
        <f>IF(G318="","",MONTH(G318))</f>
        <v/>
      </c>
      <c r="E318" s="63">
        <f>IF(G318="","",YEAR(G318))</f>
        <v/>
      </c>
      <c r="F318" s="33">
        <f>IF(G318="","",CHOOSE(MONTH(G318),"Janeiro","Fevereiro","Março","Abril","Maio","Junho","Julho","Agosto","Setembro","Outubro","Novembro","Dezembro"))</f>
        <v/>
      </c>
      <c r="G318" s="64" t="n">
        <v>46063</v>
      </c>
      <c r="H318" s="65" t="n">
        <v>0.06700231481481482</v>
      </c>
      <c r="I318" s="66" t="inlineStr">
        <is>
          <t>https://docs.google.com/spreadsheets/d/1ZiCGoPjLCjuYvujDTXK9Ixbth3tekiLtFBzBrGjPCr4/edit?gid=0#gid=0</t>
        </is>
      </c>
      <c r="J318" s="67" t="inlineStr">
        <is>
          <t>Taxa de Cancelamento - [TXC]</t>
        </is>
      </c>
      <c r="K318" s="67" t="inlineStr"/>
      <c r="L318" s="68" t="b">
        <v>0</v>
      </c>
      <c r="M318" s="20" t="n"/>
      <c r="N318" s="69">
        <f>IF($J318="","",IFERROR(INDEX(B!$F$2:$F$61,MATCH($J318,B!$E$2:$E$61,0))&amp;"",""))</f>
        <v/>
      </c>
      <c r="O318" s="69">
        <f>IF($J318="","",IFERROR(INDEX(B!$G$2:$G$61,MATCH($J318,B!$E$2:$E$61,0))&amp;"",""))</f>
        <v/>
      </c>
      <c r="P318" s="69">
        <f>IF($J318="","",IFERROR(INDEX(B!$H$2:$H$61,MATCH($J318,B!$E$2:$E$61,0))&amp;"",""))</f>
        <v/>
      </c>
      <c r="Q318" s="69">
        <f>IF($J318="","",IFERROR(INDEX(B!$I$2:$I$61,MATCH($J318,B!$E$2:$E$61,0))&amp;"",""))</f>
        <v/>
      </c>
      <c r="R318" s="69">
        <f>IF($J318="","",IFERROR(INDEX(B!$J$2:$J$61,MATCH($J318,B!$E$2:$E$61,0))&amp;"",""))</f>
        <v/>
      </c>
      <c r="S318" s="69">
        <f>IF($J318="","",IFERROR(INDEX(B!$K$2:$K$61,MATCH($J318,B!$E$2:$E$61,0))&amp;"",""))</f>
        <v/>
      </c>
      <c r="T318" s="69">
        <f>IF($J318="","",IFERROR(INDEX(B!$L$2:$L$61,MATCH($J318,B!$E$2:$E$61,0))&amp;"",""))</f>
        <v/>
      </c>
      <c r="U318" s="20" t="n"/>
      <c r="V318" s="70">
        <f>IF($J318="","",IFERROR(INDEX(B!$M$2:$M$61,MATCH($J318,B!$E$2:$E$61,0))&amp;"",""))</f>
        <v/>
      </c>
      <c r="W318" s="71">
        <f>IF(I318="","",IFERROR(MID(I318,FIND("/d/",I318)+3,FIND("/edit",I318)-FIND("/d/",I318)-3),I318))</f>
        <v/>
      </c>
      <c r="X318" s="71">
        <f>IF($J318="","",IFERROR(INDEX(B!$C$2:$C$61,MATCH($J318,B!$E$2:$E$61,0))&amp;"",""))</f>
        <v/>
      </c>
      <c r="Y318" s="20" t="n"/>
      <c r="Z318" s="72">
        <f>IF($J318="",FALSE,ISNUMBER(SEARCH("scout",$K318)))</f>
        <v/>
      </c>
      <c r="AA318" s="72">
        <f>IF($J318="",FALSE,IFERROR(INDEX(B!$N$2:$N$61,MATCH($J318,B!$E$2:$E$61,0))="Sim",FALSE))</f>
        <v/>
      </c>
      <c r="AB318" s="72">
        <f>IF($J318="",FALSE,LEFT($X318,2)="XX")</f>
        <v/>
      </c>
      <c r="AC318" s="72">
        <f>IF($J318="",FALSE,IFERROR(INDEX(B!$P$2:$P$61,MATCH($J318,B!$E$2:$E$61,0))="Sim",FALSE))</f>
        <v/>
      </c>
      <c r="AD318" s="20" t="n"/>
      <c r="AE318" s="52">
        <f>IF(H318="","",HOUR(H318))</f>
        <v/>
      </c>
      <c r="AF318" s="52" t="n"/>
    </row>
    <row r="319" ht="19.5" customHeight="1" s="58">
      <c r="A319" s="62">
        <f>IF(G319="","",IF(G319=G318,"",COUNTIF($G$3:$G$976,G319)))</f>
        <v/>
      </c>
      <c r="B319" s="20" t="n"/>
      <c r="C319" s="63">
        <f>IF(G319="","",DAY(G319))</f>
        <v/>
      </c>
      <c r="D319" s="63">
        <f>IF(G319="","",MONTH(G319))</f>
        <v/>
      </c>
      <c r="E319" s="63">
        <f>IF(G319="","",YEAR(G319))</f>
        <v/>
      </c>
      <c r="F319" s="33">
        <f>IF(G319="","",CHOOSE(MONTH(G319),"Janeiro","Fevereiro","Março","Abril","Maio","Junho","Julho","Agosto","Setembro","Outubro","Novembro","Dezembro"))</f>
        <v/>
      </c>
      <c r="G319" s="64" t="n">
        <v>46063</v>
      </c>
      <c r="H319" s="65" t="n">
        <v>0.07168981481481482</v>
      </c>
      <c r="I319" s="66" t="inlineStr">
        <is>
          <t>https://docs.google.com/spreadsheets/d/1ZiCGoPjLCjuYvujDTXK9Ixbth3tekiLtFBzBrGjPCr4/edit?gid=0#gid=0</t>
        </is>
      </c>
      <c r="J319" s="67" t="inlineStr">
        <is>
          <t>Taxa de Limpeza - [TXL]</t>
        </is>
      </c>
      <c r="K319" s="67" t="inlineStr"/>
      <c r="L319" s="68" t="b">
        <v>0</v>
      </c>
      <c r="M319" s="20" t="n"/>
      <c r="N319" s="69">
        <f>IF($J319="","",IFERROR(INDEX(B!$F$2:$F$61,MATCH($J319,B!$E$2:$E$61,0))&amp;"",""))</f>
        <v/>
      </c>
      <c r="O319" s="69">
        <f>IF($J319="","",IFERROR(INDEX(B!$G$2:$G$61,MATCH($J319,B!$E$2:$E$61,0))&amp;"",""))</f>
        <v/>
      </c>
      <c r="P319" s="69">
        <f>IF($J319="","",IFERROR(INDEX(B!$H$2:$H$61,MATCH($J319,B!$E$2:$E$61,0))&amp;"",""))</f>
        <v/>
      </c>
      <c r="Q319" s="69">
        <f>IF($J319="","",IFERROR(INDEX(B!$I$2:$I$61,MATCH($J319,B!$E$2:$E$61,0))&amp;"",""))</f>
        <v/>
      </c>
      <c r="R319" s="69">
        <f>IF($J319="","",IFERROR(INDEX(B!$J$2:$J$61,MATCH($J319,B!$E$2:$E$61,0))&amp;"",""))</f>
        <v/>
      </c>
      <c r="S319" s="69">
        <f>IF($J319="","",IFERROR(INDEX(B!$K$2:$K$61,MATCH($J319,B!$E$2:$E$61,0))&amp;"",""))</f>
        <v/>
      </c>
      <c r="T319" s="69">
        <f>IF($J319="","",IFERROR(INDEX(B!$L$2:$L$61,MATCH($J319,B!$E$2:$E$61,0))&amp;"",""))</f>
        <v/>
      </c>
      <c r="U319" s="20" t="n"/>
      <c r="V319" s="70">
        <f>IF($J319="","",IFERROR(INDEX(B!$M$2:$M$61,MATCH($J319,B!$E$2:$E$61,0))&amp;"",""))</f>
        <v/>
      </c>
      <c r="W319" s="71">
        <f>IF(I319="","",IFERROR(MID(I319,FIND("/d/",I319)+3,FIND("/edit",I319)-FIND("/d/",I319)-3),I319))</f>
        <v/>
      </c>
      <c r="X319" s="71">
        <f>IF($J319="","",IFERROR(INDEX(B!$C$2:$C$61,MATCH($J319,B!$E$2:$E$61,0))&amp;"",""))</f>
        <v/>
      </c>
      <c r="Y319" s="20" t="n"/>
      <c r="Z319" s="72">
        <f>IF($J319="",FALSE,ISNUMBER(SEARCH("scout",$K319)))</f>
        <v/>
      </c>
      <c r="AA319" s="72">
        <f>IF($J319="",FALSE,IFERROR(INDEX(B!$N$2:$N$61,MATCH($J319,B!$E$2:$E$61,0))="Sim",FALSE))</f>
        <v/>
      </c>
      <c r="AB319" s="72">
        <f>IF($J319="",FALSE,LEFT($X319,2)="XX")</f>
        <v/>
      </c>
      <c r="AC319" s="72">
        <f>IF($J319="",FALSE,IFERROR(INDEX(B!$P$2:$P$61,MATCH($J319,B!$E$2:$E$61,0))="Sim",FALSE))</f>
        <v/>
      </c>
      <c r="AD319" s="20" t="n"/>
      <c r="AE319" s="52">
        <f>IF(H319="","",HOUR(H319))</f>
        <v/>
      </c>
      <c r="AF319" s="52" t="n"/>
    </row>
    <row r="320" ht="19.5" customHeight="1" s="58">
      <c r="A320" s="62">
        <f>IF(G320="","",IF(G320=G319,"",COUNTIF($G$3:$G$976,G320)))</f>
        <v/>
      </c>
      <c r="B320" s="20" t="n"/>
      <c r="C320" s="63">
        <f>IF(G320="","",DAY(G320))</f>
        <v/>
      </c>
      <c r="D320" s="63">
        <f>IF(G320="","",MONTH(G320))</f>
        <v/>
      </c>
      <c r="E320" s="63">
        <f>IF(G320="","",YEAR(G320))</f>
        <v/>
      </c>
      <c r="F320" s="33">
        <f>IF(G320="","",CHOOSE(MONTH(G320),"Janeiro","Fevereiro","Março","Abril","Maio","Junho","Julho","Agosto","Setembro","Outubro","Novembro","Dezembro"))</f>
        <v/>
      </c>
      <c r="G320" s="64" t="n">
        <v>46063</v>
      </c>
      <c r="H320" s="65" t="n">
        <v>0.08119212962962963</v>
      </c>
      <c r="I320" s="66" t="inlineStr">
        <is>
          <t>https://docs.google.com/spreadsheets/d/1ZiCGoPjLCjuYvujDTXK9Ixbth3tekiLtFBzBrGjPCr4/edit?gid=0#gid=0</t>
        </is>
      </c>
      <c r="J320" s="67" t="inlineStr">
        <is>
          <t>Não houve Taxa de Cancelamento - [NTX]</t>
        </is>
      </c>
      <c r="K320" s="67" t="inlineStr"/>
      <c r="L320" s="68" t="b">
        <v>0</v>
      </c>
      <c r="M320" s="20" t="n"/>
      <c r="N320" s="69">
        <f>IF($J320="","",IFERROR(INDEX(B!$F$2:$F$61,MATCH($J320,B!$E$2:$E$61,0))&amp;"",""))</f>
        <v/>
      </c>
      <c r="O320" s="69">
        <f>IF($J320="","",IFERROR(INDEX(B!$G$2:$G$61,MATCH($J320,B!$E$2:$E$61,0))&amp;"",""))</f>
        <v/>
      </c>
      <c r="P320" s="69">
        <f>IF($J320="","",IFERROR(INDEX(B!$H$2:$H$61,MATCH($J320,B!$E$2:$E$61,0))&amp;"",""))</f>
        <v/>
      </c>
      <c r="Q320" s="69">
        <f>IF($J320="","",IFERROR(INDEX(B!$I$2:$I$61,MATCH($J320,B!$E$2:$E$61,0))&amp;"",""))</f>
        <v/>
      </c>
      <c r="R320" s="69">
        <f>IF($J320="","",IFERROR(INDEX(B!$J$2:$J$61,MATCH($J320,B!$E$2:$E$61,0))&amp;"",""))</f>
        <v/>
      </c>
      <c r="S320" s="69">
        <f>IF($J320="","",IFERROR(INDEX(B!$K$2:$K$61,MATCH($J320,B!$E$2:$E$61,0))&amp;"",""))</f>
        <v/>
      </c>
      <c r="T320" s="69">
        <f>IF($J320="","",IFERROR(INDEX(B!$L$2:$L$61,MATCH($J320,B!$E$2:$E$61,0))&amp;"",""))</f>
        <v/>
      </c>
      <c r="U320" s="20" t="n"/>
      <c r="V320" s="70">
        <f>IF($J320="","",IFERROR(INDEX(B!$M$2:$M$61,MATCH($J320,B!$E$2:$E$61,0))&amp;"",""))</f>
        <v/>
      </c>
      <c r="W320" s="71">
        <f>IF(I320="","",IFERROR(MID(I320,FIND("/d/",I320)+3,FIND("/edit",I320)-FIND("/d/",I320)-3),I320))</f>
        <v/>
      </c>
      <c r="X320" s="71">
        <f>IF($J320="","",IFERROR(INDEX(B!$C$2:$C$61,MATCH($J320,B!$E$2:$E$61,0))&amp;"",""))</f>
        <v/>
      </c>
      <c r="Y320" s="20" t="n"/>
      <c r="Z320" s="72">
        <f>IF($J320="",FALSE,ISNUMBER(SEARCH("scout",$K320)))</f>
        <v/>
      </c>
      <c r="AA320" s="72">
        <f>IF($J320="",FALSE,IFERROR(INDEX(B!$N$2:$N$61,MATCH($J320,B!$E$2:$E$61,0))="Sim",FALSE))</f>
        <v/>
      </c>
      <c r="AB320" s="72">
        <f>IF($J320="",FALSE,LEFT($X320,2)="XX")</f>
        <v/>
      </c>
      <c r="AC320" s="72">
        <f>IF($J320="",FALSE,IFERROR(INDEX(B!$P$2:$P$61,MATCH($J320,B!$E$2:$E$61,0))="Sim",FALSE))</f>
        <v/>
      </c>
      <c r="AD320" s="20" t="n"/>
      <c r="AE320" s="52">
        <f>IF(H320="","",HOUR(H320))</f>
        <v/>
      </c>
      <c r="AF320" s="52" t="n"/>
    </row>
    <row r="321" ht="19.5" customHeight="1" s="58">
      <c r="A321" s="62">
        <f>IF(G321="","",IF(G321=G320,"",COUNTIF($G$3:$G$976,G321)))</f>
        <v/>
      </c>
      <c r="B321" s="20" t="n"/>
      <c r="C321" s="63">
        <f>IF(G321="","",DAY(G321))</f>
        <v/>
      </c>
      <c r="D321" s="63">
        <f>IF(G321="","",MONTH(G321))</f>
        <v/>
      </c>
      <c r="E321" s="63">
        <f>IF(G321="","",YEAR(G321))</f>
        <v/>
      </c>
      <c r="F321" s="33">
        <f>IF(G321="","",CHOOSE(MONTH(G321),"Janeiro","Fevereiro","Março","Abril","Maio","Junho","Julho","Agosto","Setembro","Outubro","Novembro","Dezembro"))</f>
        <v/>
      </c>
      <c r="G321" s="64" t="n">
        <v>46063</v>
      </c>
      <c r="H321" s="65" t="n">
        <v>0.08186342592592592</v>
      </c>
      <c r="I321" s="66" t="inlineStr">
        <is>
          <t>https://docs.google.com/spreadsheets/d/1ZiCGoPjLCjuYvujDTXK9Ixbth3tekiLtFBzBrGjPCr4/edit?gid=0#gid=0</t>
        </is>
      </c>
      <c r="J321" s="67" t="inlineStr">
        <is>
          <t>Viagem Calculada Incorretamente - [VCI]</t>
        </is>
      </c>
      <c r="K321" s="67" t="inlineStr">
        <is>
          <t>Scout</t>
        </is>
      </c>
      <c r="L321" s="68" t="b">
        <v>0</v>
      </c>
      <c r="M321" s="20" t="n"/>
      <c r="N321" s="69">
        <f>IF($J321="","",IFERROR(INDEX(B!$F$2:$F$61,MATCH($J321,B!$E$2:$E$61,0))&amp;"",""))</f>
        <v/>
      </c>
      <c r="O321" s="69">
        <f>IF($J321="","",IFERROR(INDEX(B!$G$2:$G$61,MATCH($J321,B!$E$2:$E$61,0))&amp;"",""))</f>
        <v/>
      </c>
      <c r="P321" s="69">
        <f>IF($J321="","",IFERROR(INDEX(B!$H$2:$H$61,MATCH($J321,B!$E$2:$E$61,0))&amp;"",""))</f>
        <v/>
      </c>
      <c r="Q321" s="69">
        <f>IF($J321="","",IFERROR(INDEX(B!$I$2:$I$61,MATCH($J321,B!$E$2:$E$61,0))&amp;"",""))</f>
        <v/>
      </c>
      <c r="R321" s="69">
        <f>IF($J321="","",IFERROR(INDEX(B!$J$2:$J$61,MATCH($J321,B!$E$2:$E$61,0))&amp;"",""))</f>
        <v/>
      </c>
      <c r="S321" s="69">
        <f>IF($J321="","",IFERROR(INDEX(B!$K$2:$K$61,MATCH($J321,B!$E$2:$E$61,0))&amp;"",""))</f>
        <v/>
      </c>
      <c r="T321" s="69">
        <f>IF($J321="","",IFERROR(INDEX(B!$L$2:$L$61,MATCH($J321,B!$E$2:$E$61,0))&amp;"",""))</f>
        <v/>
      </c>
      <c r="U321" s="20" t="n"/>
      <c r="V321" s="70">
        <f>IF($J321="","",IFERROR(INDEX(B!$M$2:$M$61,MATCH($J321,B!$E$2:$E$61,0))&amp;"",""))</f>
        <v/>
      </c>
      <c r="W321" s="71">
        <f>IF(I321="","",IFERROR(MID(I321,FIND("/d/",I321)+3,FIND("/edit",I321)-FIND("/d/",I321)-3),I321))</f>
        <v/>
      </c>
      <c r="X321" s="71">
        <f>IF($J321="","",IFERROR(INDEX(B!$C$2:$C$61,MATCH($J321,B!$E$2:$E$61,0))&amp;"",""))</f>
        <v/>
      </c>
      <c r="Y321" s="20" t="n"/>
      <c r="Z321" s="72">
        <f>IF($J321="",FALSE,ISNUMBER(SEARCH("scout",$K321)))</f>
        <v/>
      </c>
      <c r="AA321" s="72">
        <f>IF($J321="",FALSE,IFERROR(INDEX(B!$N$2:$N$61,MATCH($J321,B!$E$2:$E$61,0))="Sim",FALSE))</f>
        <v/>
      </c>
      <c r="AB321" s="72">
        <f>IF($J321="",FALSE,LEFT($X321,2)="XX")</f>
        <v/>
      </c>
      <c r="AC321" s="72">
        <f>IF($J321="",FALSE,IFERROR(INDEX(B!$P$2:$P$61,MATCH($J321,B!$E$2:$E$61,0))="Sim",FALSE))</f>
        <v/>
      </c>
      <c r="AD321" s="20" t="n"/>
      <c r="AE321" s="52">
        <f>IF(H321="","",HOUR(H321))</f>
        <v/>
      </c>
      <c r="AF321" s="52" t="n"/>
    </row>
    <row r="322" ht="19.5" customHeight="1" s="58">
      <c r="A322" s="62">
        <f>IF(G322="","",IF(G322=G321,"",COUNTIF($G$3:$G$976,G322)))</f>
        <v/>
      </c>
      <c r="B322" s="20" t="n"/>
      <c r="C322" s="63">
        <f>IF(G322="","",DAY(G322))</f>
        <v/>
      </c>
      <c r="D322" s="63">
        <f>IF(G322="","",MONTH(G322))</f>
        <v/>
      </c>
      <c r="E322" s="63">
        <f>IF(G322="","",YEAR(G322))</f>
        <v/>
      </c>
      <c r="F322" s="33">
        <f>IF(G322="","",CHOOSE(MONTH(G322),"Janeiro","Fevereiro","Março","Abril","Maio","Junho","Julho","Agosto","Setembro","Outubro","Novembro","Dezembro"))</f>
        <v/>
      </c>
      <c r="G322" s="64" t="n">
        <v>46063</v>
      </c>
      <c r="H322" s="65" t="n">
        <v>0.08305555555555555</v>
      </c>
      <c r="I322" s="66" t="inlineStr">
        <is>
          <t>https://docs.google.com/spreadsheets/d/1ZiCGoPjLCjuYvujDTXK9Ixbth3tekiLtFBzBrGjPCr4/edit?gid=0#gid=0</t>
        </is>
      </c>
      <c r="J322" s="67" t="inlineStr">
        <is>
          <t>Transferência de LOB (Profissionalismo) - [TIPR]</t>
        </is>
      </c>
      <c r="K322" s="67" t="inlineStr">
        <is>
          <t>Scout</t>
        </is>
      </c>
      <c r="L322" s="68" t="b">
        <v>0</v>
      </c>
      <c r="M322" s="20" t="n"/>
      <c r="N322" s="69">
        <f>IF($J322="","",IFERROR(INDEX(B!$F$2:$F$61,MATCH($J322,B!$E$2:$E$61,0))&amp;"",""))</f>
        <v/>
      </c>
      <c r="O322" s="69">
        <f>IF($J322="","",IFERROR(INDEX(B!$G$2:$G$61,MATCH($J322,B!$E$2:$E$61,0))&amp;"",""))</f>
        <v/>
      </c>
      <c r="P322" s="69">
        <f>IF($J322="","",IFERROR(INDEX(B!$H$2:$H$61,MATCH($J322,B!$E$2:$E$61,0))&amp;"",""))</f>
        <v/>
      </c>
      <c r="Q322" s="69">
        <f>IF($J322="","",IFERROR(INDEX(B!$I$2:$I$61,MATCH($J322,B!$E$2:$E$61,0))&amp;"",""))</f>
        <v/>
      </c>
      <c r="R322" s="69">
        <f>IF($J322="","",IFERROR(INDEX(B!$J$2:$J$61,MATCH($J322,B!$E$2:$E$61,0))&amp;"",""))</f>
        <v/>
      </c>
      <c r="S322" s="69">
        <f>IF($J322="","",IFERROR(INDEX(B!$K$2:$K$61,MATCH($J322,B!$E$2:$E$61,0))&amp;"",""))</f>
        <v/>
      </c>
      <c r="T322" s="69">
        <f>IF($J322="","",IFERROR(INDEX(B!$L$2:$L$61,MATCH($J322,B!$E$2:$E$61,0))&amp;"",""))</f>
        <v/>
      </c>
      <c r="U322" s="20" t="n"/>
      <c r="V322" s="70">
        <f>IF($J322="","",IFERROR(INDEX(B!$M$2:$M$61,MATCH($J322,B!$E$2:$E$61,0))&amp;"",""))</f>
        <v/>
      </c>
      <c r="W322" s="71">
        <f>IF(I322="","",IFERROR(MID(I322,FIND("/d/",I322)+3,FIND("/edit",I322)-FIND("/d/",I322)-3),I322))</f>
        <v/>
      </c>
      <c r="X322" s="71">
        <f>IF($J322="","",IFERROR(INDEX(B!$C$2:$C$61,MATCH($J322,B!$E$2:$E$61,0))&amp;"",""))</f>
        <v/>
      </c>
      <c r="Y322" s="20" t="n"/>
      <c r="Z322" s="72">
        <f>IF($J322="",FALSE,ISNUMBER(SEARCH("scout",$K322)))</f>
        <v/>
      </c>
      <c r="AA322" s="72">
        <f>IF($J322="",FALSE,IFERROR(INDEX(B!$N$2:$N$61,MATCH($J322,B!$E$2:$E$61,0))="Sim",FALSE))</f>
        <v/>
      </c>
      <c r="AB322" s="72">
        <f>IF($J322="",FALSE,LEFT($X322,2)="XX")</f>
        <v/>
      </c>
      <c r="AC322" s="72">
        <f>IF($J322="",FALSE,IFERROR(INDEX(B!$P$2:$P$61,MATCH($J322,B!$E$2:$E$61,0))="Sim",FALSE))</f>
        <v/>
      </c>
      <c r="AD322" s="20" t="n"/>
      <c r="AE322" s="52">
        <f>IF(H322="","",HOUR(H322))</f>
        <v/>
      </c>
      <c r="AF322" s="52" t="n"/>
    </row>
    <row r="323" ht="19.5" customHeight="1" s="58">
      <c r="A323" s="62">
        <f>IF(G323="","",IF(G323=G322,"",COUNTIF($G$3:$G$976,G323)))</f>
        <v/>
      </c>
      <c r="B323" s="20" t="n"/>
      <c r="C323" s="63">
        <f>IF(G323="","",DAY(G323))</f>
        <v/>
      </c>
      <c r="D323" s="63">
        <f>IF(G323="","",MONTH(G323))</f>
        <v/>
      </c>
      <c r="E323" s="63">
        <f>IF(G323="","",YEAR(G323))</f>
        <v/>
      </c>
      <c r="F323" s="33">
        <f>IF(G323="","",CHOOSE(MONTH(G323),"Janeiro","Fevereiro","Março","Abril","Maio","Junho","Julho","Agosto","Setembro","Outubro","Novembro","Dezembro"))</f>
        <v/>
      </c>
      <c r="G323" s="64" t="n">
        <v>46063</v>
      </c>
      <c r="H323" s="65" t="n">
        <v>0.08679398148148149</v>
      </c>
      <c r="I323" s="66" t="inlineStr">
        <is>
          <t>https://docs.google.com/spreadsheets/d/1ZiCGoPjLCjuYvujDTXK9Ixbth3tekiLtFBzBrGjPCr4/edit?gid=0#gid=0</t>
        </is>
      </c>
      <c r="J323" s="67" t="inlineStr">
        <is>
          <t>Taxa de Limpeza - [TXL]</t>
        </is>
      </c>
      <c r="K323" s="67" t="inlineStr"/>
      <c r="L323" s="68" t="b">
        <v>0</v>
      </c>
      <c r="M323" s="20" t="n"/>
      <c r="N323" s="69">
        <f>IF($J323="","",IFERROR(INDEX(B!$F$2:$F$61,MATCH($J323,B!$E$2:$E$61,0))&amp;"",""))</f>
        <v/>
      </c>
      <c r="O323" s="69">
        <f>IF($J323="","",IFERROR(INDEX(B!$G$2:$G$61,MATCH($J323,B!$E$2:$E$61,0))&amp;"",""))</f>
        <v/>
      </c>
      <c r="P323" s="69">
        <f>IF($J323="","",IFERROR(INDEX(B!$H$2:$H$61,MATCH($J323,B!$E$2:$E$61,0))&amp;"",""))</f>
        <v/>
      </c>
      <c r="Q323" s="69">
        <f>IF($J323="","",IFERROR(INDEX(B!$I$2:$I$61,MATCH($J323,B!$E$2:$E$61,0))&amp;"",""))</f>
        <v/>
      </c>
      <c r="R323" s="69">
        <f>IF($J323="","",IFERROR(INDEX(B!$J$2:$J$61,MATCH($J323,B!$E$2:$E$61,0))&amp;"",""))</f>
        <v/>
      </c>
      <c r="S323" s="69">
        <f>IF($J323="","",IFERROR(INDEX(B!$K$2:$K$61,MATCH($J323,B!$E$2:$E$61,0))&amp;"",""))</f>
        <v/>
      </c>
      <c r="T323" s="69">
        <f>IF($J323="","",IFERROR(INDEX(B!$L$2:$L$61,MATCH($J323,B!$E$2:$E$61,0))&amp;"",""))</f>
        <v/>
      </c>
      <c r="U323" s="20" t="n"/>
      <c r="V323" s="70">
        <f>IF($J323="","",IFERROR(INDEX(B!$M$2:$M$61,MATCH($J323,B!$E$2:$E$61,0))&amp;"",""))</f>
        <v/>
      </c>
      <c r="W323" s="71">
        <f>IF(I323="","",IFERROR(MID(I323,FIND("/d/",I323)+3,FIND("/edit",I323)-FIND("/d/",I323)-3),I323))</f>
        <v/>
      </c>
      <c r="X323" s="71">
        <f>IF($J323="","",IFERROR(INDEX(B!$C$2:$C$61,MATCH($J323,B!$E$2:$E$61,0))&amp;"",""))</f>
        <v/>
      </c>
      <c r="Y323" s="20" t="n"/>
      <c r="Z323" s="72">
        <f>IF($J323="",FALSE,ISNUMBER(SEARCH("scout",$K323)))</f>
        <v/>
      </c>
      <c r="AA323" s="72">
        <f>IF($J323="",FALSE,IFERROR(INDEX(B!$N$2:$N$61,MATCH($J323,B!$E$2:$E$61,0))="Sim",FALSE))</f>
        <v/>
      </c>
      <c r="AB323" s="72">
        <f>IF($J323="",FALSE,LEFT($X323,2)="XX")</f>
        <v/>
      </c>
      <c r="AC323" s="72">
        <f>IF($J323="",FALSE,IFERROR(INDEX(B!$P$2:$P$61,MATCH($J323,B!$E$2:$E$61,0))="Sim",FALSE))</f>
        <v/>
      </c>
      <c r="AD323" s="20" t="n"/>
      <c r="AE323" s="52">
        <f>IF(H323="","",HOUR(H323))</f>
        <v/>
      </c>
      <c r="AF323" s="52" t="n"/>
    </row>
    <row r="324" ht="19.5" customHeight="1" s="58">
      <c r="A324" s="62">
        <f>IF(G324="","",IF(G324=G323,"",COUNTIF($G$3:$G$976,G324)))</f>
        <v/>
      </c>
      <c r="B324" s="20" t="n"/>
      <c r="C324" s="63">
        <f>IF(G324="","",DAY(G324))</f>
        <v/>
      </c>
      <c r="D324" s="63">
        <f>IF(G324="","",MONTH(G324))</f>
        <v/>
      </c>
      <c r="E324" s="63">
        <f>IF(G324="","",YEAR(G324))</f>
        <v/>
      </c>
      <c r="F324" s="33">
        <f>IF(G324="","",CHOOSE(MONTH(G324),"Janeiro","Fevereiro","Março","Abril","Maio","Junho","Julho","Agosto","Setembro","Outubro","Novembro","Dezembro"))</f>
        <v/>
      </c>
      <c r="G324" s="64" t="n">
        <v>46063</v>
      </c>
      <c r="H324" s="65" t="n">
        <v>0.09177083333333333</v>
      </c>
      <c r="I324" s="66" t="inlineStr">
        <is>
          <t>https://docs.google.com/spreadsheets/d/1ZiCGoPjLCjuYvujDTXK9Ixbth3tekiLtFBzBrGjPCr4/edit?gid=0#gid=0</t>
        </is>
      </c>
      <c r="J324" s="67" t="inlineStr">
        <is>
          <t>Taxa de Cancelamento - [TXC]</t>
        </is>
      </c>
      <c r="K324" s="67" t="inlineStr"/>
      <c r="L324" s="68" t="b">
        <v>0</v>
      </c>
      <c r="M324" s="20" t="n"/>
      <c r="N324" s="69">
        <f>IF($J324="","",IFERROR(INDEX(B!$F$2:$F$61,MATCH($J324,B!$E$2:$E$61,0))&amp;"",""))</f>
        <v/>
      </c>
      <c r="O324" s="69">
        <f>IF($J324="","",IFERROR(INDEX(B!$G$2:$G$61,MATCH($J324,B!$E$2:$E$61,0))&amp;"",""))</f>
        <v/>
      </c>
      <c r="P324" s="69">
        <f>IF($J324="","",IFERROR(INDEX(B!$H$2:$H$61,MATCH($J324,B!$E$2:$E$61,0))&amp;"",""))</f>
        <v/>
      </c>
      <c r="Q324" s="69">
        <f>IF($J324="","",IFERROR(INDEX(B!$I$2:$I$61,MATCH($J324,B!$E$2:$E$61,0))&amp;"",""))</f>
        <v/>
      </c>
      <c r="R324" s="69">
        <f>IF($J324="","",IFERROR(INDEX(B!$J$2:$J$61,MATCH($J324,B!$E$2:$E$61,0))&amp;"",""))</f>
        <v/>
      </c>
      <c r="S324" s="69">
        <f>IF($J324="","",IFERROR(INDEX(B!$K$2:$K$61,MATCH($J324,B!$E$2:$E$61,0))&amp;"",""))</f>
        <v/>
      </c>
      <c r="T324" s="69">
        <f>IF($J324="","",IFERROR(INDEX(B!$L$2:$L$61,MATCH($J324,B!$E$2:$E$61,0))&amp;"",""))</f>
        <v/>
      </c>
      <c r="U324" s="20" t="n"/>
      <c r="V324" s="70">
        <f>IF($J324="","",IFERROR(INDEX(B!$M$2:$M$61,MATCH($J324,B!$E$2:$E$61,0))&amp;"",""))</f>
        <v/>
      </c>
      <c r="W324" s="71">
        <f>IF(I324="","",IFERROR(MID(I324,FIND("/d/",I324)+3,FIND("/edit",I324)-FIND("/d/",I324)-3),I324))</f>
        <v/>
      </c>
      <c r="X324" s="71">
        <f>IF($J324="","",IFERROR(INDEX(B!$C$2:$C$61,MATCH($J324,B!$E$2:$E$61,0))&amp;"",""))</f>
        <v/>
      </c>
      <c r="Y324" s="20" t="n"/>
      <c r="Z324" s="72">
        <f>IF($J324="",FALSE,ISNUMBER(SEARCH("scout",$K324)))</f>
        <v/>
      </c>
      <c r="AA324" s="72">
        <f>IF($J324="",FALSE,IFERROR(INDEX(B!$N$2:$N$61,MATCH($J324,B!$E$2:$E$61,0))="Sim",FALSE))</f>
        <v/>
      </c>
      <c r="AB324" s="72">
        <f>IF($J324="",FALSE,LEFT($X324,2)="XX")</f>
        <v/>
      </c>
      <c r="AC324" s="72">
        <f>IF($J324="",FALSE,IFERROR(INDEX(B!$P$2:$P$61,MATCH($J324,B!$E$2:$E$61,0))="Sim",FALSE))</f>
        <v/>
      </c>
      <c r="AD324" s="20" t="n"/>
      <c r="AE324" s="52">
        <f>IF(H324="","",HOUR(H324))</f>
        <v/>
      </c>
      <c r="AF324" s="52" t="n"/>
    </row>
    <row r="325" ht="19.5" customHeight="1" s="58">
      <c r="A325" s="62">
        <f>IF(G325="","",IF(G325=G324,"",COUNTIF($G$3:$G$976,G325)))</f>
        <v/>
      </c>
      <c r="B325" s="20" t="n"/>
      <c r="C325" s="63">
        <f>IF(G325="","",DAY(G325))</f>
        <v/>
      </c>
      <c r="D325" s="63">
        <f>IF(G325="","",MONTH(G325))</f>
        <v/>
      </c>
      <c r="E325" s="63">
        <f>IF(G325="","",YEAR(G325))</f>
        <v/>
      </c>
      <c r="F325" s="33">
        <f>IF(G325="","",CHOOSE(MONTH(G325),"Janeiro","Fevereiro","Março","Abril","Maio","Junho","Julho","Agosto","Setembro","Outubro","Novembro","Dezembro"))</f>
        <v/>
      </c>
      <c r="G325" s="64" t="n">
        <v>46063</v>
      </c>
      <c r="H325" s="65" t="n">
        <v>0.09199074074074073</v>
      </c>
      <c r="I325" s="66" t="inlineStr">
        <is>
          <t>https://docs.google.com/spreadsheets/d/1ZiCGoPjLCjuYvujDTXK9Ixbth3tekiLtFBzBrGjPCr4/edit?gid=0#gid=0</t>
        </is>
      </c>
      <c r="J325" s="67" t="inlineStr">
        <is>
          <t>Transferência de LOB (Geral não especificado) - [TI]</t>
        </is>
      </c>
      <c r="K325" s="67" t="inlineStr">
        <is>
          <t>Scout</t>
        </is>
      </c>
      <c r="L325" s="68" t="b">
        <v>0</v>
      </c>
      <c r="M325" s="20" t="n"/>
      <c r="N325" s="69">
        <f>IF($J325="","",IFERROR(INDEX(B!$F$2:$F$61,MATCH($J325,B!$E$2:$E$61,0))&amp;"",""))</f>
        <v/>
      </c>
      <c r="O325" s="69">
        <f>IF($J325="","",IFERROR(INDEX(B!$G$2:$G$61,MATCH($J325,B!$E$2:$E$61,0))&amp;"",""))</f>
        <v/>
      </c>
      <c r="P325" s="69">
        <f>IF($J325="","",IFERROR(INDEX(B!$H$2:$H$61,MATCH($J325,B!$E$2:$E$61,0))&amp;"",""))</f>
        <v/>
      </c>
      <c r="Q325" s="69">
        <f>IF($J325="","",IFERROR(INDEX(B!$I$2:$I$61,MATCH($J325,B!$E$2:$E$61,0))&amp;"",""))</f>
        <v/>
      </c>
      <c r="R325" s="69">
        <f>IF($J325="","",IFERROR(INDEX(B!$J$2:$J$61,MATCH($J325,B!$E$2:$E$61,0))&amp;"",""))</f>
        <v/>
      </c>
      <c r="S325" s="69">
        <f>IF($J325="","",IFERROR(INDEX(B!$K$2:$K$61,MATCH($J325,B!$E$2:$E$61,0))&amp;"",""))</f>
        <v/>
      </c>
      <c r="T325" s="69">
        <f>IF($J325="","",IFERROR(INDEX(B!$L$2:$L$61,MATCH($J325,B!$E$2:$E$61,0))&amp;"",""))</f>
        <v/>
      </c>
      <c r="U325" s="20" t="n"/>
      <c r="V325" s="70">
        <f>IF($J325="","",IFERROR(INDEX(B!$M$2:$M$61,MATCH($J325,B!$E$2:$E$61,0))&amp;"",""))</f>
        <v/>
      </c>
      <c r="W325" s="71">
        <f>IF(I325="","",IFERROR(MID(I325,FIND("/d/",I325)+3,FIND("/edit",I325)-FIND("/d/",I325)-3),I325))</f>
        <v/>
      </c>
      <c r="X325" s="71">
        <f>IF($J325="","",IFERROR(INDEX(B!$C$2:$C$61,MATCH($J325,B!$E$2:$E$61,0))&amp;"",""))</f>
        <v/>
      </c>
      <c r="Y325" s="20" t="n"/>
      <c r="Z325" s="72">
        <f>IF($J325="",FALSE,ISNUMBER(SEARCH("scout",$K325)))</f>
        <v/>
      </c>
      <c r="AA325" s="72">
        <f>IF($J325="",FALSE,IFERROR(INDEX(B!$N$2:$N$61,MATCH($J325,B!$E$2:$E$61,0))="Sim",FALSE))</f>
        <v/>
      </c>
      <c r="AB325" s="72">
        <f>IF($J325="",FALSE,LEFT($X325,2)="XX")</f>
        <v/>
      </c>
      <c r="AC325" s="72">
        <f>IF($J325="",FALSE,IFERROR(INDEX(B!$P$2:$P$61,MATCH($J325,B!$E$2:$E$61,0))="Sim",FALSE))</f>
        <v/>
      </c>
      <c r="AD325" s="20" t="n"/>
      <c r="AE325" s="52">
        <f>IF(H325="","",HOUR(H325))</f>
        <v/>
      </c>
      <c r="AF325" s="52" t="n"/>
    </row>
    <row r="326" ht="19.5" customHeight="1" s="58">
      <c r="A326" s="62">
        <f>IF(G326="","",IF(G326=G325,"",COUNTIF($G$3:$G$976,G326)))</f>
        <v/>
      </c>
      <c r="B326" s="20" t="n"/>
      <c r="C326" s="63">
        <f>IF(G326="","",DAY(G326))</f>
        <v/>
      </c>
      <c r="D326" s="63">
        <f>IF(G326="","",MONTH(G326))</f>
        <v/>
      </c>
      <c r="E326" s="63">
        <f>IF(G326="","",YEAR(G326))</f>
        <v/>
      </c>
      <c r="F326" s="33">
        <f>IF(G326="","",CHOOSE(MONTH(G326),"Janeiro","Fevereiro","Março","Abril","Maio","Junho","Julho","Agosto","Setembro","Outubro","Novembro","Dezembro"))</f>
        <v/>
      </c>
      <c r="G326" s="64" t="n">
        <v>46063</v>
      </c>
      <c r="H326" s="65" t="n">
        <v>0.1066550925925926</v>
      </c>
      <c r="I326" s="66" t="inlineStr">
        <is>
          <t>https://docs.google.com/spreadsheets/d/1ZiCGoPjLCjuYvujDTXK9Ixbth3tekiLtFBzBrGjPCr4/edit?gid=0#gid=0</t>
        </is>
      </c>
      <c r="J326" s="67" t="inlineStr">
        <is>
          <t>Mais informações Gerais - [AA]</t>
        </is>
      </c>
      <c r="K326" s="67" t="inlineStr"/>
      <c r="L326" s="68" t="b">
        <v>0</v>
      </c>
      <c r="M326" s="20" t="n"/>
      <c r="N326" s="69">
        <f>IF($J326="","",IFERROR(INDEX(B!$F$2:$F$61,MATCH($J326,B!$E$2:$E$61,0))&amp;"",""))</f>
        <v/>
      </c>
      <c r="O326" s="69">
        <f>IF($J326="","",IFERROR(INDEX(B!$G$2:$G$61,MATCH($J326,B!$E$2:$E$61,0))&amp;"",""))</f>
        <v/>
      </c>
      <c r="P326" s="69">
        <f>IF($J326="","",IFERROR(INDEX(B!$H$2:$H$61,MATCH($J326,B!$E$2:$E$61,0))&amp;"",""))</f>
        <v/>
      </c>
      <c r="Q326" s="69">
        <f>IF($J326="","",IFERROR(INDEX(B!$I$2:$I$61,MATCH($J326,B!$E$2:$E$61,0))&amp;"",""))</f>
        <v/>
      </c>
      <c r="R326" s="69">
        <f>IF($J326="","",IFERROR(INDEX(B!$J$2:$J$61,MATCH($J326,B!$E$2:$E$61,0))&amp;"",""))</f>
        <v/>
      </c>
      <c r="S326" s="69">
        <f>IF($J326="","",IFERROR(INDEX(B!$K$2:$K$61,MATCH($J326,B!$E$2:$E$61,0))&amp;"",""))</f>
        <v/>
      </c>
      <c r="T326" s="69">
        <f>IF($J326="","",IFERROR(INDEX(B!$L$2:$L$61,MATCH($J326,B!$E$2:$E$61,0))&amp;"",""))</f>
        <v/>
      </c>
      <c r="U326" s="20" t="n"/>
      <c r="V326" s="70">
        <f>IF($J326="","",IFERROR(INDEX(B!$M$2:$M$61,MATCH($J326,B!$E$2:$E$61,0))&amp;"",""))</f>
        <v/>
      </c>
      <c r="W326" s="71">
        <f>IF(I326="","",IFERROR(MID(I326,FIND("/d/",I326)+3,FIND("/edit",I326)-FIND("/d/",I326)-3),I326))</f>
        <v/>
      </c>
      <c r="X326" s="71">
        <f>IF($J326="","",IFERROR(INDEX(B!$C$2:$C$61,MATCH($J326,B!$E$2:$E$61,0))&amp;"",""))</f>
        <v/>
      </c>
      <c r="Y326" s="20" t="n"/>
      <c r="Z326" s="72">
        <f>IF($J326="",FALSE,ISNUMBER(SEARCH("scout",$K326)))</f>
        <v/>
      </c>
      <c r="AA326" s="72">
        <f>IF($J326="",FALSE,IFERROR(INDEX(B!$N$2:$N$61,MATCH($J326,B!$E$2:$E$61,0))="Sim",FALSE))</f>
        <v/>
      </c>
      <c r="AB326" s="72">
        <f>IF($J326="",FALSE,LEFT($X326,2)="XX")</f>
        <v/>
      </c>
      <c r="AC326" s="72">
        <f>IF($J326="",FALSE,IFERROR(INDEX(B!$P$2:$P$61,MATCH($J326,B!$E$2:$E$61,0))="Sim",FALSE))</f>
        <v/>
      </c>
      <c r="AD326" s="20" t="n"/>
      <c r="AE326" s="52">
        <f>IF(H326="","",HOUR(H326))</f>
        <v/>
      </c>
      <c r="AF326" s="52" t="n"/>
    </row>
    <row r="327" ht="19.5" customHeight="1" s="58">
      <c r="A327" s="62">
        <f>IF(G327="","",IF(G327=G326,"",COUNTIF($G$3:$G$976,G327)))</f>
        <v/>
      </c>
      <c r="B327" s="20" t="n"/>
      <c r="C327" s="63">
        <f>IF(G327="","",DAY(G327))</f>
        <v/>
      </c>
      <c r="D327" s="63">
        <f>IF(G327="","",MONTH(G327))</f>
        <v/>
      </c>
      <c r="E327" s="63">
        <f>IF(G327="","",YEAR(G327))</f>
        <v/>
      </c>
      <c r="F327" s="33">
        <f>IF(G327="","",CHOOSE(MONTH(G327),"Janeiro","Fevereiro","Março","Abril","Maio","Junho","Julho","Agosto","Setembro","Outubro","Novembro","Dezembro"))</f>
        <v/>
      </c>
      <c r="G327" s="64" t="n">
        <v>46063</v>
      </c>
      <c r="H327" s="65" t="n">
        <v>0.1105324074074074</v>
      </c>
      <c r="I327" s="66" t="inlineStr">
        <is>
          <t>https://docs.google.com/spreadsheets/d/1ZiCGoPjLCjuYvujDTXK9Ixbth3tekiLtFBzBrGjPCr4/edit?gid=0#gid=0</t>
        </is>
      </c>
      <c r="J327" s="67" t="inlineStr">
        <is>
          <t>Transferência de LOB (Driver) - [TIDV]</t>
        </is>
      </c>
      <c r="K327" s="67" t="inlineStr"/>
      <c r="L327" s="68" t="b">
        <v>1</v>
      </c>
      <c r="M327" s="20" t="n"/>
      <c r="N327" s="69">
        <f>IF($J327="","",IFERROR(INDEX(B!$F$2:$F$61,MATCH($J327,B!$E$2:$E$61,0))&amp;"",""))</f>
        <v/>
      </c>
      <c r="O327" s="69">
        <f>IF($J327="","",IFERROR(INDEX(B!$G$2:$G$61,MATCH($J327,B!$E$2:$E$61,0))&amp;"",""))</f>
        <v/>
      </c>
      <c r="P327" s="69">
        <f>IF($J327="","",IFERROR(INDEX(B!$H$2:$H$61,MATCH($J327,B!$E$2:$E$61,0))&amp;"",""))</f>
        <v/>
      </c>
      <c r="Q327" s="69">
        <f>IF($J327="","",IFERROR(INDEX(B!$I$2:$I$61,MATCH($J327,B!$E$2:$E$61,0))&amp;"",""))</f>
        <v/>
      </c>
      <c r="R327" s="69">
        <f>IF($J327="","",IFERROR(INDEX(B!$J$2:$J$61,MATCH($J327,B!$E$2:$E$61,0))&amp;"",""))</f>
        <v/>
      </c>
      <c r="S327" s="69">
        <f>IF($J327="","",IFERROR(INDEX(B!$K$2:$K$61,MATCH($J327,B!$E$2:$E$61,0))&amp;"",""))</f>
        <v/>
      </c>
      <c r="T327" s="69">
        <f>IF($J327="","",IFERROR(INDEX(B!$L$2:$L$61,MATCH($J327,B!$E$2:$E$61,0))&amp;"",""))</f>
        <v/>
      </c>
      <c r="U327" s="20" t="n"/>
      <c r="V327" s="70">
        <f>IF($J327="","",IFERROR(INDEX(B!$M$2:$M$61,MATCH($J327,B!$E$2:$E$61,0))&amp;"",""))</f>
        <v/>
      </c>
      <c r="W327" s="71">
        <f>IF(I327="","",IFERROR(MID(I327,FIND("/d/",I327)+3,FIND("/edit",I327)-FIND("/d/",I327)-3),I327))</f>
        <v/>
      </c>
      <c r="X327" s="71">
        <f>IF($J327="","",IFERROR(INDEX(B!$C$2:$C$61,MATCH($J327,B!$E$2:$E$61,0))&amp;"",""))</f>
        <v/>
      </c>
      <c r="Y327" s="20" t="n"/>
      <c r="Z327" s="72">
        <f>IF($J327="",FALSE,ISNUMBER(SEARCH("scout",$K327)))</f>
        <v/>
      </c>
      <c r="AA327" s="72">
        <f>IF($J327="",FALSE,IFERROR(INDEX(B!$N$2:$N$61,MATCH($J327,B!$E$2:$E$61,0))="Sim",FALSE))</f>
        <v/>
      </c>
      <c r="AB327" s="72">
        <f>IF($J327="",FALSE,LEFT($X327,2)="XX")</f>
        <v/>
      </c>
      <c r="AC327" s="72">
        <f>IF($J327="",FALSE,IFERROR(INDEX(B!$P$2:$P$61,MATCH($J327,B!$E$2:$E$61,0))="Sim",FALSE))</f>
        <v/>
      </c>
      <c r="AD327" s="20" t="n"/>
      <c r="AE327" s="52">
        <f>IF(H327="","",HOUR(H327))</f>
        <v/>
      </c>
      <c r="AF327" s="52" t="n"/>
    </row>
    <row r="328" ht="19.5" customHeight="1" s="58">
      <c r="A328" s="62">
        <f>IF(G328="","",IF(G328=G327,"",COUNTIF($G$3:$G$976,G328)))</f>
        <v/>
      </c>
      <c r="B328" s="20" t="n"/>
      <c r="C328" s="63">
        <f>IF(G328="","",DAY(G328))</f>
        <v/>
      </c>
      <c r="D328" s="63">
        <f>IF(G328="","",MONTH(G328))</f>
        <v/>
      </c>
      <c r="E328" s="63">
        <f>IF(G328="","",YEAR(G328))</f>
        <v/>
      </c>
      <c r="F328" s="33">
        <f>IF(G328="","",CHOOSE(MONTH(G328),"Janeiro","Fevereiro","Março","Abril","Maio","Junho","Julho","Agosto","Setembro","Outubro","Novembro","Dezembro"))</f>
        <v/>
      </c>
      <c r="G328" s="64" t="n">
        <v>46063</v>
      </c>
      <c r="H328" s="65" t="n">
        <v>0.1113541666666667</v>
      </c>
      <c r="I328" s="66" t="inlineStr">
        <is>
          <t>https://docs.google.com/spreadsheets/d/1ZiCGoPjLCjuYvujDTXK9Ixbth3tekiLtFBzBrGjPCr4/edit?gid=0#gid=0</t>
        </is>
      </c>
      <c r="J328" s="67" t="inlineStr">
        <is>
          <t>Transferência de LOB (Profissionalismo) - [TIPR]</t>
        </is>
      </c>
      <c r="K328" s="67" t="inlineStr"/>
      <c r="L328" s="68" t="b">
        <v>0</v>
      </c>
      <c r="M328" s="20" t="n"/>
      <c r="N328" s="69">
        <f>IF($J328="","",IFERROR(INDEX(B!$F$2:$F$61,MATCH($J328,B!$E$2:$E$61,0))&amp;"",""))</f>
        <v/>
      </c>
      <c r="O328" s="69">
        <f>IF($J328="","",IFERROR(INDEX(B!$G$2:$G$61,MATCH($J328,B!$E$2:$E$61,0))&amp;"",""))</f>
        <v/>
      </c>
      <c r="P328" s="69">
        <f>IF($J328="","",IFERROR(INDEX(B!$H$2:$H$61,MATCH($J328,B!$E$2:$E$61,0))&amp;"",""))</f>
        <v/>
      </c>
      <c r="Q328" s="69">
        <f>IF($J328="","",IFERROR(INDEX(B!$I$2:$I$61,MATCH($J328,B!$E$2:$E$61,0))&amp;"",""))</f>
        <v/>
      </c>
      <c r="R328" s="69">
        <f>IF($J328="","",IFERROR(INDEX(B!$J$2:$J$61,MATCH($J328,B!$E$2:$E$61,0))&amp;"",""))</f>
        <v/>
      </c>
      <c r="S328" s="69">
        <f>IF($J328="","",IFERROR(INDEX(B!$K$2:$K$61,MATCH($J328,B!$E$2:$E$61,0))&amp;"",""))</f>
        <v/>
      </c>
      <c r="T328" s="69">
        <f>IF($J328="","",IFERROR(INDEX(B!$L$2:$L$61,MATCH($J328,B!$E$2:$E$61,0))&amp;"",""))</f>
        <v/>
      </c>
      <c r="U328" s="20" t="n"/>
      <c r="V328" s="70">
        <f>IF($J328="","",IFERROR(INDEX(B!$M$2:$M$61,MATCH($J328,B!$E$2:$E$61,0))&amp;"",""))</f>
        <v/>
      </c>
      <c r="W328" s="71">
        <f>IF(I328="","",IFERROR(MID(I328,FIND("/d/",I328)+3,FIND("/edit",I328)-FIND("/d/",I328)-3),I328))</f>
        <v/>
      </c>
      <c r="X328" s="71">
        <f>IF($J328="","",IFERROR(INDEX(B!$C$2:$C$61,MATCH($J328,B!$E$2:$E$61,0))&amp;"",""))</f>
        <v/>
      </c>
      <c r="Y328" s="20" t="n"/>
      <c r="Z328" s="72">
        <f>IF($J328="",FALSE,ISNUMBER(SEARCH("scout",$K328)))</f>
        <v/>
      </c>
      <c r="AA328" s="72">
        <f>IF($J328="",FALSE,IFERROR(INDEX(B!$N$2:$N$61,MATCH($J328,B!$E$2:$E$61,0))="Sim",FALSE))</f>
        <v/>
      </c>
      <c r="AB328" s="72">
        <f>IF($J328="",FALSE,LEFT($X328,2)="XX")</f>
        <v/>
      </c>
      <c r="AC328" s="72">
        <f>IF($J328="",FALSE,IFERROR(INDEX(B!$P$2:$P$61,MATCH($J328,B!$E$2:$E$61,0))="Sim",FALSE))</f>
        <v/>
      </c>
      <c r="AD328" s="20" t="n"/>
      <c r="AE328" s="52">
        <f>IF(H328="","",HOUR(H328))</f>
        <v/>
      </c>
      <c r="AF328" s="52" t="n"/>
    </row>
    <row r="329" ht="19.5" customHeight="1" s="58">
      <c r="A329" s="62">
        <f>IF(G329="","",IF(G329=G328,"",COUNTIF($G$3:$G$976,G329)))</f>
        <v/>
      </c>
      <c r="B329" s="20" t="n"/>
      <c r="C329" s="63">
        <f>IF(G329="","",DAY(G329))</f>
        <v/>
      </c>
      <c r="D329" s="63">
        <f>IF(G329="","",MONTH(G329))</f>
        <v/>
      </c>
      <c r="E329" s="63">
        <f>IF(G329="","",YEAR(G329))</f>
        <v/>
      </c>
      <c r="F329" s="33">
        <f>IF(G329="","",CHOOSE(MONTH(G329),"Janeiro","Fevereiro","Março","Abril","Maio","Junho","Julho","Agosto","Setembro","Outubro","Novembro","Dezembro"))</f>
        <v/>
      </c>
      <c r="G329" s="64" t="n">
        <v>46063</v>
      </c>
      <c r="H329" s="65" t="n">
        <v>0.1146527777777778</v>
      </c>
      <c r="I329" s="66" t="inlineStr">
        <is>
          <t>https://docs.google.com/spreadsheets/d/1ZiCGoPjLCjuYvujDTXK9Ixbth3tekiLtFBzBrGjPCr4/edit?gid=0#gid=0</t>
        </is>
      </c>
      <c r="J329" s="67" t="inlineStr">
        <is>
          <t>Mais informações (Quanto Pagou?) - [AAV]</t>
        </is>
      </c>
      <c r="K329" s="67" t="inlineStr"/>
      <c r="L329" s="68" t="b">
        <v>0</v>
      </c>
      <c r="M329" s="20" t="n"/>
      <c r="N329" s="69">
        <f>IF($J329="","",IFERROR(INDEX(B!$F$2:$F$61,MATCH($J329,B!$E$2:$E$61,0))&amp;"",""))</f>
        <v/>
      </c>
      <c r="O329" s="69">
        <f>IF($J329="","",IFERROR(INDEX(B!$G$2:$G$61,MATCH($J329,B!$E$2:$E$61,0))&amp;"",""))</f>
        <v/>
      </c>
      <c r="P329" s="69">
        <f>IF($J329="","",IFERROR(INDEX(B!$H$2:$H$61,MATCH($J329,B!$E$2:$E$61,0))&amp;"",""))</f>
        <v/>
      </c>
      <c r="Q329" s="69">
        <f>IF($J329="","",IFERROR(INDEX(B!$I$2:$I$61,MATCH($J329,B!$E$2:$E$61,0))&amp;"",""))</f>
        <v/>
      </c>
      <c r="R329" s="69">
        <f>IF($J329="","",IFERROR(INDEX(B!$J$2:$J$61,MATCH($J329,B!$E$2:$E$61,0))&amp;"",""))</f>
        <v/>
      </c>
      <c r="S329" s="69">
        <f>IF($J329="","",IFERROR(INDEX(B!$K$2:$K$61,MATCH($J329,B!$E$2:$E$61,0))&amp;"",""))</f>
        <v/>
      </c>
      <c r="T329" s="69">
        <f>IF($J329="","",IFERROR(INDEX(B!$L$2:$L$61,MATCH($J329,B!$E$2:$E$61,0))&amp;"",""))</f>
        <v/>
      </c>
      <c r="U329" s="20" t="n"/>
      <c r="V329" s="70">
        <f>IF($J329="","",IFERROR(INDEX(B!$M$2:$M$61,MATCH($J329,B!$E$2:$E$61,0))&amp;"",""))</f>
        <v/>
      </c>
      <c r="W329" s="71">
        <f>IF(I329="","",IFERROR(MID(I329,FIND("/d/",I329)+3,FIND("/edit",I329)-FIND("/d/",I329)-3),I329))</f>
        <v/>
      </c>
      <c r="X329" s="71">
        <f>IF($J329="","",IFERROR(INDEX(B!$C$2:$C$61,MATCH($J329,B!$E$2:$E$61,0))&amp;"",""))</f>
        <v/>
      </c>
      <c r="Y329" s="20" t="n"/>
      <c r="Z329" s="72">
        <f>IF($J329="",FALSE,ISNUMBER(SEARCH("scout",$K329)))</f>
        <v/>
      </c>
      <c r="AA329" s="72">
        <f>IF($J329="",FALSE,IFERROR(INDEX(B!$N$2:$N$61,MATCH($J329,B!$E$2:$E$61,0))="Sim",FALSE))</f>
        <v/>
      </c>
      <c r="AB329" s="72">
        <f>IF($J329="",FALSE,LEFT($X329,2)="XX")</f>
        <v/>
      </c>
      <c r="AC329" s="72">
        <f>IF($J329="",FALSE,IFERROR(INDEX(B!$P$2:$P$61,MATCH($J329,B!$E$2:$E$61,0))="Sim",FALSE))</f>
        <v/>
      </c>
      <c r="AD329" s="20" t="n"/>
      <c r="AE329" s="52">
        <f>IF(H329="","",HOUR(H329))</f>
        <v/>
      </c>
      <c r="AF329" s="52" t="n"/>
    </row>
    <row r="330" ht="19.5" customHeight="1" s="58">
      <c r="A330" s="62">
        <f>IF(G330="","",IF(G330=G329,"",COUNTIF($G$3:$G$976,G330)))</f>
        <v/>
      </c>
      <c r="B330" s="20" t="n"/>
      <c r="C330" s="63">
        <f>IF(G330="","",DAY(G330))</f>
        <v/>
      </c>
      <c r="D330" s="63">
        <f>IF(G330="","",MONTH(G330))</f>
        <v/>
      </c>
      <c r="E330" s="63">
        <f>IF(G330="","",YEAR(G330))</f>
        <v/>
      </c>
      <c r="F330" s="33">
        <f>IF(G330="","",CHOOSE(MONTH(G330),"Janeiro","Fevereiro","Março","Abril","Maio","Junho","Julho","Agosto","Setembro","Outubro","Novembro","Dezembro"))</f>
        <v/>
      </c>
      <c r="G330" s="64" t="n">
        <v>46063</v>
      </c>
      <c r="H330" s="65" t="n">
        <v>0.1163541666666667</v>
      </c>
      <c r="I330" s="66" t="inlineStr">
        <is>
          <t>https://docs.google.com/spreadsheets/d/1ZiCGoPjLCjuYvujDTXK9Ixbth3tekiLtFBzBrGjPCr4/edit?gid=0#gid=0</t>
        </is>
      </c>
      <c r="J330" s="67" t="inlineStr">
        <is>
          <t>Outros Valores Retidos (Pedágio, Cartão, Taxa de Cancelamento...) - [OTV]</t>
        </is>
      </c>
      <c r="K330" s="67" t="inlineStr"/>
      <c r="L330" s="68" t="b">
        <v>1</v>
      </c>
      <c r="M330" s="20" t="n"/>
      <c r="N330" s="69">
        <f>IF($J330="","",IFERROR(INDEX(B!$F$2:$F$61,MATCH($J330,B!$E$2:$E$61,0))&amp;"",""))</f>
        <v/>
      </c>
      <c r="O330" s="69">
        <f>IF($J330="","",IFERROR(INDEX(B!$G$2:$G$61,MATCH($J330,B!$E$2:$E$61,0))&amp;"",""))</f>
        <v/>
      </c>
      <c r="P330" s="69">
        <f>IF($J330="","",IFERROR(INDEX(B!$H$2:$H$61,MATCH($J330,B!$E$2:$E$61,0))&amp;"",""))</f>
        <v/>
      </c>
      <c r="Q330" s="69">
        <f>IF($J330="","",IFERROR(INDEX(B!$I$2:$I$61,MATCH($J330,B!$E$2:$E$61,0))&amp;"",""))</f>
        <v/>
      </c>
      <c r="R330" s="69">
        <f>IF($J330="","",IFERROR(INDEX(B!$J$2:$J$61,MATCH($J330,B!$E$2:$E$61,0))&amp;"",""))</f>
        <v/>
      </c>
      <c r="S330" s="69">
        <f>IF($J330="","",IFERROR(INDEX(B!$K$2:$K$61,MATCH($J330,B!$E$2:$E$61,0))&amp;"",""))</f>
        <v/>
      </c>
      <c r="T330" s="69">
        <f>IF($J330="","",IFERROR(INDEX(B!$L$2:$L$61,MATCH($J330,B!$E$2:$E$61,0))&amp;"",""))</f>
        <v/>
      </c>
      <c r="U330" s="20" t="n"/>
      <c r="V330" s="70">
        <f>IF($J330="","",IFERROR(INDEX(B!$M$2:$M$61,MATCH($J330,B!$E$2:$E$61,0))&amp;"",""))</f>
        <v/>
      </c>
      <c r="W330" s="71">
        <f>IF(I330="","",IFERROR(MID(I330,FIND("/d/",I330)+3,FIND("/edit",I330)-FIND("/d/",I330)-3),I330))</f>
        <v/>
      </c>
      <c r="X330" s="71">
        <f>IF($J330="","",IFERROR(INDEX(B!$C$2:$C$61,MATCH($J330,B!$E$2:$E$61,0))&amp;"",""))</f>
        <v/>
      </c>
      <c r="Y330" s="20" t="n"/>
      <c r="Z330" s="72">
        <f>IF($J330="",FALSE,ISNUMBER(SEARCH("scout",$K330)))</f>
        <v/>
      </c>
      <c r="AA330" s="72">
        <f>IF($J330="",FALSE,IFERROR(INDEX(B!$N$2:$N$61,MATCH($J330,B!$E$2:$E$61,0))="Sim",FALSE))</f>
        <v/>
      </c>
      <c r="AB330" s="72">
        <f>IF($J330="",FALSE,LEFT($X330,2)="XX")</f>
        <v/>
      </c>
      <c r="AC330" s="72">
        <f>IF($J330="",FALSE,IFERROR(INDEX(B!$P$2:$P$61,MATCH($J330,B!$E$2:$E$61,0))="Sim",FALSE))</f>
        <v/>
      </c>
      <c r="AD330" s="20" t="n"/>
      <c r="AE330" s="52">
        <f>IF(H330="","",HOUR(H330))</f>
        <v/>
      </c>
      <c r="AF330" s="52" t="n"/>
    </row>
    <row r="331" ht="19.5" customHeight="1" s="58">
      <c r="A331" s="62">
        <f>IF(G331="","",IF(G331=G330,"",COUNTIF($G$3:$G$976,G331)))</f>
        <v/>
      </c>
      <c r="B331" s="20" t="n"/>
      <c r="C331" s="63">
        <f>IF(G331="","",DAY(G331))</f>
        <v/>
      </c>
      <c r="D331" s="63">
        <f>IF(G331="","",MONTH(G331))</f>
        <v/>
      </c>
      <c r="E331" s="63">
        <f>IF(G331="","",YEAR(G331))</f>
        <v/>
      </c>
      <c r="F331" s="33">
        <f>IF(G331="","",CHOOSE(MONTH(G331),"Janeiro","Fevereiro","Março","Abril","Maio","Junho","Julho","Agosto","Setembro","Outubro","Novembro","Dezembro"))</f>
        <v/>
      </c>
      <c r="G331" s="64" t="n">
        <v>46063</v>
      </c>
      <c r="H331" s="65" t="n">
        <v>0.1216782407407407</v>
      </c>
      <c r="I331" s="66" t="inlineStr">
        <is>
          <t>https://docs.google.com/spreadsheets/d/1ZiCGoPjLCjuYvujDTXK9Ixbth3tekiLtFBzBrGjPCr4/edit?gid=0#gid=0</t>
        </is>
      </c>
      <c r="J331" s="67" t="inlineStr">
        <is>
          <t>Transferência de LOB (Driver) - [TIDV]</t>
        </is>
      </c>
      <c r="K331" s="67" t="inlineStr"/>
      <c r="L331" s="68" t="b">
        <v>0</v>
      </c>
      <c r="M331" s="20" t="n"/>
      <c r="N331" s="69">
        <f>IF($J331="","",IFERROR(INDEX(B!$F$2:$F$61,MATCH($J331,B!$E$2:$E$61,0))&amp;"",""))</f>
        <v/>
      </c>
      <c r="O331" s="69">
        <f>IF($J331="","",IFERROR(INDEX(B!$G$2:$G$61,MATCH($J331,B!$E$2:$E$61,0))&amp;"",""))</f>
        <v/>
      </c>
      <c r="P331" s="69">
        <f>IF($J331="","",IFERROR(INDEX(B!$H$2:$H$61,MATCH($J331,B!$E$2:$E$61,0))&amp;"",""))</f>
        <v/>
      </c>
      <c r="Q331" s="69">
        <f>IF($J331="","",IFERROR(INDEX(B!$I$2:$I$61,MATCH($J331,B!$E$2:$E$61,0))&amp;"",""))</f>
        <v/>
      </c>
      <c r="R331" s="69">
        <f>IF($J331="","",IFERROR(INDEX(B!$J$2:$J$61,MATCH($J331,B!$E$2:$E$61,0))&amp;"",""))</f>
        <v/>
      </c>
      <c r="S331" s="69">
        <f>IF($J331="","",IFERROR(INDEX(B!$K$2:$K$61,MATCH($J331,B!$E$2:$E$61,0))&amp;"",""))</f>
        <v/>
      </c>
      <c r="T331" s="69">
        <f>IF($J331="","",IFERROR(INDEX(B!$L$2:$L$61,MATCH($J331,B!$E$2:$E$61,0))&amp;"",""))</f>
        <v/>
      </c>
      <c r="U331" s="20" t="n"/>
      <c r="V331" s="70">
        <f>IF($J331="","",IFERROR(INDEX(B!$M$2:$M$61,MATCH($J331,B!$E$2:$E$61,0))&amp;"",""))</f>
        <v/>
      </c>
      <c r="W331" s="71">
        <f>IF(I331="","",IFERROR(MID(I331,FIND("/d/",I331)+3,FIND("/edit",I331)-FIND("/d/",I331)-3),I331))</f>
        <v/>
      </c>
      <c r="X331" s="71">
        <f>IF($J331="","",IFERROR(INDEX(B!$C$2:$C$61,MATCH($J331,B!$E$2:$E$61,0))&amp;"",""))</f>
        <v/>
      </c>
      <c r="Y331" s="20" t="n"/>
      <c r="Z331" s="72">
        <f>IF($J331="",FALSE,ISNUMBER(SEARCH("scout",$K331)))</f>
        <v/>
      </c>
      <c r="AA331" s="72">
        <f>IF($J331="",FALSE,IFERROR(INDEX(B!$N$2:$N$61,MATCH($J331,B!$E$2:$E$61,0))="Sim",FALSE))</f>
        <v/>
      </c>
      <c r="AB331" s="72">
        <f>IF($J331="",FALSE,LEFT($X331,2)="XX")</f>
        <v/>
      </c>
      <c r="AC331" s="72">
        <f>IF($J331="",FALSE,IFERROR(INDEX(B!$P$2:$P$61,MATCH($J331,B!$E$2:$E$61,0))="Sim",FALSE))</f>
        <v/>
      </c>
      <c r="AD331" s="20" t="n"/>
      <c r="AE331" s="52">
        <f>IF(H331="","",HOUR(H331))</f>
        <v/>
      </c>
      <c r="AF331" s="52" t="n"/>
    </row>
    <row r="332" ht="19.5" customHeight="1" s="58">
      <c r="A332" s="62">
        <f>IF(G332="","",IF(G332=G331,"",COUNTIF($G$3:$G$976,G332)))</f>
        <v/>
      </c>
      <c r="B332" s="20" t="n"/>
      <c r="C332" s="63">
        <f>IF(G332="","",DAY(G332))</f>
        <v/>
      </c>
      <c r="D332" s="63">
        <f>IF(G332="","",MONTH(G332))</f>
        <v/>
      </c>
      <c r="E332" s="63">
        <f>IF(G332="","",YEAR(G332))</f>
        <v/>
      </c>
      <c r="F332" s="33">
        <f>IF(G332="","",CHOOSE(MONTH(G332),"Janeiro","Fevereiro","Março","Abril","Maio","Junho","Julho","Agosto","Setembro","Outubro","Novembro","Dezembro"))</f>
        <v/>
      </c>
      <c r="G332" s="64" t="n">
        <v>46063</v>
      </c>
      <c r="H332" s="65" t="n">
        <v>0.1230787037037037</v>
      </c>
      <c r="I332" s="66" t="inlineStr">
        <is>
          <t>https://docs.google.com/spreadsheets/d/1ZiCGoPjLCjuYvujDTXK9Ixbth3tekiLtFBzBrGjPCr4/edit?gid=0#gid=0</t>
        </is>
      </c>
      <c r="J332" s="67" t="inlineStr">
        <is>
          <t>Overpaid, Excede o limite, Sem comprovante - [OPEN]</t>
        </is>
      </c>
      <c r="K332" s="67" t="inlineStr">
        <is>
          <t>Scout</t>
        </is>
      </c>
      <c r="L332" s="68" t="b">
        <v>1</v>
      </c>
      <c r="M332" s="20" t="n"/>
      <c r="N332" s="69">
        <f>IF($J332="","",IFERROR(INDEX(B!$F$2:$F$61,MATCH($J332,B!$E$2:$E$61,0))&amp;"",""))</f>
        <v/>
      </c>
      <c r="O332" s="69">
        <f>IF($J332="","",IFERROR(INDEX(B!$G$2:$G$61,MATCH($J332,B!$E$2:$E$61,0))&amp;"",""))</f>
        <v/>
      </c>
      <c r="P332" s="69">
        <f>IF($J332="","",IFERROR(INDEX(B!$H$2:$H$61,MATCH($J332,B!$E$2:$E$61,0))&amp;"",""))</f>
        <v/>
      </c>
      <c r="Q332" s="69">
        <f>IF($J332="","",IFERROR(INDEX(B!$I$2:$I$61,MATCH($J332,B!$E$2:$E$61,0))&amp;"",""))</f>
        <v/>
      </c>
      <c r="R332" s="69">
        <f>IF($J332="","",IFERROR(INDEX(B!$J$2:$J$61,MATCH($J332,B!$E$2:$E$61,0))&amp;"",""))</f>
        <v/>
      </c>
      <c r="S332" s="69">
        <f>IF($J332="","",IFERROR(INDEX(B!$K$2:$K$61,MATCH($J332,B!$E$2:$E$61,0))&amp;"",""))</f>
        <v/>
      </c>
      <c r="T332" s="69">
        <f>IF($J332="","",IFERROR(INDEX(B!$L$2:$L$61,MATCH($J332,B!$E$2:$E$61,0))&amp;"",""))</f>
        <v/>
      </c>
      <c r="U332" s="20" t="n"/>
      <c r="V332" s="70">
        <f>IF($J332="","",IFERROR(INDEX(B!$M$2:$M$61,MATCH($J332,B!$E$2:$E$61,0))&amp;"",""))</f>
        <v/>
      </c>
      <c r="W332" s="71">
        <f>IF(I332="","",IFERROR(MID(I332,FIND("/d/",I332)+3,FIND("/edit",I332)-FIND("/d/",I332)-3),I332))</f>
        <v/>
      </c>
      <c r="X332" s="71">
        <f>IF($J332="","",IFERROR(INDEX(B!$C$2:$C$61,MATCH($J332,B!$E$2:$E$61,0))&amp;"",""))</f>
        <v/>
      </c>
      <c r="Y332" s="20" t="n"/>
      <c r="Z332" s="72">
        <f>IF($J332="",FALSE,ISNUMBER(SEARCH("scout",$K332)))</f>
        <v/>
      </c>
      <c r="AA332" s="72">
        <f>IF($J332="",FALSE,IFERROR(INDEX(B!$N$2:$N$61,MATCH($J332,B!$E$2:$E$61,0))="Sim",FALSE))</f>
        <v/>
      </c>
      <c r="AB332" s="72">
        <f>IF($J332="",FALSE,LEFT($X332,2)="XX")</f>
        <v/>
      </c>
      <c r="AC332" s="72">
        <f>IF($J332="",FALSE,IFERROR(INDEX(B!$P$2:$P$61,MATCH($J332,B!$E$2:$E$61,0))="Sim",FALSE))</f>
        <v/>
      </c>
      <c r="AD332" s="20" t="n"/>
      <c r="AE332" s="52">
        <f>IF(H332="","",HOUR(H332))</f>
        <v/>
      </c>
      <c r="AF332" s="52" t="n"/>
    </row>
    <row r="333" ht="19.5" customHeight="1" s="58">
      <c r="A333" s="62">
        <f>IF(G333="","",IF(G333=G332,"",COUNTIF($G$3:$G$976,G333)))</f>
        <v/>
      </c>
      <c r="B333" s="20" t="n"/>
      <c r="C333" s="63">
        <f>IF(G333="","",DAY(G333))</f>
        <v/>
      </c>
      <c r="D333" s="63">
        <f>IF(G333="","",MONTH(G333))</f>
        <v/>
      </c>
      <c r="E333" s="63">
        <f>IF(G333="","",YEAR(G333))</f>
        <v/>
      </c>
      <c r="F333" s="33">
        <f>IF(G333="","",CHOOSE(MONTH(G333),"Janeiro","Fevereiro","Março","Abril","Maio","Junho","Julho","Agosto","Setembro","Outubro","Novembro","Dezembro"))</f>
        <v/>
      </c>
      <c r="G333" s="64" t="n">
        <v>46063</v>
      </c>
      <c r="H333" s="65" t="n">
        <v>0.1304166666666667</v>
      </c>
      <c r="I333" s="66" t="inlineStr">
        <is>
          <t>https://docs.google.com/spreadsheets/d/1ZiCGoPjLCjuYvujDTXK9Ixbth3tekiLtFBzBrGjPCr4/edit?gid=0#gid=0</t>
        </is>
      </c>
      <c r="J333" s="67" t="inlineStr">
        <is>
          <t>Taxa de Limpeza - [TXL]</t>
        </is>
      </c>
      <c r="K333" s="67" t="inlineStr"/>
      <c r="L333" s="68" t="b">
        <v>0</v>
      </c>
      <c r="M333" s="20" t="n"/>
      <c r="N333" s="69">
        <f>IF($J333="","",IFERROR(INDEX(B!$F$2:$F$61,MATCH($J333,B!$E$2:$E$61,0))&amp;"",""))</f>
        <v/>
      </c>
      <c r="O333" s="69">
        <f>IF($J333="","",IFERROR(INDEX(B!$G$2:$G$61,MATCH($J333,B!$E$2:$E$61,0))&amp;"",""))</f>
        <v/>
      </c>
      <c r="P333" s="69">
        <f>IF($J333="","",IFERROR(INDEX(B!$H$2:$H$61,MATCH($J333,B!$E$2:$E$61,0))&amp;"",""))</f>
        <v/>
      </c>
      <c r="Q333" s="69">
        <f>IF($J333="","",IFERROR(INDEX(B!$I$2:$I$61,MATCH($J333,B!$E$2:$E$61,0))&amp;"",""))</f>
        <v/>
      </c>
      <c r="R333" s="69">
        <f>IF($J333="","",IFERROR(INDEX(B!$J$2:$J$61,MATCH($J333,B!$E$2:$E$61,0))&amp;"",""))</f>
        <v/>
      </c>
      <c r="S333" s="69">
        <f>IF($J333="","",IFERROR(INDEX(B!$K$2:$K$61,MATCH($J333,B!$E$2:$E$61,0))&amp;"",""))</f>
        <v/>
      </c>
      <c r="T333" s="69">
        <f>IF($J333="","",IFERROR(INDEX(B!$L$2:$L$61,MATCH($J333,B!$E$2:$E$61,0))&amp;"",""))</f>
        <v/>
      </c>
      <c r="U333" s="20" t="n"/>
      <c r="V333" s="70">
        <f>IF($J333="","",IFERROR(INDEX(B!$M$2:$M$61,MATCH($J333,B!$E$2:$E$61,0))&amp;"",""))</f>
        <v/>
      </c>
      <c r="W333" s="71">
        <f>IF(I333="","",IFERROR(MID(I333,FIND("/d/",I333)+3,FIND("/edit",I333)-FIND("/d/",I333)-3),I333))</f>
        <v/>
      </c>
      <c r="X333" s="71">
        <f>IF($J333="","",IFERROR(INDEX(B!$C$2:$C$61,MATCH($J333,B!$E$2:$E$61,0))&amp;"",""))</f>
        <v/>
      </c>
      <c r="Y333" s="20" t="n"/>
      <c r="Z333" s="72">
        <f>IF($J333="",FALSE,ISNUMBER(SEARCH("scout",$K333)))</f>
        <v/>
      </c>
      <c r="AA333" s="72">
        <f>IF($J333="",FALSE,IFERROR(INDEX(B!$N$2:$N$61,MATCH($J333,B!$E$2:$E$61,0))="Sim",FALSE))</f>
        <v/>
      </c>
      <c r="AB333" s="72">
        <f>IF($J333="",FALSE,LEFT($X333,2)="XX")</f>
        <v/>
      </c>
      <c r="AC333" s="72">
        <f>IF($J333="",FALSE,IFERROR(INDEX(B!$P$2:$P$61,MATCH($J333,B!$E$2:$E$61,0))="Sim",FALSE))</f>
        <v/>
      </c>
      <c r="AD333" s="20" t="n"/>
      <c r="AE333" s="52">
        <f>IF(H333="","",HOUR(H333))</f>
        <v/>
      </c>
      <c r="AF333" s="52" t="n"/>
    </row>
    <row r="334" ht="19.5" customHeight="1" s="58">
      <c r="A334" s="62">
        <f>IF(G334="","",IF(G334=G333,"",COUNTIF($G$3:$G$976,G334)))</f>
        <v/>
      </c>
      <c r="B334" s="20" t="n"/>
      <c r="C334" s="63">
        <f>IF(G334="","",DAY(G334))</f>
        <v/>
      </c>
      <c r="D334" s="63">
        <f>IF(G334="","",MONTH(G334))</f>
        <v/>
      </c>
      <c r="E334" s="63">
        <f>IF(G334="","",YEAR(G334))</f>
        <v/>
      </c>
      <c r="F334" s="33">
        <f>IF(G334="","",CHOOSE(MONTH(G334),"Janeiro","Fevereiro","Março","Abril","Maio","Junho","Julho","Agosto","Setembro","Outubro","Novembro","Dezembro"))</f>
        <v/>
      </c>
      <c r="G334" s="64" t="n">
        <v>46063</v>
      </c>
      <c r="H334" s="65" t="n">
        <v>0.1308564814814815</v>
      </c>
      <c r="I334" s="66" t="inlineStr">
        <is>
          <t>https://docs.google.com/spreadsheets/d/1ZiCGoPjLCjuYvujDTXK9Ixbth3tekiLtFBzBrGjPCr4/edit?gid=0#gid=0</t>
        </is>
      </c>
      <c r="J334" s="67" t="inlineStr">
        <is>
          <t>Trajeto Ruim - [TR]</t>
        </is>
      </c>
      <c r="K334" s="67" t="inlineStr"/>
      <c r="L334" s="68" t="b">
        <v>0</v>
      </c>
      <c r="M334" s="20" t="n"/>
      <c r="N334" s="69">
        <f>IF($J334="","",IFERROR(INDEX(B!$F$2:$F$61,MATCH($J334,B!$E$2:$E$61,0))&amp;"",""))</f>
        <v/>
      </c>
      <c r="O334" s="69">
        <f>IF($J334="","",IFERROR(INDEX(B!$G$2:$G$61,MATCH($J334,B!$E$2:$E$61,0))&amp;"",""))</f>
        <v/>
      </c>
      <c r="P334" s="69">
        <f>IF($J334="","",IFERROR(INDEX(B!$H$2:$H$61,MATCH($J334,B!$E$2:$E$61,0))&amp;"",""))</f>
        <v/>
      </c>
      <c r="Q334" s="69">
        <f>IF($J334="","",IFERROR(INDEX(B!$I$2:$I$61,MATCH($J334,B!$E$2:$E$61,0))&amp;"",""))</f>
        <v/>
      </c>
      <c r="R334" s="69">
        <f>IF($J334="","",IFERROR(INDEX(B!$J$2:$J$61,MATCH($J334,B!$E$2:$E$61,0))&amp;"",""))</f>
        <v/>
      </c>
      <c r="S334" s="69">
        <f>IF($J334="","",IFERROR(INDEX(B!$K$2:$K$61,MATCH($J334,B!$E$2:$E$61,0))&amp;"",""))</f>
        <v/>
      </c>
      <c r="T334" s="69">
        <f>IF($J334="","",IFERROR(INDEX(B!$L$2:$L$61,MATCH($J334,B!$E$2:$E$61,0))&amp;"",""))</f>
        <v/>
      </c>
      <c r="U334" s="20" t="n"/>
      <c r="V334" s="70">
        <f>IF($J334="","",IFERROR(INDEX(B!$M$2:$M$61,MATCH($J334,B!$E$2:$E$61,0))&amp;"",""))</f>
        <v/>
      </c>
      <c r="W334" s="71">
        <f>IF(I334="","",IFERROR(MID(I334,FIND("/d/",I334)+3,FIND("/edit",I334)-FIND("/d/",I334)-3),I334))</f>
        <v/>
      </c>
      <c r="X334" s="71">
        <f>IF($J334="","",IFERROR(INDEX(B!$C$2:$C$61,MATCH($J334,B!$E$2:$E$61,0))&amp;"",""))</f>
        <v/>
      </c>
      <c r="Y334" s="20" t="n"/>
      <c r="Z334" s="72">
        <f>IF($J334="",FALSE,ISNUMBER(SEARCH("scout",$K334)))</f>
        <v/>
      </c>
      <c r="AA334" s="72">
        <f>IF($J334="",FALSE,IFERROR(INDEX(B!$N$2:$N$61,MATCH($J334,B!$E$2:$E$61,0))="Sim",FALSE))</f>
        <v/>
      </c>
      <c r="AB334" s="72">
        <f>IF($J334="",FALSE,LEFT($X334,2)="XX")</f>
        <v/>
      </c>
      <c r="AC334" s="72">
        <f>IF($J334="",FALSE,IFERROR(INDEX(B!$P$2:$P$61,MATCH($J334,B!$E$2:$E$61,0))="Sim",FALSE))</f>
        <v/>
      </c>
      <c r="AD334" s="20" t="n"/>
      <c r="AE334" s="52">
        <f>IF(H334="","",HOUR(H334))</f>
        <v/>
      </c>
      <c r="AF334" s="52" t="n"/>
    </row>
    <row r="335" ht="19.5" customHeight="1" s="58">
      <c r="A335" s="62">
        <f>IF(G335="","",IF(G335=G334,"",COUNTIF($G$3:$G$976,G335)))</f>
        <v/>
      </c>
      <c r="B335" s="20" t="n"/>
      <c r="C335" s="63">
        <f>IF(G335="","",DAY(G335))</f>
        <v/>
      </c>
      <c r="D335" s="63">
        <f>IF(G335="","",MONTH(G335))</f>
        <v/>
      </c>
      <c r="E335" s="63">
        <f>IF(G335="","",YEAR(G335))</f>
        <v/>
      </c>
      <c r="F335" s="33">
        <f>IF(G335="","",CHOOSE(MONTH(G335),"Janeiro","Fevereiro","Março","Abril","Maio","Junho","Julho","Agosto","Setembro","Outubro","Novembro","Dezembro"))</f>
        <v/>
      </c>
      <c r="G335" s="64" t="n">
        <v>46063</v>
      </c>
      <c r="H335" s="65" t="n">
        <v>0.1375</v>
      </c>
      <c r="I335" s="66" t="inlineStr">
        <is>
          <t>https://docs.google.com/spreadsheets/d/1ZiCGoPjLCjuYvujDTXK9Ixbth3tekiLtFBzBrGjPCr4/edit?gid=0#gid=0</t>
        </is>
      </c>
      <c r="J335" s="67" t="inlineStr">
        <is>
          <t>Overpaid, Excede o limite, Sem comprovante - [OPEN]</t>
        </is>
      </c>
      <c r="K335" s="67" t="inlineStr"/>
      <c r="L335" s="68" t="b">
        <v>0</v>
      </c>
      <c r="M335" s="20" t="n"/>
      <c r="N335" s="69">
        <f>IF($J335="","",IFERROR(INDEX(B!$F$2:$F$61,MATCH($J335,B!$E$2:$E$61,0))&amp;"",""))</f>
        <v/>
      </c>
      <c r="O335" s="69">
        <f>IF($J335="","",IFERROR(INDEX(B!$G$2:$G$61,MATCH($J335,B!$E$2:$E$61,0))&amp;"",""))</f>
        <v/>
      </c>
      <c r="P335" s="69">
        <f>IF($J335="","",IFERROR(INDEX(B!$H$2:$H$61,MATCH($J335,B!$E$2:$E$61,0))&amp;"",""))</f>
        <v/>
      </c>
      <c r="Q335" s="69">
        <f>IF($J335="","",IFERROR(INDEX(B!$I$2:$I$61,MATCH($J335,B!$E$2:$E$61,0))&amp;"",""))</f>
        <v/>
      </c>
      <c r="R335" s="69">
        <f>IF($J335="","",IFERROR(INDEX(B!$J$2:$J$61,MATCH($J335,B!$E$2:$E$61,0))&amp;"",""))</f>
        <v/>
      </c>
      <c r="S335" s="69">
        <f>IF($J335="","",IFERROR(INDEX(B!$K$2:$K$61,MATCH($J335,B!$E$2:$E$61,0))&amp;"",""))</f>
        <v/>
      </c>
      <c r="T335" s="69">
        <f>IF($J335="","",IFERROR(INDEX(B!$L$2:$L$61,MATCH($J335,B!$E$2:$E$61,0))&amp;"",""))</f>
        <v/>
      </c>
      <c r="U335" s="20" t="n"/>
      <c r="V335" s="70">
        <f>IF($J335="","",IFERROR(INDEX(B!$M$2:$M$61,MATCH($J335,B!$E$2:$E$61,0))&amp;"",""))</f>
        <v/>
      </c>
      <c r="W335" s="71">
        <f>IF(I335="","",IFERROR(MID(I335,FIND("/d/",I335)+3,FIND("/edit",I335)-FIND("/d/",I335)-3),I335))</f>
        <v/>
      </c>
      <c r="X335" s="71">
        <f>IF($J335="","",IFERROR(INDEX(B!$C$2:$C$61,MATCH($J335,B!$E$2:$E$61,0))&amp;"",""))</f>
        <v/>
      </c>
      <c r="Y335" s="20" t="n"/>
      <c r="Z335" s="72">
        <f>IF($J335="",FALSE,ISNUMBER(SEARCH("scout",$K335)))</f>
        <v/>
      </c>
      <c r="AA335" s="72">
        <f>IF($J335="",FALSE,IFERROR(INDEX(B!$N$2:$N$61,MATCH($J335,B!$E$2:$E$61,0))="Sim",FALSE))</f>
        <v/>
      </c>
      <c r="AB335" s="72">
        <f>IF($J335="",FALSE,LEFT($X335,2)="XX")</f>
        <v/>
      </c>
      <c r="AC335" s="72">
        <f>IF($J335="",FALSE,IFERROR(INDEX(B!$P$2:$P$61,MATCH($J335,B!$E$2:$E$61,0))="Sim",FALSE))</f>
        <v/>
      </c>
      <c r="AD335" s="20" t="n"/>
      <c r="AE335" s="52">
        <f>IF(H335="","",HOUR(H335))</f>
        <v/>
      </c>
      <c r="AF335" s="52" t="n"/>
    </row>
    <row r="336" ht="19.5" customHeight="1" s="58">
      <c r="A336" s="62">
        <f>IF(G336="","",IF(G336=G335,"",COUNTIF($G$3:$G$976,G336)))</f>
        <v/>
      </c>
      <c r="B336" s="20" t="n"/>
      <c r="C336" s="63">
        <f>IF(G336="","",DAY(G336))</f>
        <v/>
      </c>
      <c r="D336" s="63">
        <f>IF(G336="","",MONTH(G336))</f>
        <v/>
      </c>
      <c r="E336" s="63">
        <f>IF(G336="","",YEAR(G336))</f>
        <v/>
      </c>
      <c r="F336" s="33">
        <f>IF(G336="","",CHOOSE(MONTH(G336),"Janeiro","Fevereiro","Março","Abril","Maio","Junho","Julho","Agosto","Setembro","Outubro","Novembro","Dezembro"))</f>
        <v/>
      </c>
      <c r="G336" s="64" t="n">
        <v>46063</v>
      </c>
      <c r="H336" s="65" t="n">
        <v>0.1450231481481482</v>
      </c>
      <c r="I336" s="66" t="inlineStr">
        <is>
          <t>https://docs.google.com/spreadsheets/d/1ZiCGoPjLCjuYvujDTXK9Ixbth3tekiLtFBzBrGjPCr4/edit?gid=0#gid=0</t>
        </is>
      </c>
      <c r="J336" s="67" t="inlineStr">
        <is>
          <t>Transferência de LOB (Profissionalismo) - [TIPR]</t>
        </is>
      </c>
      <c r="K336" s="67" t="inlineStr">
        <is>
          <t>Scout</t>
        </is>
      </c>
      <c r="L336" s="68" t="b">
        <v>0</v>
      </c>
      <c r="M336" s="20" t="n"/>
      <c r="N336" s="69">
        <f>IF($J336="","",IFERROR(INDEX(B!$F$2:$F$61,MATCH($J336,B!$E$2:$E$61,0))&amp;"",""))</f>
        <v/>
      </c>
      <c r="O336" s="69">
        <f>IF($J336="","",IFERROR(INDEX(B!$G$2:$G$61,MATCH($J336,B!$E$2:$E$61,0))&amp;"",""))</f>
        <v/>
      </c>
      <c r="P336" s="69">
        <f>IF($J336="","",IFERROR(INDEX(B!$H$2:$H$61,MATCH($J336,B!$E$2:$E$61,0))&amp;"",""))</f>
        <v/>
      </c>
      <c r="Q336" s="69">
        <f>IF($J336="","",IFERROR(INDEX(B!$I$2:$I$61,MATCH($J336,B!$E$2:$E$61,0))&amp;"",""))</f>
        <v/>
      </c>
      <c r="R336" s="69">
        <f>IF($J336="","",IFERROR(INDEX(B!$J$2:$J$61,MATCH($J336,B!$E$2:$E$61,0))&amp;"",""))</f>
        <v/>
      </c>
      <c r="S336" s="69">
        <f>IF($J336="","",IFERROR(INDEX(B!$K$2:$K$61,MATCH($J336,B!$E$2:$E$61,0))&amp;"",""))</f>
        <v/>
      </c>
      <c r="T336" s="69">
        <f>IF($J336="","",IFERROR(INDEX(B!$L$2:$L$61,MATCH($J336,B!$E$2:$E$61,0))&amp;"",""))</f>
        <v/>
      </c>
      <c r="U336" s="20" t="n"/>
      <c r="V336" s="70">
        <f>IF($J336="","",IFERROR(INDEX(B!$M$2:$M$61,MATCH($J336,B!$E$2:$E$61,0))&amp;"",""))</f>
        <v/>
      </c>
      <c r="W336" s="71">
        <f>IF(I336="","",IFERROR(MID(I336,FIND("/d/",I336)+3,FIND("/edit",I336)-FIND("/d/",I336)-3),I336))</f>
        <v/>
      </c>
      <c r="X336" s="71">
        <f>IF($J336="","",IFERROR(INDEX(B!$C$2:$C$61,MATCH($J336,B!$E$2:$E$61,0))&amp;"",""))</f>
        <v/>
      </c>
      <c r="Y336" s="20" t="n"/>
      <c r="Z336" s="72">
        <f>IF($J336="",FALSE,ISNUMBER(SEARCH("scout",$K336)))</f>
        <v/>
      </c>
      <c r="AA336" s="72">
        <f>IF($J336="",FALSE,IFERROR(INDEX(B!$N$2:$N$61,MATCH($J336,B!$E$2:$E$61,0))="Sim",FALSE))</f>
        <v/>
      </c>
      <c r="AB336" s="72">
        <f>IF($J336="",FALSE,LEFT($X336,2)="XX")</f>
        <v/>
      </c>
      <c r="AC336" s="72">
        <f>IF($J336="",FALSE,IFERROR(INDEX(B!$P$2:$P$61,MATCH($J336,B!$E$2:$E$61,0))="Sim",FALSE))</f>
        <v/>
      </c>
      <c r="AD336" s="20" t="n"/>
      <c r="AE336" s="52">
        <f>IF(H336="","",HOUR(H336))</f>
        <v/>
      </c>
      <c r="AF336" s="52" t="n"/>
    </row>
    <row r="337" ht="19.5" customHeight="1" s="58">
      <c r="A337" s="62">
        <f>IF(G337="","",IF(G337=G336,"",COUNTIF($G$3:$G$976,G337)))</f>
        <v/>
      </c>
      <c r="B337" s="20" t="n"/>
      <c r="C337" s="63">
        <f>IF(G337="","",DAY(G337))</f>
        <v/>
      </c>
      <c r="D337" s="63">
        <f>IF(G337="","",MONTH(G337))</f>
        <v/>
      </c>
      <c r="E337" s="63">
        <f>IF(G337="","",YEAR(G337))</f>
        <v/>
      </c>
      <c r="F337" s="33">
        <f>IF(G337="","",CHOOSE(MONTH(G337),"Janeiro","Fevereiro","Março","Abril","Maio","Junho","Julho","Agosto","Setembro","Outubro","Novembro","Dezembro"))</f>
        <v/>
      </c>
      <c r="G337" s="64" t="n">
        <v>46063</v>
      </c>
      <c r="H337" s="65" t="n">
        <v>0.1452662037037037</v>
      </c>
      <c r="I337" s="66" t="inlineStr">
        <is>
          <t>https://docs.google.com/spreadsheets/d/1ZiCGoPjLCjuYvujDTXK9Ixbth3tekiLtFBzBrGjPCr4/edit?gid=0#gid=0</t>
        </is>
      </c>
      <c r="J337" s="67" t="inlineStr">
        <is>
          <t>Overpaid, Excede o limite Com comprovante - [OPEC]</t>
        </is>
      </c>
      <c r="K337" s="67" t="inlineStr">
        <is>
          <t>Scout</t>
        </is>
      </c>
      <c r="L337" s="68" t="b">
        <v>0</v>
      </c>
      <c r="M337" s="20" t="n"/>
      <c r="N337" s="69">
        <f>IF($J337="","",IFERROR(INDEX(B!$F$2:$F$61,MATCH($J337,B!$E$2:$E$61,0))&amp;"",""))</f>
        <v/>
      </c>
      <c r="O337" s="69">
        <f>IF($J337="","",IFERROR(INDEX(B!$G$2:$G$61,MATCH($J337,B!$E$2:$E$61,0))&amp;"",""))</f>
        <v/>
      </c>
      <c r="P337" s="69">
        <f>IF($J337="","",IFERROR(INDEX(B!$H$2:$H$61,MATCH($J337,B!$E$2:$E$61,0))&amp;"",""))</f>
        <v/>
      </c>
      <c r="Q337" s="69">
        <f>IF($J337="","",IFERROR(INDEX(B!$I$2:$I$61,MATCH($J337,B!$E$2:$E$61,0))&amp;"",""))</f>
        <v/>
      </c>
      <c r="R337" s="69">
        <f>IF($J337="","",IFERROR(INDEX(B!$J$2:$J$61,MATCH($J337,B!$E$2:$E$61,0))&amp;"",""))</f>
        <v/>
      </c>
      <c r="S337" s="69">
        <f>IF($J337="","",IFERROR(INDEX(B!$K$2:$K$61,MATCH($J337,B!$E$2:$E$61,0))&amp;"",""))</f>
        <v/>
      </c>
      <c r="T337" s="69">
        <f>IF($J337="","",IFERROR(INDEX(B!$L$2:$L$61,MATCH($J337,B!$E$2:$E$61,0))&amp;"",""))</f>
        <v/>
      </c>
      <c r="U337" s="20" t="n"/>
      <c r="V337" s="70">
        <f>IF($J337="","",IFERROR(INDEX(B!$M$2:$M$61,MATCH($J337,B!$E$2:$E$61,0))&amp;"",""))</f>
        <v/>
      </c>
      <c r="W337" s="71">
        <f>IF(I337="","",IFERROR(MID(I337,FIND("/d/",I337)+3,FIND("/edit",I337)-FIND("/d/",I337)-3),I337))</f>
        <v/>
      </c>
      <c r="X337" s="71">
        <f>IF($J337="","",IFERROR(INDEX(B!$C$2:$C$61,MATCH($J337,B!$E$2:$E$61,0))&amp;"",""))</f>
        <v/>
      </c>
      <c r="Y337" s="20" t="n"/>
      <c r="Z337" s="72">
        <f>IF($J337="",FALSE,ISNUMBER(SEARCH("scout",$K337)))</f>
        <v/>
      </c>
      <c r="AA337" s="72">
        <f>IF($J337="",FALSE,IFERROR(INDEX(B!$N$2:$N$61,MATCH($J337,B!$E$2:$E$61,0))="Sim",FALSE))</f>
        <v/>
      </c>
      <c r="AB337" s="72">
        <f>IF($J337="",FALSE,LEFT($X337,2)="XX")</f>
        <v/>
      </c>
      <c r="AC337" s="72">
        <f>IF($J337="",FALSE,IFERROR(INDEX(B!$P$2:$P$61,MATCH($J337,B!$E$2:$E$61,0))="Sim",FALSE))</f>
        <v/>
      </c>
      <c r="AD337" s="20" t="n"/>
      <c r="AE337" s="52">
        <f>IF(H337="","",HOUR(H337))</f>
        <v/>
      </c>
      <c r="AF337" s="52" t="n"/>
    </row>
    <row r="338" ht="19.5" customHeight="1" s="58">
      <c r="A338" s="62">
        <f>IF(G338="","",IF(G338=G337,"",COUNTIF($G$3:$G$976,G338)))</f>
        <v/>
      </c>
      <c r="B338" s="20" t="n"/>
      <c r="C338" s="63">
        <f>IF(G338="","",DAY(G338))</f>
        <v/>
      </c>
      <c r="D338" s="63">
        <f>IF(G338="","",MONTH(G338))</f>
        <v/>
      </c>
      <c r="E338" s="63">
        <f>IF(G338="","",YEAR(G338))</f>
        <v/>
      </c>
      <c r="F338" s="33">
        <f>IF(G338="","",CHOOSE(MONTH(G338),"Janeiro","Fevereiro","Março","Abril","Maio","Junho","Julho","Agosto","Setembro","Outubro","Novembro","Dezembro"))</f>
        <v/>
      </c>
      <c r="G338" s="64" t="n">
        <v>46063</v>
      </c>
      <c r="H338" s="65" t="n">
        <v>0.1487731481481482</v>
      </c>
      <c r="I338" s="66" t="inlineStr">
        <is>
          <t>https://docs.google.com/spreadsheets/d/1ZiCGoPjLCjuYvujDTXK9Ixbth3tekiLtFBzBrGjPCr4/edit?gid=0#gid=0</t>
        </is>
      </c>
      <c r="J338" s="67" t="inlineStr">
        <is>
          <t>Pushback - [XX]</t>
        </is>
      </c>
      <c r="K338" s="67" t="inlineStr">
        <is>
          <t>Scout</t>
        </is>
      </c>
      <c r="L338" s="68" t="b">
        <v>1</v>
      </c>
      <c r="M338" s="20" t="n"/>
      <c r="N338" s="69">
        <f>IF($J338="","",IFERROR(INDEX(B!$F$2:$F$61,MATCH($J338,B!$E$2:$E$61,0))&amp;"",""))</f>
        <v/>
      </c>
      <c r="O338" s="69">
        <f>IF($J338="","",IFERROR(INDEX(B!$G$2:$G$61,MATCH($J338,B!$E$2:$E$61,0))&amp;"",""))</f>
        <v/>
      </c>
      <c r="P338" s="69">
        <f>IF($J338="","",IFERROR(INDEX(B!$H$2:$H$61,MATCH($J338,B!$E$2:$E$61,0))&amp;"",""))</f>
        <v/>
      </c>
      <c r="Q338" s="69">
        <f>IF($J338="","",IFERROR(INDEX(B!$I$2:$I$61,MATCH($J338,B!$E$2:$E$61,0))&amp;"",""))</f>
        <v/>
      </c>
      <c r="R338" s="69">
        <f>IF($J338="","",IFERROR(INDEX(B!$J$2:$J$61,MATCH($J338,B!$E$2:$E$61,0))&amp;"",""))</f>
        <v/>
      </c>
      <c r="S338" s="69">
        <f>IF($J338="","",IFERROR(INDEX(B!$K$2:$K$61,MATCH($J338,B!$E$2:$E$61,0))&amp;"",""))</f>
        <v/>
      </c>
      <c r="T338" s="69">
        <f>IF($J338="","",IFERROR(INDEX(B!$L$2:$L$61,MATCH($J338,B!$E$2:$E$61,0))&amp;"",""))</f>
        <v/>
      </c>
      <c r="U338" s="20" t="n"/>
      <c r="V338" s="70">
        <f>IF($J338="","",IFERROR(INDEX(B!$M$2:$M$61,MATCH($J338,B!$E$2:$E$61,0))&amp;"",""))</f>
        <v/>
      </c>
      <c r="W338" s="71">
        <f>IF(I338="","",IFERROR(MID(I338,FIND("/d/",I338)+3,FIND("/edit",I338)-FIND("/d/",I338)-3),I338))</f>
        <v/>
      </c>
      <c r="X338" s="71">
        <f>IF($J338="","",IFERROR(INDEX(B!$C$2:$C$61,MATCH($J338,B!$E$2:$E$61,0))&amp;"",""))</f>
        <v/>
      </c>
      <c r="Y338" s="20" t="n"/>
      <c r="Z338" s="72">
        <f>IF($J338="",FALSE,ISNUMBER(SEARCH("scout",$K338)))</f>
        <v/>
      </c>
      <c r="AA338" s="72">
        <f>IF($J338="",FALSE,IFERROR(INDEX(B!$N$2:$N$61,MATCH($J338,B!$E$2:$E$61,0))="Sim",FALSE))</f>
        <v/>
      </c>
      <c r="AB338" s="72">
        <f>IF($J338="",FALSE,LEFT($X338,2)="XX")</f>
        <v/>
      </c>
      <c r="AC338" s="72">
        <f>IF($J338="",FALSE,IFERROR(INDEX(B!$P$2:$P$61,MATCH($J338,B!$E$2:$E$61,0))="Sim",FALSE))</f>
        <v/>
      </c>
      <c r="AD338" s="20" t="n"/>
      <c r="AE338" s="52">
        <f>IF(H338="","",HOUR(H338))</f>
        <v/>
      </c>
      <c r="AF338" s="52" t="n"/>
    </row>
    <row r="339" ht="19.5" customHeight="1" s="58">
      <c r="A339" s="62">
        <f>IF(G339="","",IF(G339=G338,"",COUNTIF($G$3:$G$976,G339)))</f>
        <v/>
      </c>
      <c r="B339" s="20" t="n"/>
      <c r="C339" s="63">
        <f>IF(G339="","",DAY(G339))</f>
        <v/>
      </c>
      <c r="D339" s="63">
        <f>IF(G339="","",MONTH(G339))</f>
        <v/>
      </c>
      <c r="E339" s="63">
        <f>IF(G339="","",YEAR(G339))</f>
        <v/>
      </c>
      <c r="F339" s="33">
        <f>IF(G339="","",CHOOSE(MONTH(G339),"Janeiro","Fevereiro","Março","Abril","Maio","Junho","Julho","Agosto","Setembro","Outubro","Novembro","Dezembro"))</f>
        <v/>
      </c>
      <c r="G339" s="64" t="n">
        <v>46063</v>
      </c>
      <c r="H339" s="65" t="n">
        <v>0.1492013888888889</v>
      </c>
      <c r="I339" s="66" t="inlineStr">
        <is>
          <t>https://docs.google.com/spreadsheets/d/1ZiCGoPjLCjuYvujDTXK9Ixbth3tekiLtFBzBrGjPCr4/edit?gid=0#gid=0</t>
        </is>
      </c>
      <c r="J339" s="67" t="inlineStr">
        <is>
          <t>Transferência de LOB (Accounts) - [TIAC]</t>
        </is>
      </c>
      <c r="K339" s="67" t="inlineStr"/>
      <c r="L339" s="68" t="b">
        <v>0</v>
      </c>
      <c r="M339" s="20" t="n"/>
      <c r="N339" s="69">
        <f>IF($J339="","",IFERROR(INDEX(B!$F$2:$F$61,MATCH($J339,B!$E$2:$E$61,0))&amp;"",""))</f>
        <v/>
      </c>
      <c r="O339" s="69">
        <f>IF($J339="","",IFERROR(INDEX(B!$G$2:$G$61,MATCH($J339,B!$E$2:$E$61,0))&amp;"",""))</f>
        <v/>
      </c>
      <c r="P339" s="69">
        <f>IF($J339="","",IFERROR(INDEX(B!$H$2:$H$61,MATCH($J339,B!$E$2:$E$61,0))&amp;"",""))</f>
        <v/>
      </c>
      <c r="Q339" s="69">
        <f>IF($J339="","",IFERROR(INDEX(B!$I$2:$I$61,MATCH($J339,B!$E$2:$E$61,0))&amp;"",""))</f>
        <v/>
      </c>
      <c r="R339" s="69">
        <f>IF($J339="","",IFERROR(INDEX(B!$J$2:$J$61,MATCH($J339,B!$E$2:$E$61,0))&amp;"",""))</f>
        <v/>
      </c>
      <c r="S339" s="69">
        <f>IF($J339="","",IFERROR(INDEX(B!$K$2:$K$61,MATCH($J339,B!$E$2:$E$61,0))&amp;"",""))</f>
        <v/>
      </c>
      <c r="T339" s="69">
        <f>IF($J339="","",IFERROR(INDEX(B!$L$2:$L$61,MATCH($J339,B!$E$2:$E$61,0))&amp;"",""))</f>
        <v/>
      </c>
      <c r="U339" s="20" t="n"/>
      <c r="V339" s="70">
        <f>IF($J339="","",IFERROR(INDEX(B!$M$2:$M$61,MATCH($J339,B!$E$2:$E$61,0))&amp;"",""))</f>
        <v/>
      </c>
      <c r="W339" s="71">
        <f>IF(I339="","",IFERROR(MID(I339,FIND("/d/",I339)+3,FIND("/edit",I339)-FIND("/d/",I339)-3),I339))</f>
        <v/>
      </c>
      <c r="X339" s="71">
        <f>IF($J339="","",IFERROR(INDEX(B!$C$2:$C$61,MATCH($J339,B!$E$2:$E$61,0))&amp;"",""))</f>
        <v/>
      </c>
      <c r="Y339" s="20" t="n"/>
      <c r="Z339" s="72">
        <f>IF($J339="",FALSE,ISNUMBER(SEARCH("scout",$K339)))</f>
        <v/>
      </c>
      <c r="AA339" s="72">
        <f>IF($J339="",FALSE,IFERROR(INDEX(B!$N$2:$N$61,MATCH($J339,B!$E$2:$E$61,0))="Sim",FALSE))</f>
        <v/>
      </c>
      <c r="AB339" s="72">
        <f>IF($J339="",FALSE,LEFT($X339,2)="XX")</f>
        <v/>
      </c>
      <c r="AC339" s="72">
        <f>IF($J339="",FALSE,IFERROR(INDEX(B!$P$2:$P$61,MATCH($J339,B!$E$2:$E$61,0))="Sim",FALSE))</f>
        <v/>
      </c>
      <c r="AD339" s="20" t="n"/>
      <c r="AE339" s="52">
        <f>IF(H339="","",HOUR(H339))</f>
        <v/>
      </c>
      <c r="AF339" s="52" t="n"/>
    </row>
    <row r="340" ht="19.5" customHeight="1" s="58">
      <c r="A340" s="62">
        <f>IF(G340="","",IF(G340=G339,"",COUNTIF($G$3:$G$976,G340)))</f>
        <v/>
      </c>
      <c r="B340" s="20" t="n"/>
      <c r="C340" s="63">
        <f>IF(G340="","",DAY(G340))</f>
        <v/>
      </c>
      <c r="D340" s="63">
        <f>IF(G340="","",MONTH(G340))</f>
        <v/>
      </c>
      <c r="E340" s="63">
        <f>IF(G340="","",YEAR(G340))</f>
        <v/>
      </c>
      <c r="F340" s="33">
        <f>IF(G340="","",CHOOSE(MONTH(G340),"Janeiro","Fevereiro","Março","Abril","Maio","Junho","Julho","Agosto","Setembro","Outubro","Novembro","Dezembro"))</f>
        <v/>
      </c>
      <c r="G340" s="64" t="n">
        <v>46063</v>
      </c>
      <c r="H340" s="65" t="n">
        <v>0.1539236111111111</v>
      </c>
      <c r="I340" s="66" t="inlineStr">
        <is>
          <t>https://docs.google.com/spreadsheets/d/1ZiCGoPjLCjuYvujDTXK9Ixbth3tekiLtFBzBrGjPCr4/edit?gid=0#gid=0</t>
        </is>
      </c>
      <c r="J340" s="67" t="inlineStr">
        <is>
          <t>Transferência de LOB (Driver) - [TIDV]</t>
        </is>
      </c>
      <c r="K340" s="67" t="inlineStr"/>
      <c r="L340" s="68" t="b">
        <v>0</v>
      </c>
      <c r="M340" s="20" t="n"/>
      <c r="N340" s="69">
        <f>IF($J340="","",IFERROR(INDEX(B!$F$2:$F$61,MATCH($J340,B!$E$2:$E$61,0))&amp;"",""))</f>
        <v/>
      </c>
      <c r="O340" s="69">
        <f>IF($J340="","",IFERROR(INDEX(B!$G$2:$G$61,MATCH($J340,B!$E$2:$E$61,0))&amp;"",""))</f>
        <v/>
      </c>
      <c r="P340" s="69">
        <f>IF($J340="","",IFERROR(INDEX(B!$H$2:$H$61,MATCH($J340,B!$E$2:$E$61,0))&amp;"",""))</f>
        <v/>
      </c>
      <c r="Q340" s="69">
        <f>IF($J340="","",IFERROR(INDEX(B!$I$2:$I$61,MATCH($J340,B!$E$2:$E$61,0))&amp;"",""))</f>
        <v/>
      </c>
      <c r="R340" s="69">
        <f>IF($J340="","",IFERROR(INDEX(B!$J$2:$J$61,MATCH($J340,B!$E$2:$E$61,0))&amp;"",""))</f>
        <v/>
      </c>
      <c r="S340" s="69">
        <f>IF($J340="","",IFERROR(INDEX(B!$K$2:$K$61,MATCH($J340,B!$E$2:$E$61,0))&amp;"",""))</f>
        <v/>
      </c>
      <c r="T340" s="69">
        <f>IF($J340="","",IFERROR(INDEX(B!$L$2:$L$61,MATCH($J340,B!$E$2:$E$61,0))&amp;"",""))</f>
        <v/>
      </c>
      <c r="U340" s="20" t="n"/>
      <c r="V340" s="70">
        <f>IF($J340="","",IFERROR(INDEX(B!$M$2:$M$61,MATCH($J340,B!$E$2:$E$61,0))&amp;"",""))</f>
        <v/>
      </c>
      <c r="W340" s="71">
        <f>IF(I340="","",IFERROR(MID(I340,FIND("/d/",I340)+3,FIND("/edit",I340)-FIND("/d/",I340)-3),I340))</f>
        <v/>
      </c>
      <c r="X340" s="71">
        <f>IF($J340="","",IFERROR(INDEX(B!$C$2:$C$61,MATCH($J340,B!$E$2:$E$61,0))&amp;"",""))</f>
        <v/>
      </c>
      <c r="Y340" s="20" t="n"/>
      <c r="Z340" s="72">
        <f>IF($J340="",FALSE,ISNUMBER(SEARCH("scout",$K340)))</f>
        <v/>
      </c>
      <c r="AA340" s="72">
        <f>IF($J340="",FALSE,IFERROR(INDEX(B!$N$2:$N$61,MATCH($J340,B!$E$2:$E$61,0))="Sim",FALSE))</f>
        <v/>
      </c>
      <c r="AB340" s="72">
        <f>IF($J340="",FALSE,LEFT($X340,2)="XX")</f>
        <v/>
      </c>
      <c r="AC340" s="72">
        <f>IF($J340="",FALSE,IFERROR(INDEX(B!$P$2:$P$61,MATCH($J340,B!$E$2:$E$61,0))="Sim",FALSE))</f>
        <v/>
      </c>
      <c r="AD340" s="20" t="n"/>
      <c r="AE340" s="52">
        <f>IF(H340="","",HOUR(H340))</f>
        <v/>
      </c>
      <c r="AF340" s="52" t="n"/>
    </row>
    <row r="341" ht="19.5" customHeight="1" s="58">
      <c r="A341" s="62">
        <f>IF(G341="","",IF(G341=G340,"",COUNTIF($G$3:$G$976,G341)))</f>
        <v/>
      </c>
      <c r="B341" s="20" t="n"/>
      <c r="C341" s="63">
        <f>IF(G341="","",DAY(G341))</f>
        <v/>
      </c>
      <c r="D341" s="63">
        <f>IF(G341="","",MONTH(G341))</f>
        <v/>
      </c>
      <c r="E341" s="63">
        <f>IF(G341="","",YEAR(G341))</f>
        <v/>
      </c>
      <c r="F341" s="33">
        <f>IF(G341="","",CHOOSE(MONTH(G341),"Janeiro","Fevereiro","Março","Abril","Maio","Junho","Julho","Agosto","Setembro","Outubro","Novembro","Dezembro"))</f>
        <v/>
      </c>
      <c r="G341" s="64" t="n">
        <v>46063</v>
      </c>
      <c r="H341" s="65" t="n">
        <v>0.1543055555555556</v>
      </c>
      <c r="I341" s="66" t="inlineStr">
        <is>
          <t>https://docs.google.com/spreadsheets/d/1ZiCGoPjLCjuYvujDTXK9Ixbth3tekiLtFBzBrGjPCr4/edit?gid=0#gid=0</t>
        </is>
      </c>
      <c r="J341" s="67" t="inlineStr">
        <is>
          <t>Transferência de LOB (Driver) - [TIDV]</t>
        </is>
      </c>
      <c r="K341" s="67" t="inlineStr"/>
      <c r="L341" s="68" t="b">
        <v>0</v>
      </c>
      <c r="M341" s="20" t="n"/>
      <c r="N341" s="69">
        <f>IF($J341="","",IFERROR(INDEX(B!$F$2:$F$61,MATCH($J341,B!$E$2:$E$61,0))&amp;"",""))</f>
        <v/>
      </c>
      <c r="O341" s="69">
        <f>IF($J341="","",IFERROR(INDEX(B!$G$2:$G$61,MATCH($J341,B!$E$2:$E$61,0))&amp;"",""))</f>
        <v/>
      </c>
      <c r="P341" s="69">
        <f>IF($J341="","",IFERROR(INDEX(B!$H$2:$H$61,MATCH($J341,B!$E$2:$E$61,0))&amp;"",""))</f>
        <v/>
      </c>
      <c r="Q341" s="69">
        <f>IF($J341="","",IFERROR(INDEX(B!$I$2:$I$61,MATCH($J341,B!$E$2:$E$61,0))&amp;"",""))</f>
        <v/>
      </c>
      <c r="R341" s="69">
        <f>IF($J341="","",IFERROR(INDEX(B!$J$2:$J$61,MATCH($J341,B!$E$2:$E$61,0))&amp;"",""))</f>
        <v/>
      </c>
      <c r="S341" s="69">
        <f>IF($J341="","",IFERROR(INDEX(B!$K$2:$K$61,MATCH($J341,B!$E$2:$E$61,0))&amp;"",""))</f>
        <v/>
      </c>
      <c r="T341" s="69">
        <f>IF($J341="","",IFERROR(INDEX(B!$L$2:$L$61,MATCH($J341,B!$E$2:$E$61,0))&amp;"",""))</f>
        <v/>
      </c>
      <c r="U341" s="20" t="n"/>
      <c r="V341" s="70">
        <f>IF($J341="","",IFERROR(INDEX(B!$M$2:$M$61,MATCH($J341,B!$E$2:$E$61,0))&amp;"",""))</f>
        <v/>
      </c>
      <c r="W341" s="71">
        <f>IF(I341="","",IFERROR(MID(I341,FIND("/d/",I341)+3,FIND("/edit",I341)-FIND("/d/",I341)-3),I341))</f>
        <v/>
      </c>
      <c r="X341" s="71">
        <f>IF($J341="","",IFERROR(INDEX(B!$C$2:$C$61,MATCH($J341,B!$E$2:$E$61,0))&amp;"",""))</f>
        <v/>
      </c>
      <c r="Y341" s="20" t="n"/>
      <c r="Z341" s="72">
        <f>IF($J341="",FALSE,ISNUMBER(SEARCH("scout",$K341)))</f>
        <v/>
      </c>
      <c r="AA341" s="72">
        <f>IF($J341="",FALSE,IFERROR(INDEX(B!$N$2:$N$61,MATCH($J341,B!$E$2:$E$61,0))="Sim",FALSE))</f>
        <v/>
      </c>
      <c r="AB341" s="72">
        <f>IF($J341="",FALSE,LEFT($X341,2)="XX")</f>
        <v/>
      </c>
      <c r="AC341" s="72">
        <f>IF($J341="",FALSE,IFERROR(INDEX(B!$P$2:$P$61,MATCH($J341,B!$E$2:$E$61,0))="Sim",FALSE))</f>
        <v/>
      </c>
      <c r="AD341" s="20" t="n"/>
      <c r="AE341" s="52">
        <f>IF(H341="","",HOUR(H341))</f>
        <v/>
      </c>
      <c r="AF341" s="52" t="n"/>
    </row>
    <row r="342" ht="19.5" customHeight="1" s="58">
      <c r="A342" s="62">
        <f>IF(G342="","",IF(G342=G341,"",COUNTIF($G$3:$G$976,G342)))</f>
        <v/>
      </c>
      <c r="B342" s="20" t="n"/>
      <c r="C342" s="63">
        <f>IF(G342="","",DAY(G342))</f>
        <v/>
      </c>
      <c r="D342" s="63">
        <f>IF(G342="","",MONTH(G342))</f>
        <v/>
      </c>
      <c r="E342" s="63">
        <f>IF(G342="","",YEAR(G342))</f>
        <v/>
      </c>
      <c r="F342" s="33">
        <f>IF(G342="","",CHOOSE(MONTH(G342),"Janeiro","Fevereiro","Março","Abril","Maio","Junho","Julho","Agosto","Setembro","Outubro","Novembro","Dezembro"))</f>
        <v/>
      </c>
      <c r="G342" s="64" t="n">
        <v>46063</v>
      </c>
      <c r="H342" s="65" t="n">
        <v>0.1606828703703704</v>
      </c>
      <c r="I342" s="66" t="inlineStr">
        <is>
          <t>https://docs.google.com/spreadsheets/d/1ZiCGoPjLCjuYvujDTXK9Ixbth3tekiLtFBzBrGjPCr4/edit?gid=0#gid=0</t>
        </is>
      </c>
      <c r="J342" s="67" t="inlineStr">
        <is>
          <t>Transferência de LOB (Geral não especificado) - [TI]</t>
        </is>
      </c>
      <c r="K342" s="67" t="inlineStr"/>
      <c r="L342" s="68" t="b">
        <v>0</v>
      </c>
      <c r="M342" s="20" t="n"/>
      <c r="N342" s="69">
        <f>IF($J342="","",IFERROR(INDEX(B!$F$2:$F$61,MATCH($J342,B!$E$2:$E$61,0))&amp;"",""))</f>
        <v/>
      </c>
      <c r="O342" s="69">
        <f>IF($J342="","",IFERROR(INDEX(B!$G$2:$G$61,MATCH($J342,B!$E$2:$E$61,0))&amp;"",""))</f>
        <v/>
      </c>
      <c r="P342" s="69">
        <f>IF($J342="","",IFERROR(INDEX(B!$H$2:$H$61,MATCH($J342,B!$E$2:$E$61,0))&amp;"",""))</f>
        <v/>
      </c>
      <c r="Q342" s="69">
        <f>IF($J342="","",IFERROR(INDEX(B!$I$2:$I$61,MATCH($J342,B!$E$2:$E$61,0))&amp;"",""))</f>
        <v/>
      </c>
      <c r="R342" s="69">
        <f>IF($J342="","",IFERROR(INDEX(B!$J$2:$J$61,MATCH($J342,B!$E$2:$E$61,0))&amp;"",""))</f>
        <v/>
      </c>
      <c r="S342" s="69">
        <f>IF($J342="","",IFERROR(INDEX(B!$K$2:$K$61,MATCH($J342,B!$E$2:$E$61,0))&amp;"",""))</f>
        <v/>
      </c>
      <c r="T342" s="69">
        <f>IF($J342="","",IFERROR(INDEX(B!$L$2:$L$61,MATCH($J342,B!$E$2:$E$61,0))&amp;"",""))</f>
        <v/>
      </c>
      <c r="U342" s="20" t="n"/>
      <c r="V342" s="70">
        <f>IF($J342="","",IFERROR(INDEX(B!$M$2:$M$61,MATCH($J342,B!$E$2:$E$61,0))&amp;"",""))</f>
        <v/>
      </c>
      <c r="W342" s="71">
        <f>IF(I342="","",IFERROR(MID(I342,FIND("/d/",I342)+3,FIND("/edit",I342)-FIND("/d/",I342)-3),I342))</f>
        <v/>
      </c>
      <c r="X342" s="71">
        <f>IF($J342="","",IFERROR(INDEX(B!$C$2:$C$61,MATCH($J342,B!$E$2:$E$61,0))&amp;"",""))</f>
        <v/>
      </c>
      <c r="Y342" s="20" t="n"/>
      <c r="Z342" s="72">
        <f>IF($J342="",FALSE,ISNUMBER(SEARCH("scout",$K342)))</f>
        <v/>
      </c>
      <c r="AA342" s="72">
        <f>IF($J342="",FALSE,IFERROR(INDEX(B!$N$2:$N$61,MATCH($J342,B!$E$2:$E$61,0))="Sim",FALSE))</f>
        <v/>
      </c>
      <c r="AB342" s="72">
        <f>IF($J342="",FALSE,LEFT($X342,2)="XX")</f>
        <v/>
      </c>
      <c r="AC342" s="72">
        <f>IF($J342="",FALSE,IFERROR(INDEX(B!$P$2:$P$61,MATCH($J342,B!$E$2:$E$61,0))="Sim",FALSE))</f>
        <v/>
      </c>
      <c r="AD342" s="20" t="n"/>
      <c r="AE342" s="52">
        <f>IF(H342="","",HOUR(H342))</f>
        <v/>
      </c>
      <c r="AF342" s="52" t="n"/>
    </row>
    <row r="343" ht="19.5" customHeight="1" s="58">
      <c r="A343" s="62">
        <f>IF(G343="","",IF(G343=G342,"",COUNTIF($G$3:$G$976,G343)))</f>
        <v/>
      </c>
      <c r="B343" s="20" t="n"/>
      <c r="C343" s="63">
        <f>IF(G343="","",DAY(G343))</f>
        <v/>
      </c>
      <c r="D343" s="63">
        <f>IF(G343="","",MONTH(G343))</f>
        <v/>
      </c>
      <c r="E343" s="63">
        <f>IF(G343="","",YEAR(G343))</f>
        <v/>
      </c>
      <c r="F343" s="33">
        <f>IF(G343="","",CHOOSE(MONTH(G343),"Janeiro","Fevereiro","Março","Abril","Maio","Junho","Julho","Agosto","Setembro","Outubro","Novembro","Dezembro"))</f>
        <v/>
      </c>
      <c r="G343" s="64" t="n">
        <v>46063</v>
      </c>
      <c r="H343" s="65" t="n">
        <v>0.1664814814814815</v>
      </c>
      <c r="I343" s="66" t="inlineStr">
        <is>
          <t>https://docs.google.com/spreadsheets/d/1ZiCGoPjLCjuYvujDTXK9Ixbth3tekiLtFBzBrGjPCr4/edit?gid=0#gid=0</t>
        </is>
      </c>
      <c r="J343" s="67" t="inlineStr">
        <is>
          <t>Evento Raro - [ER]</t>
        </is>
      </c>
      <c r="K343" s="67" t="inlineStr">
        <is>
          <t>Scout</t>
        </is>
      </c>
      <c r="L343" s="68" t="b">
        <v>1</v>
      </c>
      <c r="M343" s="20" t="n"/>
      <c r="N343" s="69">
        <f>IF($J343="","",IFERROR(INDEX(B!$F$2:$F$61,MATCH($J343,B!$E$2:$E$61,0))&amp;"",""))</f>
        <v/>
      </c>
      <c r="O343" s="69">
        <f>IF($J343="","",IFERROR(INDEX(B!$G$2:$G$61,MATCH($J343,B!$E$2:$E$61,0))&amp;"",""))</f>
        <v/>
      </c>
      <c r="P343" s="69">
        <f>IF($J343="","",IFERROR(INDEX(B!$H$2:$H$61,MATCH($J343,B!$E$2:$E$61,0))&amp;"",""))</f>
        <v/>
      </c>
      <c r="Q343" s="69">
        <f>IF($J343="","",IFERROR(INDEX(B!$I$2:$I$61,MATCH($J343,B!$E$2:$E$61,0))&amp;"",""))</f>
        <v/>
      </c>
      <c r="R343" s="69">
        <f>IF($J343="","",IFERROR(INDEX(B!$J$2:$J$61,MATCH($J343,B!$E$2:$E$61,0))&amp;"",""))</f>
        <v/>
      </c>
      <c r="S343" s="69">
        <f>IF($J343="","",IFERROR(INDEX(B!$K$2:$K$61,MATCH($J343,B!$E$2:$E$61,0))&amp;"",""))</f>
        <v/>
      </c>
      <c r="T343" s="69">
        <f>IF($J343="","",IFERROR(INDEX(B!$L$2:$L$61,MATCH($J343,B!$E$2:$E$61,0))&amp;"",""))</f>
        <v/>
      </c>
      <c r="U343" s="20" t="n"/>
      <c r="V343" s="70">
        <f>IF($J343="","",IFERROR(INDEX(B!$M$2:$M$61,MATCH($J343,B!$E$2:$E$61,0))&amp;"",""))</f>
        <v/>
      </c>
      <c r="W343" s="71">
        <f>IF(I343="","",IFERROR(MID(I343,FIND("/d/",I343)+3,FIND("/edit",I343)-FIND("/d/",I343)-3),I343))</f>
        <v/>
      </c>
      <c r="X343" s="71">
        <f>IF($J343="","",IFERROR(INDEX(B!$C$2:$C$61,MATCH($J343,B!$E$2:$E$61,0))&amp;"",""))</f>
        <v/>
      </c>
      <c r="Y343" s="20" t="n"/>
      <c r="Z343" s="72">
        <f>IF($J343="",FALSE,ISNUMBER(SEARCH("scout",$K343)))</f>
        <v/>
      </c>
      <c r="AA343" s="72">
        <f>IF($J343="",FALSE,IFERROR(INDEX(B!$N$2:$N$61,MATCH($J343,B!$E$2:$E$61,0))="Sim",FALSE))</f>
        <v/>
      </c>
      <c r="AB343" s="72">
        <f>IF($J343="",FALSE,LEFT($X343,2)="XX")</f>
        <v/>
      </c>
      <c r="AC343" s="72">
        <f>IF($J343="",FALSE,IFERROR(INDEX(B!$P$2:$P$61,MATCH($J343,B!$E$2:$E$61,0))="Sim",FALSE))</f>
        <v/>
      </c>
      <c r="AD343" s="20" t="n"/>
      <c r="AE343" s="52">
        <f>IF(H343="","",HOUR(H343))</f>
        <v/>
      </c>
      <c r="AF343" s="52" t="n"/>
    </row>
    <row r="344" ht="19.5" customHeight="1" s="58">
      <c r="A344" s="62">
        <f>IF(G344="","",IF(G344=G343,"",COUNTIF($G$3:$G$976,G344)))</f>
        <v/>
      </c>
      <c r="B344" s="20" t="n"/>
      <c r="C344" s="63">
        <f>IF(G344="","",DAY(G344))</f>
        <v/>
      </c>
      <c r="D344" s="63">
        <f>IF(G344="","",MONTH(G344))</f>
        <v/>
      </c>
      <c r="E344" s="63">
        <f>IF(G344="","",YEAR(G344))</f>
        <v/>
      </c>
      <c r="F344" s="33">
        <f>IF(G344="","",CHOOSE(MONTH(G344),"Janeiro","Fevereiro","Março","Abril","Maio","Junho","Julho","Agosto","Setembro","Outubro","Novembro","Dezembro"))</f>
        <v/>
      </c>
      <c r="G344" s="64" t="n">
        <v>46063</v>
      </c>
      <c r="H344" s="65" t="n">
        <v>0.1692013888888889</v>
      </c>
      <c r="I344" s="66" t="inlineStr">
        <is>
          <t>https://docs.google.com/spreadsheets/d/1ZiCGoPjLCjuYvujDTXK9Ixbth3tekiLtFBzBrGjPCr4/edit?gid=0#gid=0</t>
        </is>
      </c>
      <c r="J344" s="67" t="inlineStr">
        <is>
          <t>Transferência de LOB (Lost Items) - [TILI]</t>
        </is>
      </c>
      <c r="K344" s="67" t="inlineStr"/>
      <c r="L344" s="68" t="b">
        <v>1</v>
      </c>
      <c r="M344" s="20" t="n"/>
      <c r="N344" s="69">
        <f>IF($J344="","",IFERROR(INDEX(B!$F$2:$F$61,MATCH($J344,B!$E$2:$E$61,0))&amp;"",""))</f>
        <v/>
      </c>
      <c r="O344" s="69">
        <f>IF($J344="","",IFERROR(INDEX(B!$G$2:$G$61,MATCH($J344,B!$E$2:$E$61,0))&amp;"",""))</f>
        <v/>
      </c>
      <c r="P344" s="69">
        <f>IF($J344="","",IFERROR(INDEX(B!$H$2:$H$61,MATCH($J344,B!$E$2:$E$61,0))&amp;"",""))</f>
        <v/>
      </c>
      <c r="Q344" s="69">
        <f>IF($J344="","",IFERROR(INDEX(B!$I$2:$I$61,MATCH($J344,B!$E$2:$E$61,0))&amp;"",""))</f>
        <v/>
      </c>
      <c r="R344" s="69">
        <f>IF($J344="","",IFERROR(INDEX(B!$J$2:$J$61,MATCH($J344,B!$E$2:$E$61,0))&amp;"",""))</f>
        <v/>
      </c>
      <c r="S344" s="69">
        <f>IF($J344="","",IFERROR(INDEX(B!$K$2:$K$61,MATCH($J344,B!$E$2:$E$61,0))&amp;"",""))</f>
        <v/>
      </c>
      <c r="T344" s="69">
        <f>IF($J344="","",IFERROR(INDEX(B!$L$2:$L$61,MATCH($J344,B!$E$2:$E$61,0))&amp;"",""))</f>
        <v/>
      </c>
      <c r="U344" s="20" t="n"/>
      <c r="V344" s="70">
        <f>IF($J344="","",IFERROR(INDEX(B!$M$2:$M$61,MATCH($J344,B!$E$2:$E$61,0))&amp;"",""))</f>
        <v/>
      </c>
      <c r="W344" s="71">
        <f>IF(I344="","",IFERROR(MID(I344,FIND("/d/",I344)+3,FIND("/edit",I344)-FIND("/d/",I344)-3),I344))</f>
        <v/>
      </c>
      <c r="X344" s="71">
        <f>IF($J344="","",IFERROR(INDEX(B!$C$2:$C$61,MATCH($J344,B!$E$2:$E$61,0))&amp;"",""))</f>
        <v/>
      </c>
      <c r="Y344" s="20" t="n"/>
      <c r="Z344" s="72">
        <f>IF($J344="",FALSE,ISNUMBER(SEARCH("scout",$K344)))</f>
        <v/>
      </c>
      <c r="AA344" s="72">
        <f>IF($J344="",FALSE,IFERROR(INDEX(B!$N$2:$N$61,MATCH($J344,B!$E$2:$E$61,0))="Sim",FALSE))</f>
        <v/>
      </c>
      <c r="AB344" s="72">
        <f>IF($J344="",FALSE,LEFT($X344,2)="XX")</f>
        <v/>
      </c>
      <c r="AC344" s="72">
        <f>IF($J344="",FALSE,IFERROR(INDEX(B!$P$2:$P$61,MATCH($J344,B!$E$2:$E$61,0))="Sim",FALSE))</f>
        <v/>
      </c>
      <c r="AD344" s="20" t="n"/>
      <c r="AE344" s="52">
        <f>IF(H344="","",HOUR(H344))</f>
        <v/>
      </c>
      <c r="AF344" s="52" t="n"/>
    </row>
    <row r="345" ht="19.5" customHeight="1" s="58">
      <c r="A345" s="62">
        <f>IF(G345="","",IF(G345=G344,"",COUNTIF($G$3:$G$976,G345)))</f>
        <v/>
      </c>
      <c r="B345" s="20" t="n"/>
      <c r="C345" s="63">
        <f>IF(G345="","",DAY(G345))</f>
        <v/>
      </c>
      <c r="D345" s="63">
        <f>IF(G345="","",MONTH(G345))</f>
        <v/>
      </c>
      <c r="E345" s="63">
        <f>IF(G345="","",YEAR(G345))</f>
        <v/>
      </c>
      <c r="F345" s="33">
        <f>IF(G345="","",CHOOSE(MONTH(G345),"Janeiro","Fevereiro","Março","Abril","Maio","Junho","Julho","Agosto","Setembro","Outubro","Novembro","Dezembro"))</f>
        <v/>
      </c>
      <c r="G345" s="64" t="n">
        <v>46063</v>
      </c>
      <c r="H345" s="65" t="n">
        <v>0.176087962962963</v>
      </c>
      <c r="I345" s="66" t="inlineStr">
        <is>
          <t>https://docs.google.com/spreadsheets/d/1ZiCGoPjLCjuYvujDTXK9Ixbth3tekiLtFBzBrGjPCr4/edit?gid=0#gid=0</t>
        </is>
      </c>
      <c r="J345" s="67" t="inlineStr">
        <is>
          <t>Taxa de Cancelamento Cobrada Corretamente - [TXCO]</t>
        </is>
      </c>
      <c r="K345" s="67" t="inlineStr"/>
      <c r="L345" s="68" t="b">
        <v>0</v>
      </c>
      <c r="M345" s="20" t="n"/>
      <c r="N345" s="69">
        <f>IF($J345="","",IFERROR(INDEX(B!$F$2:$F$61,MATCH($J345,B!$E$2:$E$61,0))&amp;"",""))</f>
        <v/>
      </c>
      <c r="O345" s="69">
        <f>IF($J345="","",IFERROR(INDEX(B!$G$2:$G$61,MATCH($J345,B!$E$2:$E$61,0))&amp;"",""))</f>
        <v/>
      </c>
      <c r="P345" s="69">
        <f>IF($J345="","",IFERROR(INDEX(B!$H$2:$H$61,MATCH($J345,B!$E$2:$E$61,0))&amp;"",""))</f>
        <v/>
      </c>
      <c r="Q345" s="69">
        <f>IF($J345="","",IFERROR(INDEX(B!$I$2:$I$61,MATCH($J345,B!$E$2:$E$61,0))&amp;"",""))</f>
        <v/>
      </c>
      <c r="R345" s="69">
        <f>IF($J345="","",IFERROR(INDEX(B!$J$2:$J$61,MATCH($J345,B!$E$2:$E$61,0))&amp;"",""))</f>
        <v/>
      </c>
      <c r="S345" s="69">
        <f>IF($J345="","",IFERROR(INDEX(B!$K$2:$K$61,MATCH($J345,B!$E$2:$E$61,0))&amp;"",""))</f>
        <v/>
      </c>
      <c r="T345" s="69">
        <f>IF($J345="","",IFERROR(INDEX(B!$L$2:$L$61,MATCH($J345,B!$E$2:$E$61,0))&amp;"",""))</f>
        <v/>
      </c>
      <c r="U345" s="20" t="n"/>
      <c r="V345" s="70">
        <f>IF($J345="","",IFERROR(INDEX(B!$M$2:$M$61,MATCH($J345,B!$E$2:$E$61,0))&amp;"",""))</f>
        <v/>
      </c>
      <c r="W345" s="71">
        <f>IF(I345="","",IFERROR(MID(I345,FIND("/d/",I345)+3,FIND("/edit",I345)-FIND("/d/",I345)-3),I345))</f>
        <v/>
      </c>
      <c r="X345" s="71">
        <f>IF($J345="","",IFERROR(INDEX(B!$C$2:$C$61,MATCH($J345,B!$E$2:$E$61,0))&amp;"",""))</f>
        <v/>
      </c>
      <c r="Y345" s="20" t="n"/>
      <c r="Z345" s="72">
        <f>IF($J345="",FALSE,ISNUMBER(SEARCH("scout",$K345)))</f>
        <v/>
      </c>
      <c r="AA345" s="72">
        <f>IF($J345="",FALSE,IFERROR(INDEX(B!$N$2:$N$61,MATCH($J345,B!$E$2:$E$61,0))="Sim",FALSE))</f>
        <v/>
      </c>
      <c r="AB345" s="72">
        <f>IF($J345="",FALSE,LEFT($X345,2)="XX")</f>
        <v/>
      </c>
      <c r="AC345" s="72">
        <f>IF($J345="",FALSE,IFERROR(INDEX(B!$P$2:$P$61,MATCH($J345,B!$E$2:$E$61,0))="Sim",FALSE))</f>
        <v/>
      </c>
      <c r="AD345" s="20" t="n"/>
      <c r="AE345" s="52">
        <f>IF(H345="","",HOUR(H345))</f>
        <v/>
      </c>
      <c r="AF345" s="52" t="n"/>
    </row>
    <row r="346" ht="19.5" customHeight="1" s="58">
      <c r="A346" s="62">
        <f>IF(G346="","",IF(G346=G345,"",COUNTIF($G$3:$G$976,G346)))</f>
        <v/>
      </c>
      <c r="B346" s="20" t="n"/>
      <c r="C346" s="63">
        <f>IF(G346="","",DAY(G346))</f>
        <v/>
      </c>
      <c r="D346" s="63">
        <f>IF(G346="","",MONTH(G346))</f>
        <v/>
      </c>
      <c r="E346" s="63">
        <f>IF(G346="","",YEAR(G346))</f>
        <v/>
      </c>
      <c r="F346" s="33">
        <f>IF(G346="","",CHOOSE(MONTH(G346),"Janeiro","Fevereiro","Março","Abril","Maio","Junho","Julho","Agosto","Setembro","Outubro","Novembro","Dezembro"))</f>
        <v/>
      </c>
      <c r="G346" s="64" t="n">
        <v>46063</v>
      </c>
      <c r="H346" s="65" t="n">
        <v>0.1782291666666667</v>
      </c>
      <c r="I346" s="66" t="inlineStr">
        <is>
          <t>https://docs.google.com/spreadsheets/d/1ZiCGoPjLCjuYvujDTXK9Ixbth3tekiLtFBzBrGjPCr4/edit?gid=0#gid=0</t>
        </is>
      </c>
      <c r="J346" s="67" t="inlineStr">
        <is>
          <t>No Need Response (Não precisa de resposta) - [NRN]</t>
        </is>
      </c>
      <c r="K346" s="67" t="inlineStr"/>
      <c r="L346" s="68" t="b">
        <v>1</v>
      </c>
      <c r="M346" s="20" t="n"/>
      <c r="N346" s="69">
        <f>IF($J346="","",IFERROR(INDEX(B!$F$2:$F$61,MATCH($J346,B!$E$2:$E$61,0))&amp;"",""))</f>
        <v/>
      </c>
      <c r="O346" s="69">
        <f>IF($J346="","",IFERROR(INDEX(B!$G$2:$G$61,MATCH($J346,B!$E$2:$E$61,0))&amp;"",""))</f>
        <v/>
      </c>
      <c r="P346" s="69">
        <f>IF($J346="","",IFERROR(INDEX(B!$H$2:$H$61,MATCH($J346,B!$E$2:$E$61,0))&amp;"",""))</f>
        <v/>
      </c>
      <c r="Q346" s="69">
        <f>IF($J346="","",IFERROR(INDEX(B!$I$2:$I$61,MATCH($J346,B!$E$2:$E$61,0))&amp;"",""))</f>
        <v/>
      </c>
      <c r="R346" s="69">
        <f>IF($J346="","",IFERROR(INDEX(B!$J$2:$J$61,MATCH($J346,B!$E$2:$E$61,0))&amp;"",""))</f>
        <v/>
      </c>
      <c r="S346" s="69">
        <f>IF($J346="","",IFERROR(INDEX(B!$K$2:$K$61,MATCH($J346,B!$E$2:$E$61,0))&amp;"",""))</f>
        <v/>
      </c>
      <c r="T346" s="69">
        <f>IF($J346="","",IFERROR(INDEX(B!$L$2:$L$61,MATCH($J346,B!$E$2:$E$61,0))&amp;"",""))</f>
        <v/>
      </c>
      <c r="U346" s="20" t="n"/>
      <c r="V346" s="70">
        <f>IF($J346="","",IFERROR(INDEX(B!$M$2:$M$61,MATCH($J346,B!$E$2:$E$61,0))&amp;"",""))</f>
        <v/>
      </c>
      <c r="W346" s="71">
        <f>IF(I346="","",IFERROR(MID(I346,FIND("/d/",I346)+3,FIND("/edit",I346)-FIND("/d/",I346)-3),I346))</f>
        <v/>
      </c>
      <c r="X346" s="71">
        <f>IF($J346="","",IFERROR(INDEX(B!$C$2:$C$61,MATCH($J346,B!$E$2:$E$61,0))&amp;"",""))</f>
        <v/>
      </c>
      <c r="Y346" s="20" t="n"/>
      <c r="Z346" s="72">
        <f>IF($J346="",FALSE,ISNUMBER(SEARCH("scout",$K346)))</f>
        <v/>
      </c>
      <c r="AA346" s="72">
        <f>IF($J346="",FALSE,IFERROR(INDEX(B!$N$2:$N$61,MATCH($J346,B!$E$2:$E$61,0))="Sim",FALSE))</f>
        <v/>
      </c>
      <c r="AB346" s="72">
        <f>IF($J346="",FALSE,LEFT($X346,2)="XX")</f>
        <v/>
      </c>
      <c r="AC346" s="72">
        <f>IF($J346="",FALSE,IFERROR(INDEX(B!$P$2:$P$61,MATCH($J346,B!$E$2:$E$61,0))="Sim",FALSE))</f>
        <v/>
      </c>
      <c r="AD346" s="20" t="n"/>
      <c r="AE346" s="52">
        <f>IF(H346="","",HOUR(H346))</f>
        <v/>
      </c>
      <c r="AF346" s="52" t="n"/>
    </row>
    <row r="347" ht="19.5" customHeight="1" s="58">
      <c r="A347" s="62">
        <f>IF(G347="","",IF(G347=G346,"",COUNTIF($G$3:$G$976,G347)))</f>
        <v/>
      </c>
      <c r="B347" s="20" t="n"/>
      <c r="C347" s="63">
        <f>IF(G347="","",DAY(G347))</f>
        <v/>
      </c>
      <c r="D347" s="63">
        <f>IF(G347="","",MONTH(G347))</f>
        <v/>
      </c>
      <c r="E347" s="63">
        <f>IF(G347="","",YEAR(G347))</f>
        <v/>
      </c>
      <c r="F347" s="33">
        <f>IF(G347="","",CHOOSE(MONTH(G347),"Janeiro","Fevereiro","Março","Abril","Maio","Junho","Julho","Agosto","Setembro","Outubro","Novembro","Dezembro"))</f>
        <v/>
      </c>
      <c r="G347" s="64" t="n">
        <v>46063</v>
      </c>
      <c r="H347" s="65" t="n">
        <v>0.1831481481481481</v>
      </c>
      <c r="I347" s="66" t="inlineStr">
        <is>
          <t>https://docs.google.com/spreadsheets/d/1ZiCGoPjLCjuYvujDTXK9Ixbth3tekiLtFBzBrGjPCr4/edit?gid=0#gid=0</t>
        </is>
      </c>
      <c r="J347" s="67" t="inlineStr">
        <is>
          <t>Overpaid, Não excede o limite, Sem comprovante - [OPNN]</t>
        </is>
      </c>
      <c r="K347" s="67" t="inlineStr"/>
      <c r="L347" s="68" t="b">
        <v>0</v>
      </c>
      <c r="M347" s="20" t="n"/>
      <c r="N347" s="69">
        <f>IF($J347="","",IFERROR(INDEX(B!$F$2:$F$61,MATCH($J347,B!$E$2:$E$61,0))&amp;"",""))</f>
        <v/>
      </c>
      <c r="O347" s="69">
        <f>IF($J347="","",IFERROR(INDEX(B!$G$2:$G$61,MATCH($J347,B!$E$2:$E$61,0))&amp;"",""))</f>
        <v/>
      </c>
      <c r="P347" s="69">
        <f>IF($J347="","",IFERROR(INDEX(B!$H$2:$H$61,MATCH($J347,B!$E$2:$E$61,0))&amp;"",""))</f>
        <v/>
      </c>
      <c r="Q347" s="69">
        <f>IF($J347="","",IFERROR(INDEX(B!$I$2:$I$61,MATCH($J347,B!$E$2:$E$61,0))&amp;"",""))</f>
        <v/>
      </c>
      <c r="R347" s="69">
        <f>IF($J347="","",IFERROR(INDEX(B!$J$2:$J$61,MATCH($J347,B!$E$2:$E$61,0))&amp;"",""))</f>
        <v/>
      </c>
      <c r="S347" s="69">
        <f>IF($J347="","",IFERROR(INDEX(B!$K$2:$K$61,MATCH($J347,B!$E$2:$E$61,0))&amp;"",""))</f>
        <v/>
      </c>
      <c r="T347" s="69">
        <f>IF($J347="","",IFERROR(INDEX(B!$L$2:$L$61,MATCH($J347,B!$E$2:$E$61,0))&amp;"",""))</f>
        <v/>
      </c>
      <c r="U347" s="20" t="n"/>
      <c r="V347" s="70">
        <f>IF($J347="","",IFERROR(INDEX(B!$M$2:$M$61,MATCH($J347,B!$E$2:$E$61,0))&amp;"",""))</f>
        <v/>
      </c>
      <c r="W347" s="71">
        <f>IF(I347="","",IFERROR(MID(I347,FIND("/d/",I347)+3,FIND("/edit",I347)-FIND("/d/",I347)-3),I347))</f>
        <v/>
      </c>
      <c r="X347" s="71">
        <f>IF($J347="","",IFERROR(INDEX(B!$C$2:$C$61,MATCH($J347,B!$E$2:$E$61,0))&amp;"",""))</f>
        <v/>
      </c>
      <c r="Y347" s="20" t="n"/>
      <c r="Z347" s="72">
        <f>IF($J347="",FALSE,ISNUMBER(SEARCH("scout",$K347)))</f>
        <v/>
      </c>
      <c r="AA347" s="72">
        <f>IF($J347="",FALSE,IFERROR(INDEX(B!$N$2:$N$61,MATCH($J347,B!$E$2:$E$61,0))="Sim",FALSE))</f>
        <v/>
      </c>
      <c r="AB347" s="72">
        <f>IF($J347="",FALSE,LEFT($X347,2)="XX")</f>
        <v/>
      </c>
      <c r="AC347" s="72">
        <f>IF($J347="",FALSE,IFERROR(INDEX(B!$P$2:$P$61,MATCH($J347,B!$E$2:$E$61,0))="Sim",FALSE))</f>
        <v/>
      </c>
      <c r="AD347" s="20" t="n"/>
      <c r="AE347" s="52">
        <f>IF(H347="","",HOUR(H347))</f>
        <v/>
      </c>
      <c r="AF347" s="52" t="n"/>
    </row>
    <row r="348" ht="19.5" customHeight="1" s="58">
      <c r="A348" s="62">
        <f>IF(G348="","",IF(G348=G347,"",COUNTIF($G$3:$G$976,G348)))</f>
        <v/>
      </c>
      <c r="B348" s="20" t="n"/>
      <c r="C348" s="63">
        <f>IF(G348="","",DAY(G348))</f>
        <v/>
      </c>
      <c r="D348" s="63">
        <f>IF(G348="","",MONTH(G348))</f>
        <v/>
      </c>
      <c r="E348" s="63">
        <f>IF(G348="","",YEAR(G348))</f>
        <v/>
      </c>
      <c r="F348" s="33">
        <f>IF(G348="","",CHOOSE(MONTH(G348),"Janeiro","Fevereiro","Março","Abril","Maio","Junho","Julho","Agosto","Setembro","Outubro","Novembro","Dezembro"))</f>
        <v/>
      </c>
      <c r="G348" s="64" t="n">
        <v>46063</v>
      </c>
      <c r="H348" s="65" t="n">
        <v>0.1871180555555556</v>
      </c>
      <c r="I348" s="66" t="inlineStr">
        <is>
          <t>https://docs.google.com/spreadsheets/d/1ZiCGoPjLCjuYvujDTXK9Ixbth3tekiLtFBzBrGjPCr4/edit?gid=0#gid=0</t>
        </is>
      </c>
      <c r="J348" s="67" t="inlineStr">
        <is>
          <t>Transferência de LOB (Lost Items) - [TILI]</t>
        </is>
      </c>
      <c r="K348" s="67" t="inlineStr"/>
      <c r="L348" s="68" t="b">
        <v>0</v>
      </c>
      <c r="M348" s="20" t="n"/>
      <c r="N348" s="69">
        <f>IF($J348="","",IFERROR(INDEX(B!$F$2:$F$61,MATCH($J348,B!$E$2:$E$61,0))&amp;"",""))</f>
        <v/>
      </c>
      <c r="O348" s="69">
        <f>IF($J348="","",IFERROR(INDEX(B!$G$2:$G$61,MATCH($J348,B!$E$2:$E$61,0))&amp;"",""))</f>
        <v/>
      </c>
      <c r="P348" s="69">
        <f>IF($J348="","",IFERROR(INDEX(B!$H$2:$H$61,MATCH($J348,B!$E$2:$E$61,0))&amp;"",""))</f>
        <v/>
      </c>
      <c r="Q348" s="69">
        <f>IF($J348="","",IFERROR(INDEX(B!$I$2:$I$61,MATCH($J348,B!$E$2:$E$61,0))&amp;"",""))</f>
        <v/>
      </c>
      <c r="R348" s="69">
        <f>IF($J348="","",IFERROR(INDEX(B!$J$2:$J$61,MATCH($J348,B!$E$2:$E$61,0))&amp;"",""))</f>
        <v/>
      </c>
      <c r="S348" s="69">
        <f>IF($J348="","",IFERROR(INDEX(B!$K$2:$K$61,MATCH($J348,B!$E$2:$E$61,0))&amp;"",""))</f>
        <v/>
      </c>
      <c r="T348" s="69">
        <f>IF($J348="","",IFERROR(INDEX(B!$L$2:$L$61,MATCH($J348,B!$E$2:$E$61,0))&amp;"",""))</f>
        <v/>
      </c>
      <c r="U348" s="20" t="n"/>
      <c r="V348" s="70">
        <f>IF($J348="","",IFERROR(INDEX(B!$M$2:$M$61,MATCH($J348,B!$E$2:$E$61,0))&amp;"",""))</f>
        <v/>
      </c>
      <c r="W348" s="71">
        <f>IF(I348="","",IFERROR(MID(I348,FIND("/d/",I348)+3,FIND("/edit",I348)-FIND("/d/",I348)-3),I348))</f>
        <v/>
      </c>
      <c r="X348" s="71">
        <f>IF($J348="","",IFERROR(INDEX(B!$C$2:$C$61,MATCH($J348,B!$E$2:$E$61,0))&amp;"",""))</f>
        <v/>
      </c>
      <c r="Y348" s="20" t="n"/>
      <c r="Z348" s="72">
        <f>IF($J348="",FALSE,ISNUMBER(SEARCH("scout",$K348)))</f>
        <v/>
      </c>
      <c r="AA348" s="72">
        <f>IF($J348="",FALSE,IFERROR(INDEX(B!$N$2:$N$61,MATCH($J348,B!$E$2:$E$61,0))="Sim",FALSE))</f>
        <v/>
      </c>
      <c r="AB348" s="72">
        <f>IF($J348="",FALSE,LEFT($X348,2)="XX")</f>
        <v/>
      </c>
      <c r="AC348" s="72">
        <f>IF($J348="",FALSE,IFERROR(INDEX(B!$P$2:$P$61,MATCH($J348,B!$E$2:$E$61,0))="Sim",FALSE))</f>
        <v/>
      </c>
      <c r="AD348" s="20" t="n"/>
      <c r="AE348" s="52">
        <f>IF(H348="","",HOUR(H348))</f>
        <v/>
      </c>
      <c r="AF348" s="52" t="n"/>
    </row>
    <row r="349" ht="19.5" customHeight="1" s="58">
      <c r="A349" s="62">
        <f>IF(G349="","",IF(G349=G348,"",COUNTIF($G$3:$G$976,G349)))</f>
        <v/>
      </c>
      <c r="B349" s="20" t="n"/>
      <c r="C349" s="63">
        <f>IF(G349="","",DAY(G349))</f>
        <v/>
      </c>
      <c r="D349" s="63">
        <f>IF(G349="","",MONTH(G349))</f>
        <v/>
      </c>
      <c r="E349" s="63">
        <f>IF(G349="","",YEAR(G349))</f>
        <v/>
      </c>
      <c r="F349" s="33">
        <f>IF(G349="","",CHOOSE(MONTH(G349),"Janeiro","Fevereiro","Março","Abril","Maio","Junho","Julho","Agosto","Setembro","Outubro","Novembro","Dezembro"))</f>
        <v/>
      </c>
      <c r="G349" s="64" t="n">
        <v>46063</v>
      </c>
      <c r="H349" s="65" t="n">
        <v>0.1882986111111111</v>
      </c>
      <c r="I349" s="66" t="inlineStr">
        <is>
          <t>https://docs.google.com/spreadsheets/d/1ZiCGoPjLCjuYvujDTXK9Ixbth3tekiLtFBzBrGjPCr4/edit?gid=0#gid=0</t>
        </is>
      </c>
      <c r="J349" s="67" t="inlineStr">
        <is>
          <t>Taxa de Limpeza - [TXL]</t>
        </is>
      </c>
      <c r="K349" s="67" t="inlineStr"/>
      <c r="L349" s="68" t="b">
        <v>0</v>
      </c>
      <c r="M349" s="20" t="n"/>
      <c r="N349" s="69">
        <f>IF($J349="","",IFERROR(INDEX(B!$F$2:$F$61,MATCH($J349,B!$E$2:$E$61,0))&amp;"",""))</f>
        <v/>
      </c>
      <c r="O349" s="69">
        <f>IF($J349="","",IFERROR(INDEX(B!$G$2:$G$61,MATCH($J349,B!$E$2:$E$61,0))&amp;"",""))</f>
        <v/>
      </c>
      <c r="P349" s="69">
        <f>IF($J349="","",IFERROR(INDEX(B!$H$2:$H$61,MATCH($J349,B!$E$2:$E$61,0))&amp;"",""))</f>
        <v/>
      </c>
      <c r="Q349" s="69">
        <f>IF($J349="","",IFERROR(INDEX(B!$I$2:$I$61,MATCH($J349,B!$E$2:$E$61,0))&amp;"",""))</f>
        <v/>
      </c>
      <c r="R349" s="69">
        <f>IF($J349="","",IFERROR(INDEX(B!$J$2:$J$61,MATCH($J349,B!$E$2:$E$61,0))&amp;"",""))</f>
        <v/>
      </c>
      <c r="S349" s="69">
        <f>IF($J349="","",IFERROR(INDEX(B!$K$2:$K$61,MATCH($J349,B!$E$2:$E$61,0))&amp;"",""))</f>
        <v/>
      </c>
      <c r="T349" s="69">
        <f>IF($J349="","",IFERROR(INDEX(B!$L$2:$L$61,MATCH($J349,B!$E$2:$E$61,0))&amp;"",""))</f>
        <v/>
      </c>
      <c r="U349" s="20" t="n"/>
      <c r="V349" s="70">
        <f>IF($J349="","",IFERROR(INDEX(B!$M$2:$M$61,MATCH($J349,B!$E$2:$E$61,0))&amp;"",""))</f>
        <v/>
      </c>
      <c r="W349" s="71">
        <f>IF(I349="","",IFERROR(MID(I349,FIND("/d/",I349)+3,FIND("/edit",I349)-FIND("/d/",I349)-3),I349))</f>
        <v/>
      </c>
      <c r="X349" s="71">
        <f>IF($J349="","",IFERROR(INDEX(B!$C$2:$C$61,MATCH($J349,B!$E$2:$E$61,0))&amp;"",""))</f>
        <v/>
      </c>
      <c r="Y349" s="20" t="n"/>
      <c r="Z349" s="72">
        <f>IF($J349="",FALSE,ISNUMBER(SEARCH("scout",$K349)))</f>
        <v/>
      </c>
      <c r="AA349" s="72">
        <f>IF($J349="",FALSE,IFERROR(INDEX(B!$N$2:$N$61,MATCH($J349,B!$E$2:$E$61,0))="Sim",FALSE))</f>
        <v/>
      </c>
      <c r="AB349" s="72">
        <f>IF($J349="",FALSE,LEFT($X349,2)="XX")</f>
        <v/>
      </c>
      <c r="AC349" s="72">
        <f>IF($J349="",FALSE,IFERROR(INDEX(B!$P$2:$P$61,MATCH($J349,B!$E$2:$E$61,0))="Sim",FALSE))</f>
        <v/>
      </c>
      <c r="AD349" s="20" t="n"/>
      <c r="AE349" s="52">
        <f>IF(H349="","",HOUR(H349))</f>
        <v/>
      </c>
      <c r="AF349" s="52" t="n"/>
    </row>
    <row r="350" ht="19.5" customHeight="1" s="58">
      <c r="A350" s="62">
        <f>IF(G350="","",IF(G350=G349,"",COUNTIF($G$3:$G$976,G350)))</f>
        <v/>
      </c>
      <c r="B350" s="20" t="n"/>
      <c r="C350" s="63">
        <f>IF(G350="","",DAY(G350))</f>
        <v/>
      </c>
      <c r="D350" s="63">
        <f>IF(G350="","",MONTH(G350))</f>
        <v/>
      </c>
      <c r="E350" s="63">
        <f>IF(G350="","",YEAR(G350))</f>
        <v/>
      </c>
      <c r="F350" s="33">
        <f>IF(G350="","",CHOOSE(MONTH(G350),"Janeiro","Fevereiro","Março","Abril","Maio","Junho","Julho","Agosto","Setembro","Outubro","Novembro","Dezembro"))</f>
        <v/>
      </c>
      <c r="G350" s="64" t="n">
        <v>46063</v>
      </c>
      <c r="H350" s="65" t="n">
        <v>0.1962962962962963</v>
      </c>
      <c r="I350" s="66" t="inlineStr">
        <is>
          <t>https://docs.google.com/spreadsheets/d/1ZiCGoPjLCjuYvujDTXK9Ixbth3tekiLtFBzBrGjPCr4/edit?gid=0#gid=0</t>
        </is>
      </c>
      <c r="J350" s="67" t="inlineStr">
        <is>
          <t>Overpaid, Não excede o limite, Sem comprovante - [OPNN]</t>
        </is>
      </c>
      <c r="K350" s="67" t="inlineStr"/>
      <c r="L350" s="68" t="b">
        <v>0</v>
      </c>
      <c r="M350" s="20" t="n"/>
      <c r="N350" s="69">
        <f>IF($J350="","",IFERROR(INDEX(B!$F$2:$F$61,MATCH($J350,B!$E$2:$E$61,0))&amp;"",""))</f>
        <v/>
      </c>
      <c r="O350" s="69">
        <f>IF($J350="","",IFERROR(INDEX(B!$G$2:$G$61,MATCH($J350,B!$E$2:$E$61,0))&amp;"",""))</f>
        <v/>
      </c>
      <c r="P350" s="69">
        <f>IF($J350="","",IFERROR(INDEX(B!$H$2:$H$61,MATCH($J350,B!$E$2:$E$61,0))&amp;"",""))</f>
        <v/>
      </c>
      <c r="Q350" s="69">
        <f>IF($J350="","",IFERROR(INDEX(B!$I$2:$I$61,MATCH($J350,B!$E$2:$E$61,0))&amp;"",""))</f>
        <v/>
      </c>
      <c r="R350" s="69">
        <f>IF($J350="","",IFERROR(INDEX(B!$J$2:$J$61,MATCH($J350,B!$E$2:$E$61,0))&amp;"",""))</f>
        <v/>
      </c>
      <c r="S350" s="69">
        <f>IF($J350="","",IFERROR(INDEX(B!$K$2:$K$61,MATCH($J350,B!$E$2:$E$61,0))&amp;"",""))</f>
        <v/>
      </c>
      <c r="T350" s="69">
        <f>IF($J350="","",IFERROR(INDEX(B!$L$2:$L$61,MATCH($J350,B!$E$2:$E$61,0))&amp;"",""))</f>
        <v/>
      </c>
      <c r="U350" s="20" t="n"/>
      <c r="V350" s="70">
        <f>IF($J350="","",IFERROR(INDEX(B!$M$2:$M$61,MATCH($J350,B!$E$2:$E$61,0))&amp;"",""))</f>
        <v/>
      </c>
      <c r="W350" s="71">
        <f>IF(I350="","",IFERROR(MID(I350,FIND("/d/",I350)+3,FIND("/edit",I350)-FIND("/d/",I350)-3),I350))</f>
        <v/>
      </c>
      <c r="X350" s="71">
        <f>IF($J350="","",IFERROR(INDEX(B!$C$2:$C$61,MATCH($J350,B!$E$2:$E$61,0))&amp;"",""))</f>
        <v/>
      </c>
      <c r="Y350" s="20" t="n"/>
      <c r="Z350" s="72">
        <f>IF($J350="",FALSE,ISNUMBER(SEARCH("scout",$K350)))</f>
        <v/>
      </c>
      <c r="AA350" s="72">
        <f>IF($J350="",FALSE,IFERROR(INDEX(B!$N$2:$N$61,MATCH($J350,B!$E$2:$E$61,0))="Sim",FALSE))</f>
        <v/>
      </c>
      <c r="AB350" s="72">
        <f>IF($J350="",FALSE,LEFT($X350,2)="XX")</f>
        <v/>
      </c>
      <c r="AC350" s="72">
        <f>IF($J350="",FALSE,IFERROR(INDEX(B!$P$2:$P$61,MATCH($J350,B!$E$2:$E$61,0))="Sim",FALSE))</f>
        <v/>
      </c>
      <c r="AD350" s="20" t="n"/>
      <c r="AE350" s="52">
        <f>IF(H350="","",HOUR(H350))</f>
        <v/>
      </c>
      <c r="AF350" s="52" t="n"/>
    </row>
    <row r="351" ht="19.5" customHeight="1" s="58">
      <c r="A351" s="62">
        <f>IF(G351="","",IF(G351=G350,"",COUNTIF($G$3:$G$976,G351)))</f>
        <v/>
      </c>
      <c r="B351" s="20" t="n"/>
      <c r="C351" s="63">
        <f>IF(G351="","",DAY(G351))</f>
        <v/>
      </c>
      <c r="D351" s="63">
        <f>IF(G351="","",MONTH(G351))</f>
        <v/>
      </c>
      <c r="E351" s="63">
        <f>IF(G351="","",YEAR(G351))</f>
        <v/>
      </c>
      <c r="F351" s="33">
        <f>IF(G351="","",CHOOSE(MONTH(G351),"Janeiro","Fevereiro","Março","Abril","Maio","Junho","Julho","Agosto","Setembro","Outubro","Novembro","Dezembro"))</f>
        <v/>
      </c>
      <c r="G351" s="64" t="n">
        <v>46063</v>
      </c>
      <c r="H351" s="65" t="n">
        <v>0.1999768518518519</v>
      </c>
      <c r="I351" s="66" t="inlineStr">
        <is>
          <t>https://docs.google.com/spreadsheets/d/1ZiCGoPjLCjuYvujDTXK9Ixbth3tekiLtFBzBrGjPCr4/edit?gid=0#gid=0</t>
        </is>
      </c>
      <c r="J351" s="67" t="inlineStr">
        <is>
          <t>Transferência de LOB (Geral não especificado) - [TI]</t>
        </is>
      </c>
      <c r="K351" s="67" t="inlineStr"/>
      <c r="L351" s="68" t="b">
        <v>0</v>
      </c>
      <c r="M351" s="20" t="n"/>
      <c r="N351" s="69">
        <f>IF($J351="","",IFERROR(INDEX(B!$F$2:$F$61,MATCH($J351,B!$E$2:$E$61,0))&amp;"",""))</f>
        <v/>
      </c>
      <c r="O351" s="69">
        <f>IF($J351="","",IFERROR(INDEX(B!$G$2:$G$61,MATCH($J351,B!$E$2:$E$61,0))&amp;"",""))</f>
        <v/>
      </c>
      <c r="P351" s="69">
        <f>IF($J351="","",IFERROR(INDEX(B!$H$2:$H$61,MATCH($J351,B!$E$2:$E$61,0))&amp;"",""))</f>
        <v/>
      </c>
      <c r="Q351" s="69">
        <f>IF($J351="","",IFERROR(INDEX(B!$I$2:$I$61,MATCH($J351,B!$E$2:$E$61,0))&amp;"",""))</f>
        <v/>
      </c>
      <c r="R351" s="69">
        <f>IF($J351="","",IFERROR(INDEX(B!$J$2:$J$61,MATCH($J351,B!$E$2:$E$61,0))&amp;"",""))</f>
        <v/>
      </c>
      <c r="S351" s="69">
        <f>IF($J351="","",IFERROR(INDEX(B!$K$2:$K$61,MATCH($J351,B!$E$2:$E$61,0))&amp;"",""))</f>
        <v/>
      </c>
      <c r="T351" s="69">
        <f>IF($J351="","",IFERROR(INDEX(B!$L$2:$L$61,MATCH($J351,B!$E$2:$E$61,0))&amp;"",""))</f>
        <v/>
      </c>
      <c r="U351" s="20" t="n"/>
      <c r="V351" s="70">
        <f>IF($J351="","",IFERROR(INDEX(B!$M$2:$M$61,MATCH($J351,B!$E$2:$E$61,0))&amp;"",""))</f>
        <v/>
      </c>
      <c r="W351" s="71">
        <f>IF(I351="","",IFERROR(MID(I351,FIND("/d/",I351)+3,FIND("/edit",I351)-FIND("/d/",I351)-3),I351))</f>
        <v/>
      </c>
      <c r="X351" s="71">
        <f>IF($J351="","",IFERROR(INDEX(B!$C$2:$C$61,MATCH($J351,B!$E$2:$E$61,0))&amp;"",""))</f>
        <v/>
      </c>
      <c r="Y351" s="20" t="n"/>
      <c r="Z351" s="72">
        <f>IF($J351="",FALSE,ISNUMBER(SEARCH("scout",$K351)))</f>
        <v/>
      </c>
      <c r="AA351" s="72">
        <f>IF($J351="",FALSE,IFERROR(INDEX(B!$N$2:$N$61,MATCH($J351,B!$E$2:$E$61,0))="Sim",FALSE))</f>
        <v/>
      </c>
      <c r="AB351" s="72">
        <f>IF($J351="",FALSE,LEFT($X351,2)="XX")</f>
        <v/>
      </c>
      <c r="AC351" s="72">
        <f>IF($J351="",FALSE,IFERROR(INDEX(B!$P$2:$P$61,MATCH($J351,B!$E$2:$E$61,0))="Sim",FALSE))</f>
        <v/>
      </c>
      <c r="AD351" s="20" t="n"/>
      <c r="AE351" s="52">
        <f>IF(H351="","",HOUR(H351))</f>
        <v/>
      </c>
      <c r="AF351" s="52" t="n"/>
    </row>
    <row r="352" ht="19.5" customHeight="1" s="58">
      <c r="A352" s="62">
        <f>IF(G352="","",IF(G352=G351,"",COUNTIF($G$3:$G$976,G352)))</f>
        <v/>
      </c>
      <c r="B352" s="20" t="n"/>
      <c r="C352" s="63">
        <f>IF(G352="","",DAY(G352))</f>
        <v/>
      </c>
      <c r="D352" s="63">
        <f>IF(G352="","",MONTH(G352))</f>
        <v/>
      </c>
      <c r="E352" s="63">
        <f>IF(G352="","",YEAR(G352))</f>
        <v/>
      </c>
      <c r="F352" s="33">
        <f>IF(G352="","",CHOOSE(MONTH(G352),"Janeiro","Fevereiro","Março","Abril","Maio","Junho","Julho","Agosto","Setembro","Outubro","Novembro","Dezembro"))</f>
        <v/>
      </c>
      <c r="G352" s="64" t="n">
        <v>46063</v>
      </c>
      <c r="H352" s="65" t="n">
        <v>0.2054513888888889</v>
      </c>
      <c r="I352" s="66" t="inlineStr">
        <is>
          <t>https://docs.google.com/spreadsheets/d/1ZiCGoPjLCjuYvujDTXK9Ixbth3tekiLtFBzBrGjPCr4/edit?gid=0#gid=0</t>
        </is>
      </c>
      <c r="J352" s="67" t="inlineStr">
        <is>
          <t>Pushback (Agradecimento) - [XXA]</t>
        </is>
      </c>
      <c r="K352" s="67" t="inlineStr">
        <is>
          <t>Scout</t>
        </is>
      </c>
      <c r="L352" s="68" t="b">
        <v>0</v>
      </c>
      <c r="M352" s="20" t="n"/>
      <c r="N352" s="69">
        <f>IF($J352="","",IFERROR(INDEX(B!$F$2:$F$61,MATCH($J352,B!$E$2:$E$61,0))&amp;"",""))</f>
        <v/>
      </c>
      <c r="O352" s="69">
        <f>IF($J352="","",IFERROR(INDEX(B!$G$2:$G$61,MATCH($J352,B!$E$2:$E$61,0))&amp;"",""))</f>
        <v/>
      </c>
      <c r="P352" s="69">
        <f>IF($J352="","",IFERROR(INDEX(B!$H$2:$H$61,MATCH($J352,B!$E$2:$E$61,0))&amp;"",""))</f>
        <v/>
      </c>
      <c r="Q352" s="69">
        <f>IF($J352="","",IFERROR(INDEX(B!$I$2:$I$61,MATCH($J352,B!$E$2:$E$61,0))&amp;"",""))</f>
        <v/>
      </c>
      <c r="R352" s="69">
        <f>IF($J352="","",IFERROR(INDEX(B!$J$2:$J$61,MATCH($J352,B!$E$2:$E$61,0))&amp;"",""))</f>
        <v/>
      </c>
      <c r="S352" s="69">
        <f>IF($J352="","",IFERROR(INDEX(B!$K$2:$K$61,MATCH($J352,B!$E$2:$E$61,0))&amp;"",""))</f>
        <v/>
      </c>
      <c r="T352" s="69">
        <f>IF($J352="","",IFERROR(INDEX(B!$L$2:$L$61,MATCH($J352,B!$E$2:$E$61,0))&amp;"",""))</f>
        <v/>
      </c>
      <c r="U352" s="20" t="n"/>
      <c r="V352" s="70">
        <f>IF($J352="","",IFERROR(INDEX(B!$M$2:$M$61,MATCH($J352,B!$E$2:$E$61,0))&amp;"",""))</f>
        <v/>
      </c>
      <c r="W352" s="71">
        <f>IF(I352="","",IFERROR(MID(I352,FIND("/d/",I352)+3,FIND("/edit",I352)-FIND("/d/",I352)-3),I352))</f>
        <v/>
      </c>
      <c r="X352" s="71">
        <f>IF($J352="","",IFERROR(INDEX(B!$C$2:$C$61,MATCH($J352,B!$E$2:$E$61,0))&amp;"",""))</f>
        <v/>
      </c>
      <c r="Y352" s="20" t="n"/>
      <c r="Z352" s="72">
        <f>IF($J352="",FALSE,ISNUMBER(SEARCH("scout",$K352)))</f>
        <v/>
      </c>
      <c r="AA352" s="72">
        <f>IF($J352="",FALSE,IFERROR(INDEX(B!$N$2:$N$61,MATCH($J352,B!$E$2:$E$61,0))="Sim",FALSE))</f>
        <v/>
      </c>
      <c r="AB352" s="72">
        <f>IF($J352="",FALSE,LEFT($X352,2)="XX")</f>
        <v/>
      </c>
      <c r="AC352" s="72">
        <f>IF($J352="",FALSE,IFERROR(INDEX(B!$P$2:$P$61,MATCH($J352,B!$E$2:$E$61,0))="Sim",FALSE))</f>
        <v/>
      </c>
      <c r="AD352" s="20" t="n"/>
      <c r="AE352" s="52">
        <f>IF(H352="","",HOUR(H352))</f>
        <v/>
      </c>
      <c r="AF352" s="52" t="n"/>
    </row>
    <row r="353" ht="19.5" customHeight="1" s="58">
      <c r="A353" s="62">
        <f>IF(G353="","",IF(G353=G352,"",COUNTIF($G$3:$G$976,G353)))</f>
        <v/>
      </c>
      <c r="B353" s="20" t="n"/>
      <c r="C353" s="63">
        <f>IF(G353="","",DAY(G353))</f>
        <v/>
      </c>
      <c r="D353" s="63">
        <f>IF(G353="","",MONTH(G353))</f>
        <v/>
      </c>
      <c r="E353" s="63">
        <f>IF(G353="","",YEAR(G353))</f>
        <v/>
      </c>
      <c r="F353" s="33">
        <f>IF(G353="","",CHOOSE(MONTH(G353),"Janeiro","Fevereiro","Março","Abril","Maio","Junho","Julho","Agosto","Setembro","Outubro","Novembro","Dezembro"))</f>
        <v/>
      </c>
      <c r="G353" s="64" t="n">
        <v>46063</v>
      </c>
      <c r="H353" s="65" t="n">
        <v>0.2059953703703704</v>
      </c>
      <c r="I353" s="66" t="inlineStr">
        <is>
          <t>https://docs.google.com/spreadsheets/d/1ZiCGoPjLCjuYvujDTXK9Ixbth3tekiLtFBzBrGjPCr4/edit?gid=0#gid=0</t>
        </is>
      </c>
      <c r="J353" s="67" t="inlineStr">
        <is>
          <t>Pushback - [XX]</t>
        </is>
      </c>
      <c r="K353" s="67" t="inlineStr"/>
      <c r="L353" s="68" t="b">
        <v>0</v>
      </c>
      <c r="M353" s="20" t="n"/>
      <c r="N353" s="69">
        <f>IF($J353="","",IFERROR(INDEX(B!$F$2:$F$61,MATCH($J353,B!$E$2:$E$61,0))&amp;"",""))</f>
        <v/>
      </c>
      <c r="O353" s="69">
        <f>IF($J353="","",IFERROR(INDEX(B!$G$2:$G$61,MATCH($J353,B!$E$2:$E$61,0))&amp;"",""))</f>
        <v/>
      </c>
      <c r="P353" s="69">
        <f>IF($J353="","",IFERROR(INDEX(B!$H$2:$H$61,MATCH($J353,B!$E$2:$E$61,0))&amp;"",""))</f>
        <v/>
      </c>
      <c r="Q353" s="69">
        <f>IF($J353="","",IFERROR(INDEX(B!$I$2:$I$61,MATCH($J353,B!$E$2:$E$61,0))&amp;"",""))</f>
        <v/>
      </c>
      <c r="R353" s="69">
        <f>IF($J353="","",IFERROR(INDEX(B!$J$2:$J$61,MATCH($J353,B!$E$2:$E$61,0))&amp;"",""))</f>
        <v/>
      </c>
      <c r="S353" s="69">
        <f>IF($J353="","",IFERROR(INDEX(B!$K$2:$K$61,MATCH($J353,B!$E$2:$E$61,0))&amp;"",""))</f>
        <v/>
      </c>
      <c r="T353" s="69">
        <f>IF($J353="","",IFERROR(INDEX(B!$L$2:$L$61,MATCH($J353,B!$E$2:$E$61,0))&amp;"",""))</f>
        <v/>
      </c>
      <c r="U353" s="20" t="n"/>
      <c r="V353" s="70">
        <f>IF($J353="","",IFERROR(INDEX(B!$M$2:$M$61,MATCH($J353,B!$E$2:$E$61,0))&amp;"",""))</f>
        <v/>
      </c>
      <c r="W353" s="71">
        <f>IF(I353="","",IFERROR(MID(I353,FIND("/d/",I353)+3,FIND("/edit",I353)-FIND("/d/",I353)-3),I353))</f>
        <v/>
      </c>
      <c r="X353" s="71">
        <f>IF($J353="","",IFERROR(INDEX(B!$C$2:$C$61,MATCH($J353,B!$E$2:$E$61,0))&amp;"",""))</f>
        <v/>
      </c>
      <c r="Y353" s="20" t="n"/>
      <c r="Z353" s="72">
        <f>IF($J353="",FALSE,ISNUMBER(SEARCH("scout",$K353)))</f>
        <v/>
      </c>
      <c r="AA353" s="72">
        <f>IF($J353="",FALSE,IFERROR(INDEX(B!$N$2:$N$61,MATCH($J353,B!$E$2:$E$61,0))="Sim",FALSE))</f>
        <v/>
      </c>
      <c r="AB353" s="72">
        <f>IF($J353="",FALSE,LEFT($X353,2)="XX")</f>
        <v/>
      </c>
      <c r="AC353" s="72">
        <f>IF($J353="",FALSE,IFERROR(INDEX(B!$P$2:$P$61,MATCH($J353,B!$E$2:$E$61,0))="Sim",FALSE))</f>
        <v/>
      </c>
      <c r="AD353" s="20" t="n"/>
      <c r="AE353" s="52">
        <f>IF(H353="","",HOUR(H353))</f>
        <v/>
      </c>
      <c r="AF353" s="52" t="n"/>
    </row>
    <row r="354" ht="19.5" customHeight="1" s="58">
      <c r="A354" s="62">
        <f>IF(G354="","",IF(G354=G353,"",COUNTIF($G$3:$G$976,G354)))</f>
        <v/>
      </c>
      <c r="B354" s="20" t="n"/>
      <c r="C354" s="63">
        <f>IF(G354="","",DAY(G354))</f>
        <v/>
      </c>
      <c r="D354" s="63">
        <f>IF(G354="","",MONTH(G354))</f>
        <v/>
      </c>
      <c r="E354" s="63">
        <f>IF(G354="","",YEAR(G354))</f>
        <v/>
      </c>
      <c r="F354" s="33">
        <f>IF(G354="","",CHOOSE(MONTH(G354),"Janeiro","Fevereiro","Março","Abril","Maio","Junho","Julho","Agosto","Setembro","Outubro","Novembro","Dezembro"))</f>
        <v/>
      </c>
      <c r="G354" s="64" t="n">
        <v>46063</v>
      </c>
      <c r="H354" s="65" t="n">
        <v>0.2101388888888889</v>
      </c>
      <c r="I354" s="66" t="inlineStr">
        <is>
          <t>https://docs.google.com/spreadsheets/d/1ZiCGoPjLCjuYvujDTXK9Ixbth3tekiLtFBzBrGjPCr4/edit?gid=0#gid=0</t>
        </is>
      </c>
      <c r="J354" s="67" t="inlineStr">
        <is>
          <t>Outros Valores Retidos (Pedágio, Cartão, Taxa de Cancelamento...) - [OTV]</t>
        </is>
      </c>
      <c r="K354" s="67" t="inlineStr"/>
      <c r="L354" s="68" t="b">
        <v>0</v>
      </c>
      <c r="M354" s="20" t="n"/>
      <c r="N354" s="69">
        <f>IF($J354="","",IFERROR(INDEX(B!$F$2:$F$61,MATCH($J354,B!$E$2:$E$61,0))&amp;"",""))</f>
        <v/>
      </c>
      <c r="O354" s="69">
        <f>IF($J354="","",IFERROR(INDEX(B!$G$2:$G$61,MATCH($J354,B!$E$2:$E$61,0))&amp;"",""))</f>
        <v/>
      </c>
      <c r="P354" s="69">
        <f>IF($J354="","",IFERROR(INDEX(B!$H$2:$H$61,MATCH($J354,B!$E$2:$E$61,0))&amp;"",""))</f>
        <v/>
      </c>
      <c r="Q354" s="69">
        <f>IF($J354="","",IFERROR(INDEX(B!$I$2:$I$61,MATCH($J354,B!$E$2:$E$61,0))&amp;"",""))</f>
        <v/>
      </c>
      <c r="R354" s="69">
        <f>IF($J354="","",IFERROR(INDEX(B!$J$2:$J$61,MATCH($J354,B!$E$2:$E$61,0))&amp;"",""))</f>
        <v/>
      </c>
      <c r="S354" s="69">
        <f>IF($J354="","",IFERROR(INDEX(B!$K$2:$K$61,MATCH($J354,B!$E$2:$E$61,0))&amp;"",""))</f>
        <v/>
      </c>
      <c r="T354" s="69">
        <f>IF($J354="","",IFERROR(INDEX(B!$L$2:$L$61,MATCH($J354,B!$E$2:$E$61,0))&amp;"",""))</f>
        <v/>
      </c>
      <c r="U354" s="20" t="n"/>
      <c r="V354" s="70">
        <f>IF($J354="","",IFERROR(INDEX(B!$M$2:$M$61,MATCH($J354,B!$E$2:$E$61,0))&amp;"",""))</f>
        <v/>
      </c>
      <c r="W354" s="71">
        <f>IF(I354="","",IFERROR(MID(I354,FIND("/d/",I354)+3,FIND("/edit",I354)-FIND("/d/",I354)-3),I354))</f>
        <v/>
      </c>
      <c r="X354" s="71">
        <f>IF($J354="","",IFERROR(INDEX(B!$C$2:$C$61,MATCH($J354,B!$E$2:$E$61,0))&amp;"",""))</f>
        <v/>
      </c>
      <c r="Y354" s="20" t="n"/>
      <c r="Z354" s="72">
        <f>IF($J354="",FALSE,ISNUMBER(SEARCH("scout",$K354)))</f>
        <v/>
      </c>
      <c r="AA354" s="72">
        <f>IF($J354="",FALSE,IFERROR(INDEX(B!$N$2:$N$61,MATCH($J354,B!$E$2:$E$61,0))="Sim",FALSE))</f>
        <v/>
      </c>
      <c r="AB354" s="72">
        <f>IF($J354="",FALSE,LEFT($X354,2)="XX")</f>
        <v/>
      </c>
      <c r="AC354" s="72">
        <f>IF($J354="",FALSE,IFERROR(INDEX(B!$P$2:$P$61,MATCH($J354,B!$E$2:$E$61,0))="Sim",FALSE))</f>
        <v/>
      </c>
      <c r="AD354" s="20" t="n"/>
      <c r="AE354" s="52">
        <f>IF(H354="","",HOUR(H354))</f>
        <v/>
      </c>
      <c r="AF354" s="52" t="n"/>
    </row>
    <row r="355" ht="19.5" customHeight="1" s="58">
      <c r="A355" s="62">
        <f>IF(G355="","",IF(G355=G354,"",COUNTIF($G$3:$G$976,G355)))</f>
        <v/>
      </c>
      <c r="B355" s="20" t="n"/>
      <c r="C355" s="63">
        <f>IF(G355="","",DAY(G355))</f>
        <v/>
      </c>
      <c r="D355" s="63">
        <f>IF(G355="","",MONTH(G355))</f>
        <v/>
      </c>
      <c r="E355" s="63">
        <f>IF(G355="","",YEAR(G355))</f>
        <v/>
      </c>
      <c r="F355" s="33">
        <f>IF(G355="","",CHOOSE(MONTH(G355),"Janeiro","Fevereiro","Março","Abril","Maio","Junho","Julho","Agosto","Setembro","Outubro","Novembro","Dezembro"))</f>
        <v/>
      </c>
      <c r="G355" s="64" t="n">
        <v>46063</v>
      </c>
      <c r="H355" s="65" t="n">
        <v>0.2214351851851852</v>
      </c>
      <c r="I355" s="66" t="inlineStr">
        <is>
          <t>https://docs.google.com/spreadsheets/d/1ZiCGoPjLCjuYvujDTXK9Ixbth3tekiLtFBzBrGjPCr4/edit?gid=0#gid=0</t>
        </is>
      </c>
      <c r="J355" s="67" t="inlineStr">
        <is>
          <t>Overpaid, Excede o limite Com comprovante - [OPEC]</t>
        </is>
      </c>
      <c r="K355" s="67" t="inlineStr"/>
      <c r="L355" s="68" t="b">
        <v>0</v>
      </c>
      <c r="M355" s="20" t="n"/>
      <c r="N355" s="69">
        <f>IF($J355="","",IFERROR(INDEX(B!$F$2:$F$61,MATCH($J355,B!$E$2:$E$61,0))&amp;"",""))</f>
        <v/>
      </c>
      <c r="O355" s="69">
        <f>IF($J355="","",IFERROR(INDEX(B!$G$2:$G$61,MATCH($J355,B!$E$2:$E$61,0))&amp;"",""))</f>
        <v/>
      </c>
      <c r="P355" s="69">
        <f>IF($J355="","",IFERROR(INDEX(B!$H$2:$H$61,MATCH($J355,B!$E$2:$E$61,0))&amp;"",""))</f>
        <v/>
      </c>
      <c r="Q355" s="69">
        <f>IF($J355="","",IFERROR(INDEX(B!$I$2:$I$61,MATCH($J355,B!$E$2:$E$61,0))&amp;"",""))</f>
        <v/>
      </c>
      <c r="R355" s="69">
        <f>IF($J355="","",IFERROR(INDEX(B!$J$2:$J$61,MATCH($J355,B!$E$2:$E$61,0))&amp;"",""))</f>
        <v/>
      </c>
      <c r="S355" s="69">
        <f>IF($J355="","",IFERROR(INDEX(B!$K$2:$K$61,MATCH($J355,B!$E$2:$E$61,0))&amp;"",""))</f>
        <v/>
      </c>
      <c r="T355" s="69">
        <f>IF($J355="","",IFERROR(INDEX(B!$L$2:$L$61,MATCH($J355,B!$E$2:$E$61,0))&amp;"",""))</f>
        <v/>
      </c>
      <c r="U355" s="20" t="n"/>
      <c r="V355" s="70">
        <f>IF($J355="","",IFERROR(INDEX(B!$M$2:$M$61,MATCH($J355,B!$E$2:$E$61,0))&amp;"",""))</f>
        <v/>
      </c>
      <c r="W355" s="71">
        <f>IF(I355="","",IFERROR(MID(I355,FIND("/d/",I355)+3,FIND("/edit",I355)-FIND("/d/",I355)-3),I355))</f>
        <v/>
      </c>
      <c r="X355" s="71">
        <f>IF($J355="","",IFERROR(INDEX(B!$C$2:$C$61,MATCH($J355,B!$E$2:$E$61,0))&amp;"",""))</f>
        <v/>
      </c>
      <c r="Y355" s="20" t="n"/>
      <c r="Z355" s="72">
        <f>IF($J355="",FALSE,ISNUMBER(SEARCH("scout",$K355)))</f>
        <v/>
      </c>
      <c r="AA355" s="72">
        <f>IF($J355="",FALSE,IFERROR(INDEX(B!$N$2:$N$61,MATCH($J355,B!$E$2:$E$61,0))="Sim",FALSE))</f>
        <v/>
      </c>
      <c r="AB355" s="72">
        <f>IF($J355="",FALSE,LEFT($X355,2)="XX")</f>
        <v/>
      </c>
      <c r="AC355" s="72">
        <f>IF($J355="",FALSE,IFERROR(INDEX(B!$P$2:$P$61,MATCH($J355,B!$E$2:$E$61,0))="Sim",FALSE))</f>
        <v/>
      </c>
      <c r="AD355" s="20" t="n"/>
      <c r="AE355" s="52">
        <f>IF(H355="","",HOUR(H355))</f>
        <v/>
      </c>
      <c r="AF355" s="52" t="n"/>
    </row>
    <row r="356" ht="19.5" customHeight="1" s="58">
      <c r="A356" s="62">
        <f>IF(G356="","",IF(G356=G355,"",COUNTIF($G$3:$G$976,G356)))</f>
        <v/>
      </c>
      <c r="B356" s="20" t="n"/>
      <c r="C356" s="63">
        <f>IF(G356="","",DAY(G356))</f>
        <v/>
      </c>
      <c r="D356" s="63">
        <f>IF(G356="","",MONTH(G356))</f>
        <v/>
      </c>
      <c r="E356" s="63">
        <f>IF(G356="","",YEAR(G356))</f>
        <v/>
      </c>
      <c r="F356" s="33">
        <f>IF(G356="","",CHOOSE(MONTH(G356),"Janeiro","Fevereiro","Março","Abril","Maio","Junho","Julho","Agosto","Setembro","Outubro","Novembro","Dezembro"))</f>
        <v/>
      </c>
      <c r="G356" s="64" t="n">
        <v>46063</v>
      </c>
      <c r="H356" s="65" t="n">
        <v>0.222337962962963</v>
      </c>
      <c r="I356" s="66" t="inlineStr">
        <is>
          <t>https://docs.google.com/spreadsheets/d/1ZiCGoPjLCjuYvujDTXK9Ixbth3tekiLtFBzBrGjPCr4/edit?gid=0#gid=0</t>
        </is>
      </c>
      <c r="J356" s="67" t="inlineStr">
        <is>
          <t>Mais informações Gerais - [AA]</t>
        </is>
      </c>
      <c r="K356" s="67" t="inlineStr"/>
      <c r="L356" s="68" t="b">
        <v>0</v>
      </c>
      <c r="M356" s="20" t="n"/>
      <c r="N356" s="69">
        <f>IF($J356="","",IFERROR(INDEX(B!$F$2:$F$61,MATCH($J356,B!$E$2:$E$61,0))&amp;"",""))</f>
        <v/>
      </c>
      <c r="O356" s="69">
        <f>IF($J356="","",IFERROR(INDEX(B!$G$2:$G$61,MATCH($J356,B!$E$2:$E$61,0))&amp;"",""))</f>
        <v/>
      </c>
      <c r="P356" s="69">
        <f>IF($J356="","",IFERROR(INDEX(B!$H$2:$H$61,MATCH($J356,B!$E$2:$E$61,0))&amp;"",""))</f>
        <v/>
      </c>
      <c r="Q356" s="69">
        <f>IF($J356="","",IFERROR(INDEX(B!$I$2:$I$61,MATCH($J356,B!$E$2:$E$61,0))&amp;"",""))</f>
        <v/>
      </c>
      <c r="R356" s="69">
        <f>IF($J356="","",IFERROR(INDEX(B!$J$2:$J$61,MATCH($J356,B!$E$2:$E$61,0))&amp;"",""))</f>
        <v/>
      </c>
      <c r="S356" s="69">
        <f>IF($J356="","",IFERROR(INDEX(B!$K$2:$K$61,MATCH($J356,B!$E$2:$E$61,0))&amp;"",""))</f>
        <v/>
      </c>
      <c r="T356" s="69">
        <f>IF($J356="","",IFERROR(INDEX(B!$L$2:$L$61,MATCH($J356,B!$E$2:$E$61,0))&amp;"",""))</f>
        <v/>
      </c>
      <c r="U356" s="20" t="n"/>
      <c r="V356" s="70">
        <f>IF($J356="","",IFERROR(INDEX(B!$M$2:$M$61,MATCH($J356,B!$E$2:$E$61,0))&amp;"",""))</f>
        <v/>
      </c>
      <c r="W356" s="71">
        <f>IF(I356="","",IFERROR(MID(I356,FIND("/d/",I356)+3,FIND("/edit",I356)-FIND("/d/",I356)-3),I356))</f>
        <v/>
      </c>
      <c r="X356" s="71">
        <f>IF($J356="","",IFERROR(INDEX(B!$C$2:$C$61,MATCH($J356,B!$E$2:$E$61,0))&amp;"",""))</f>
        <v/>
      </c>
      <c r="Y356" s="20" t="n"/>
      <c r="Z356" s="72">
        <f>IF($J356="",FALSE,ISNUMBER(SEARCH("scout",$K356)))</f>
        <v/>
      </c>
      <c r="AA356" s="72">
        <f>IF($J356="",FALSE,IFERROR(INDEX(B!$N$2:$N$61,MATCH($J356,B!$E$2:$E$61,0))="Sim",FALSE))</f>
        <v/>
      </c>
      <c r="AB356" s="72">
        <f>IF($J356="",FALSE,LEFT($X356,2)="XX")</f>
        <v/>
      </c>
      <c r="AC356" s="72">
        <f>IF($J356="",FALSE,IFERROR(INDEX(B!$P$2:$P$61,MATCH($J356,B!$E$2:$E$61,0))="Sim",FALSE))</f>
        <v/>
      </c>
      <c r="AD356" s="20" t="n"/>
      <c r="AE356" s="52">
        <f>IF(H356="","",HOUR(H356))</f>
        <v/>
      </c>
      <c r="AF356" s="52" t="n"/>
    </row>
    <row r="357" ht="19.5" customHeight="1" s="58">
      <c r="A357" s="62">
        <f>IF(G357="","",IF(G357=G356,"",COUNTIF($G$3:$G$976,G357)))</f>
        <v/>
      </c>
      <c r="B357" s="20" t="n"/>
      <c r="C357" s="63">
        <f>IF(G357="","",DAY(G357))</f>
        <v/>
      </c>
      <c r="D357" s="63">
        <f>IF(G357="","",MONTH(G357))</f>
        <v/>
      </c>
      <c r="E357" s="63">
        <f>IF(G357="","",YEAR(G357))</f>
        <v/>
      </c>
      <c r="F357" s="33">
        <f>IF(G357="","",CHOOSE(MONTH(G357),"Janeiro","Fevereiro","Março","Abril","Maio","Junho","Julho","Agosto","Setembro","Outubro","Novembro","Dezembro"))</f>
        <v/>
      </c>
      <c r="G357" s="64" t="n">
        <v>46063</v>
      </c>
      <c r="H357" s="65" t="n">
        <v>0.2371759259259259</v>
      </c>
      <c r="I357" s="66" t="inlineStr">
        <is>
          <t>https://docs.google.com/spreadsheets/d/1ZiCGoPjLCjuYvujDTXK9Ixbth3tekiLtFBzBrGjPCr4/edit?gid=0#gid=0</t>
        </is>
      </c>
      <c r="J357" s="67" t="inlineStr">
        <is>
          <t>Transferência de LOB (Profissionalismo) - [TIPR]</t>
        </is>
      </c>
      <c r="K357" s="67" t="inlineStr"/>
      <c r="L357" s="68" t="b">
        <v>0</v>
      </c>
      <c r="M357" s="20" t="n"/>
      <c r="N357" s="69">
        <f>IF($J357="","",IFERROR(INDEX(B!$F$2:$F$61,MATCH($J357,B!$E$2:$E$61,0))&amp;"",""))</f>
        <v/>
      </c>
      <c r="O357" s="69">
        <f>IF($J357="","",IFERROR(INDEX(B!$G$2:$G$61,MATCH($J357,B!$E$2:$E$61,0))&amp;"",""))</f>
        <v/>
      </c>
      <c r="P357" s="69">
        <f>IF($J357="","",IFERROR(INDEX(B!$H$2:$H$61,MATCH($J357,B!$E$2:$E$61,0))&amp;"",""))</f>
        <v/>
      </c>
      <c r="Q357" s="69">
        <f>IF($J357="","",IFERROR(INDEX(B!$I$2:$I$61,MATCH($J357,B!$E$2:$E$61,0))&amp;"",""))</f>
        <v/>
      </c>
      <c r="R357" s="69">
        <f>IF($J357="","",IFERROR(INDEX(B!$J$2:$J$61,MATCH($J357,B!$E$2:$E$61,0))&amp;"",""))</f>
        <v/>
      </c>
      <c r="S357" s="69">
        <f>IF($J357="","",IFERROR(INDEX(B!$K$2:$K$61,MATCH($J357,B!$E$2:$E$61,0))&amp;"",""))</f>
        <v/>
      </c>
      <c r="T357" s="69">
        <f>IF($J357="","",IFERROR(INDEX(B!$L$2:$L$61,MATCH($J357,B!$E$2:$E$61,0))&amp;"",""))</f>
        <v/>
      </c>
      <c r="U357" s="20" t="n"/>
      <c r="V357" s="70">
        <f>IF($J357="","",IFERROR(INDEX(B!$M$2:$M$61,MATCH($J357,B!$E$2:$E$61,0))&amp;"",""))</f>
        <v/>
      </c>
      <c r="W357" s="71">
        <f>IF(I357="","",IFERROR(MID(I357,FIND("/d/",I357)+3,FIND("/edit",I357)-FIND("/d/",I357)-3),I357))</f>
        <v/>
      </c>
      <c r="X357" s="71">
        <f>IF($J357="","",IFERROR(INDEX(B!$C$2:$C$61,MATCH($J357,B!$E$2:$E$61,0))&amp;"",""))</f>
        <v/>
      </c>
      <c r="Y357" s="20" t="n"/>
      <c r="Z357" s="72">
        <f>IF($J357="",FALSE,ISNUMBER(SEARCH("scout",$K357)))</f>
        <v/>
      </c>
      <c r="AA357" s="72">
        <f>IF($J357="",FALSE,IFERROR(INDEX(B!$N$2:$N$61,MATCH($J357,B!$E$2:$E$61,0))="Sim",FALSE))</f>
        <v/>
      </c>
      <c r="AB357" s="72">
        <f>IF($J357="",FALSE,LEFT($X357,2)="XX")</f>
        <v/>
      </c>
      <c r="AC357" s="72">
        <f>IF($J357="",FALSE,IFERROR(INDEX(B!$P$2:$P$61,MATCH($J357,B!$E$2:$E$61,0))="Sim",FALSE))</f>
        <v/>
      </c>
      <c r="AD357" s="20" t="n"/>
      <c r="AE357" s="52">
        <f>IF(H357="","",HOUR(H357))</f>
        <v/>
      </c>
      <c r="AF357" s="52" t="n"/>
    </row>
    <row r="358" ht="19.5" customHeight="1" s="58">
      <c r="A358" s="62">
        <f>IF(G358="","",IF(G358=G357,"",COUNTIF($G$3:$G$976,G358)))</f>
        <v/>
      </c>
      <c r="B358" s="20" t="n"/>
      <c r="C358" s="63">
        <f>IF(G358="","",DAY(G358))</f>
        <v/>
      </c>
      <c r="D358" s="63">
        <f>IF(G358="","",MONTH(G358))</f>
        <v/>
      </c>
      <c r="E358" s="63">
        <f>IF(G358="","",YEAR(G358))</f>
        <v/>
      </c>
      <c r="F358" s="33">
        <f>IF(G358="","",CHOOSE(MONTH(G358),"Janeiro","Fevereiro","Março","Abril","Maio","Junho","Julho","Agosto","Setembro","Outubro","Novembro","Dezembro"))</f>
        <v/>
      </c>
      <c r="G358" s="64" t="n">
        <v>46064</v>
      </c>
      <c r="H358" s="65" t="n">
        <v>0.007743055555555556</v>
      </c>
      <c r="I358" s="66" t="inlineStr">
        <is>
          <t>https://docs.google.com/spreadsheets/d/1ZiCGoPjLCjuYvujDTXK9Ixbth3tekiLtFBzBrGjPCr4/edit?gid=0#gid=0</t>
        </is>
      </c>
      <c r="J358" s="67" t="inlineStr">
        <is>
          <t>Transferência de LOB (Geral não especificado) - [TI]</t>
        </is>
      </c>
      <c r="K358" s="67" t="inlineStr">
        <is>
          <t>Scout</t>
        </is>
      </c>
      <c r="L358" s="68" t="b">
        <v>0</v>
      </c>
      <c r="M358" s="20" t="n"/>
      <c r="N358" s="69">
        <f>IF($J358="","",IFERROR(INDEX(B!$F$2:$F$61,MATCH($J358,B!$E$2:$E$61,0))&amp;"",""))</f>
        <v/>
      </c>
      <c r="O358" s="69">
        <f>IF($J358="","",IFERROR(INDEX(B!$G$2:$G$61,MATCH($J358,B!$E$2:$E$61,0))&amp;"",""))</f>
        <v/>
      </c>
      <c r="P358" s="69">
        <f>IF($J358="","",IFERROR(INDEX(B!$H$2:$H$61,MATCH($J358,B!$E$2:$E$61,0))&amp;"",""))</f>
        <v/>
      </c>
      <c r="Q358" s="69">
        <f>IF($J358="","",IFERROR(INDEX(B!$I$2:$I$61,MATCH($J358,B!$E$2:$E$61,0))&amp;"",""))</f>
        <v/>
      </c>
      <c r="R358" s="69">
        <f>IF($J358="","",IFERROR(INDEX(B!$J$2:$J$61,MATCH($J358,B!$E$2:$E$61,0))&amp;"",""))</f>
        <v/>
      </c>
      <c r="S358" s="69">
        <f>IF($J358="","",IFERROR(INDEX(B!$K$2:$K$61,MATCH($J358,B!$E$2:$E$61,0))&amp;"",""))</f>
        <v/>
      </c>
      <c r="T358" s="69">
        <f>IF($J358="","",IFERROR(INDEX(B!$L$2:$L$61,MATCH($J358,B!$E$2:$E$61,0))&amp;"",""))</f>
        <v/>
      </c>
      <c r="U358" s="20" t="n"/>
      <c r="V358" s="70">
        <f>IF($J358="","",IFERROR(INDEX(B!$M$2:$M$61,MATCH($J358,B!$E$2:$E$61,0))&amp;"",""))</f>
        <v/>
      </c>
      <c r="W358" s="71">
        <f>IF(I358="","",IFERROR(MID(I358,FIND("/d/",I358)+3,FIND("/edit",I358)-FIND("/d/",I358)-3),I358))</f>
        <v/>
      </c>
      <c r="X358" s="71">
        <f>IF($J358="","",IFERROR(INDEX(B!$C$2:$C$61,MATCH($J358,B!$E$2:$E$61,0))&amp;"",""))</f>
        <v/>
      </c>
      <c r="Y358" s="20" t="n"/>
      <c r="Z358" s="72">
        <f>IF($J358="",FALSE,ISNUMBER(SEARCH("scout",$K358)))</f>
        <v/>
      </c>
      <c r="AA358" s="72">
        <f>IF($J358="",FALSE,IFERROR(INDEX(B!$N$2:$N$61,MATCH($J358,B!$E$2:$E$61,0))="Sim",FALSE))</f>
        <v/>
      </c>
      <c r="AB358" s="72">
        <f>IF($J358="",FALSE,LEFT($X358,2)="XX")</f>
        <v/>
      </c>
      <c r="AC358" s="72">
        <f>IF($J358="",FALSE,IFERROR(INDEX(B!$P$2:$P$61,MATCH($J358,B!$E$2:$E$61,0))="Sim",FALSE))</f>
        <v/>
      </c>
      <c r="AD358" s="20" t="n"/>
      <c r="AE358" s="52">
        <f>IF(H358="","",HOUR(H358))</f>
        <v/>
      </c>
      <c r="AF358" s="52" t="n"/>
    </row>
    <row r="359" ht="19.5" customHeight="1" s="58">
      <c r="A359" s="62">
        <f>IF(G359="","",IF(G359=G358,"",COUNTIF($G$3:$G$976,G359)))</f>
        <v/>
      </c>
      <c r="B359" s="20" t="n"/>
      <c r="C359" s="63">
        <f>IF(G359="","",DAY(G359))</f>
        <v/>
      </c>
      <c r="D359" s="63">
        <f>IF(G359="","",MONTH(G359))</f>
        <v/>
      </c>
      <c r="E359" s="63">
        <f>IF(G359="","",YEAR(G359))</f>
        <v/>
      </c>
      <c r="F359" s="33">
        <f>IF(G359="","",CHOOSE(MONTH(G359),"Janeiro","Fevereiro","Março","Abril","Maio","Junho","Julho","Agosto","Setembro","Outubro","Novembro","Dezembro"))</f>
        <v/>
      </c>
      <c r="G359" s="64" t="n">
        <v>46064</v>
      </c>
      <c r="H359" s="65" t="n">
        <v>0.01122685185185185</v>
      </c>
      <c r="I359" s="66" t="inlineStr">
        <is>
          <t>https://docs.google.com/spreadsheets/d/1ZiCGoPjLCjuYvujDTXK9Ixbth3tekiLtFBzBrGjPCr4/edit?gid=0#gid=0</t>
        </is>
      </c>
      <c r="J359" s="67" t="inlineStr">
        <is>
          <t>Taxa de Limpeza - [TXL]</t>
        </is>
      </c>
      <c r="K359" s="67" t="inlineStr">
        <is>
          <t>Scout</t>
        </is>
      </c>
      <c r="L359" s="68" t="b">
        <v>0</v>
      </c>
      <c r="M359" s="20" t="n"/>
      <c r="N359" s="69">
        <f>IF($J359="","",IFERROR(INDEX(B!$F$2:$F$61,MATCH($J359,B!$E$2:$E$61,0))&amp;"",""))</f>
        <v/>
      </c>
      <c r="O359" s="69">
        <f>IF($J359="","",IFERROR(INDEX(B!$G$2:$G$61,MATCH($J359,B!$E$2:$E$61,0))&amp;"",""))</f>
        <v/>
      </c>
      <c r="P359" s="69">
        <f>IF($J359="","",IFERROR(INDEX(B!$H$2:$H$61,MATCH($J359,B!$E$2:$E$61,0))&amp;"",""))</f>
        <v/>
      </c>
      <c r="Q359" s="69">
        <f>IF($J359="","",IFERROR(INDEX(B!$I$2:$I$61,MATCH($J359,B!$E$2:$E$61,0))&amp;"",""))</f>
        <v/>
      </c>
      <c r="R359" s="69">
        <f>IF($J359="","",IFERROR(INDEX(B!$J$2:$J$61,MATCH($J359,B!$E$2:$E$61,0))&amp;"",""))</f>
        <v/>
      </c>
      <c r="S359" s="69">
        <f>IF($J359="","",IFERROR(INDEX(B!$K$2:$K$61,MATCH($J359,B!$E$2:$E$61,0))&amp;"",""))</f>
        <v/>
      </c>
      <c r="T359" s="69">
        <f>IF($J359="","",IFERROR(INDEX(B!$L$2:$L$61,MATCH($J359,B!$E$2:$E$61,0))&amp;"",""))</f>
        <v/>
      </c>
      <c r="U359" s="20" t="n"/>
      <c r="V359" s="70">
        <f>IF($J359="","",IFERROR(INDEX(B!$M$2:$M$61,MATCH($J359,B!$E$2:$E$61,0))&amp;"",""))</f>
        <v/>
      </c>
      <c r="W359" s="71">
        <f>IF(I359="","",IFERROR(MID(I359,FIND("/d/",I359)+3,FIND("/edit",I359)-FIND("/d/",I359)-3),I359))</f>
        <v/>
      </c>
      <c r="X359" s="71">
        <f>IF($J359="","",IFERROR(INDEX(B!$C$2:$C$61,MATCH($J359,B!$E$2:$E$61,0))&amp;"",""))</f>
        <v/>
      </c>
      <c r="Y359" s="20" t="n"/>
      <c r="Z359" s="72">
        <f>IF($J359="",FALSE,ISNUMBER(SEARCH("scout",$K359)))</f>
        <v/>
      </c>
      <c r="AA359" s="72">
        <f>IF($J359="",FALSE,IFERROR(INDEX(B!$N$2:$N$61,MATCH($J359,B!$E$2:$E$61,0))="Sim",FALSE))</f>
        <v/>
      </c>
      <c r="AB359" s="72">
        <f>IF($J359="",FALSE,LEFT($X359,2)="XX")</f>
        <v/>
      </c>
      <c r="AC359" s="72">
        <f>IF($J359="",FALSE,IFERROR(INDEX(B!$P$2:$P$61,MATCH($J359,B!$E$2:$E$61,0))="Sim",FALSE))</f>
        <v/>
      </c>
      <c r="AD359" s="20" t="n"/>
      <c r="AE359" s="52">
        <f>IF(H359="","",HOUR(H359))</f>
        <v/>
      </c>
      <c r="AF359" s="52" t="n"/>
    </row>
    <row r="360" ht="19.5" customHeight="1" s="58">
      <c r="A360" s="62">
        <f>IF(G360="","",IF(G360=G359,"",COUNTIF($G$3:$G$976,G360)))</f>
        <v/>
      </c>
      <c r="B360" s="20" t="n"/>
      <c r="C360" s="63">
        <f>IF(G360="","",DAY(G360))</f>
        <v/>
      </c>
      <c r="D360" s="63">
        <f>IF(G360="","",MONTH(G360))</f>
        <v/>
      </c>
      <c r="E360" s="63">
        <f>IF(G360="","",YEAR(G360))</f>
        <v/>
      </c>
      <c r="F360" s="33">
        <f>IF(G360="","",CHOOSE(MONTH(G360),"Janeiro","Fevereiro","Março","Abril","Maio","Junho","Julho","Agosto","Setembro","Outubro","Novembro","Dezembro"))</f>
        <v/>
      </c>
      <c r="G360" s="64" t="n">
        <v>46064</v>
      </c>
      <c r="H360" s="65" t="n">
        <v>0.01165509259259259</v>
      </c>
      <c r="I360" s="66" t="inlineStr">
        <is>
          <t>https://docs.google.com/spreadsheets/d/1ZiCGoPjLCjuYvujDTXK9Ixbth3tekiLtFBzBrGjPCr4/edit?gid=0#gid=0</t>
        </is>
      </c>
      <c r="J360" s="67" t="inlineStr">
        <is>
          <t>Taxa de Cancelamento - [TXC]</t>
        </is>
      </c>
      <c r="K360" s="67" t="inlineStr">
        <is>
          <t>Scout</t>
        </is>
      </c>
      <c r="L360" s="68" t="b">
        <v>0</v>
      </c>
      <c r="M360" s="20" t="n"/>
      <c r="N360" s="69">
        <f>IF($J360="","",IFERROR(INDEX(B!$F$2:$F$61,MATCH($J360,B!$E$2:$E$61,0))&amp;"",""))</f>
        <v/>
      </c>
      <c r="O360" s="69">
        <f>IF($J360="","",IFERROR(INDEX(B!$G$2:$G$61,MATCH($J360,B!$E$2:$E$61,0))&amp;"",""))</f>
        <v/>
      </c>
      <c r="P360" s="69">
        <f>IF($J360="","",IFERROR(INDEX(B!$H$2:$H$61,MATCH($J360,B!$E$2:$E$61,0))&amp;"",""))</f>
        <v/>
      </c>
      <c r="Q360" s="69">
        <f>IF($J360="","",IFERROR(INDEX(B!$I$2:$I$61,MATCH($J360,B!$E$2:$E$61,0))&amp;"",""))</f>
        <v/>
      </c>
      <c r="R360" s="69">
        <f>IF($J360="","",IFERROR(INDEX(B!$J$2:$J$61,MATCH($J360,B!$E$2:$E$61,0))&amp;"",""))</f>
        <v/>
      </c>
      <c r="S360" s="69">
        <f>IF($J360="","",IFERROR(INDEX(B!$K$2:$K$61,MATCH($J360,B!$E$2:$E$61,0))&amp;"",""))</f>
        <v/>
      </c>
      <c r="T360" s="69">
        <f>IF($J360="","",IFERROR(INDEX(B!$L$2:$L$61,MATCH($J360,B!$E$2:$E$61,0))&amp;"",""))</f>
        <v/>
      </c>
      <c r="U360" s="20" t="n"/>
      <c r="V360" s="70">
        <f>IF($J360="","",IFERROR(INDEX(B!$M$2:$M$61,MATCH($J360,B!$E$2:$E$61,0))&amp;"",""))</f>
        <v/>
      </c>
      <c r="W360" s="71">
        <f>IF(I360="","",IFERROR(MID(I360,FIND("/d/",I360)+3,FIND("/edit",I360)-FIND("/d/",I360)-3),I360))</f>
        <v/>
      </c>
      <c r="X360" s="71">
        <f>IF($J360="","",IFERROR(INDEX(B!$C$2:$C$61,MATCH($J360,B!$E$2:$E$61,0))&amp;"",""))</f>
        <v/>
      </c>
      <c r="Y360" s="20" t="n"/>
      <c r="Z360" s="72">
        <f>IF($J360="",FALSE,ISNUMBER(SEARCH("scout",$K360)))</f>
        <v/>
      </c>
      <c r="AA360" s="72">
        <f>IF($J360="",FALSE,IFERROR(INDEX(B!$N$2:$N$61,MATCH($J360,B!$E$2:$E$61,0))="Sim",FALSE))</f>
        <v/>
      </c>
      <c r="AB360" s="72">
        <f>IF($J360="",FALSE,LEFT($X360,2)="XX")</f>
        <v/>
      </c>
      <c r="AC360" s="72">
        <f>IF($J360="",FALSE,IFERROR(INDEX(B!$P$2:$P$61,MATCH($J360,B!$E$2:$E$61,0))="Sim",FALSE))</f>
        <v/>
      </c>
      <c r="AD360" s="20" t="n"/>
      <c r="AE360" s="52">
        <f>IF(H360="","",HOUR(H360))</f>
        <v/>
      </c>
      <c r="AF360" s="52" t="n"/>
    </row>
    <row r="361" ht="19.5" customHeight="1" s="58">
      <c r="A361" s="62">
        <f>IF(G361="","",IF(G361=G360,"",COUNTIF($G$3:$G$976,G361)))</f>
        <v/>
      </c>
      <c r="B361" s="20" t="n"/>
      <c r="C361" s="63">
        <f>IF(G361="","",DAY(G361))</f>
        <v/>
      </c>
      <c r="D361" s="63">
        <f>IF(G361="","",MONTH(G361))</f>
        <v/>
      </c>
      <c r="E361" s="63">
        <f>IF(G361="","",YEAR(G361))</f>
        <v/>
      </c>
      <c r="F361" s="33">
        <f>IF(G361="","",CHOOSE(MONTH(G361),"Janeiro","Fevereiro","Março","Abril","Maio","Junho","Julho","Agosto","Setembro","Outubro","Novembro","Dezembro"))</f>
        <v/>
      </c>
      <c r="G361" s="64" t="n">
        <v>46064</v>
      </c>
      <c r="H361" s="65" t="n">
        <v>0.01200231481481481</v>
      </c>
      <c r="I361" s="66" t="inlineStr">
        <is>
          <t>https://docs.google.com/spreadsheets/d/1ZiCGoPjLCjuYvujDTXK9Ixbth3tekiLtFBzBrGjPCr4/edit?gid=0#gid=0</t>
        </is>
      </c>
      <c r="J361" s="67" t="inlineStr">
        <is>
          <t>Transferência de LOB (Lost Items) - [TILI]</t>
        </is>
      </c>
      <c r="K361" s="67" t="inlineStr"/>
      <c r="L361" s="68" t="b">
        <v>0</v>
      </c>
      <c r="M361" s="20" t="n"/>
      <c r="N361" s="69">
        <f>IF($J361="","",IFERROR(INDEX(B!$F$2:$F$61,MATCH($J361,B!$E$2:$E$61,0))&amp;"",""))</f>
        <v/>
      </c>
      <c r="O361" s="69">
        <f>IF($J361="","",IFERROR(INDEX(B!$G$2:$G$61,MATCH($J361,B!$E$2:$E$61,0))&amp;"",""))</f>
        <v/>
      </c>
      <c r="P361" s="69">
        <f>IF($J361="","",IFERROR(INDEX(B!$H$2:$H$61,MATCH($J361,B!$E$2:$E$61,0))&amp;"",""))</f>
        <v/>
      </c>
      <c r="Q361" s="69">
        <f>IF($J361="","",IFERROR(INDEX(B!$I$2:$I$61,MATCH($J361,B!$E$2:$E$61,0))&amp;"",""))</f>
        <v/>
      </c>
      <c r="R361" s="69">
        <f>IF($J361="","",IFERROR(INDEX(B!$J$2:$J$61,MATCH($J361,B!$E$2:$E$61,0))&amp;"",""))</f>
        <v/>
      </c>
      <c r="S361" s="69">
        <f>IF($J361="","",IFERROR(INDEX(B!$K$2:$K$61,MATCH($J361,B!$E$2:$E$61,0))&amp;"",""))</f>
        <v/>
      </c>
      <c r="T361" s="69">
        <f>IF($J361="","",IFERROR(INDEX(B!$L$2:$L$61,MATCH($J361,B!$E$2:$E$61,0))&amp;"",""))</f>
        <v/>
      </c>
      <c r="U361" s="20" t="n"/>
      <c r="V361" s="70">
        <f>IF($J361="","",IFERROR(INDEX(B!$M$2:$M$61,MATCH($J361,B!$E$2:$E$61,0))&amp;"",""))</f>
        <v/>
      </c>
      <c r="W361" s="71">
        <f>IF(I361="","",IFERROR(MID(I361,FIND("/d/",I361)+3,FIND("/edit",I361)-FIND("/d/",I361)-3),I361))</f>
        <v/>
      </c>
      <c r="X361" s="71">
        <f>IF($J361="","",IFERROR(INDEX(B!$C$2:$C$61,MATCH($J361,B!$E$2:$E$61,0))&amp;"",""))</f>
        <v/>
      </c>
      <c r="Y361" s="20" t="n"/>
      <c r="Z361" s="72">
        <f>IF($J361="",FALSE,ISNUMBER(SEARCH("scout",$K361)))</f>
        <v/>
      </c>
      <c r="AA361" s="72">
        <f>IF($J361="",FALSE,IFERROR(INDEX(B!$N$2:$N$61,MATCH($J361,B!$E$2:$E$61,0))="Sim",FALSE))</f>
        <v/>
      </c>
      <c r="AB361" s="72">
        <f>IF($J361="",FALSE,LEFT($X361,2)="XX")</f>
        <v/>
      </c>
      <c r="AC361" s="72">
        <f>IF($J361="",FALSE,IFERROR(INDEX(B!$P$2:$P$61,MATCH($J361,B!$E$2:$E$61,0))="Sim",FALSE))</f>
        <v/>
      </c>
      <c r="AD361" s="20" t="n"/>
      <c r="AE361" s="52">
        <f>IF(H361="","",HOUR(H361))</f>
        <v/>
      </c>
      <c r="AF361" s="52" t="n"/>
    </row>
    <row r="362" ht="19.5" customHeight="1" s="58">
      <c r="A362" s="62">
        <f>IF(G362="","",IF(G362=G361,"",COUNTIF($G$3:$G$976,G362)))</f>
        <v/>
      </c>
      <c r="B362" s="20" t="n"/>
      <c r="C362" s="63">
        <f>IF(G362="","",DAY(G362))</f>
        <v/>
      </c>
      <c r="D362" s="63">
        <f>IF(G362="","",MONTH(G362))</f>
        <v/>
      </c>
      <c r="E362" s="63">
        <f>IF(G362="","",YEAR(G362))</f>
        <v/>
      </c>
      <c r="F362" s="33">
        <f>IF(G362="","",CHOOSE(MONTH(G362),"Janeiro","Fevereiro","Março","Abril","Maio","Junho","Julho","Agosto","Setembro","Outubro","Novembro","Dezembro"))</f>
        <v/>
      </c>
      <c r="G362" s="64" t="n">
        <v>46064</v>
      </c>
      <c r="H362" s="65" t="n">
        <v>0.01207175925925926</v>
      </c>
      <c r="I362" s="66" t="inlineStr">
        <is>
          <t>https://docs.google.com/spreadsheets/d/1ZiCGoPjLCjuYvujDTXK9Ixbth3tekiLtFBzBrGjPCr4/edit?gid=0#gid=0</t>
        </is>
      </c>
      <c r="J362" s="67" t="inlineStr">
        <is>
          <t>Transferência de LOB (Accounts) - [TIAC]</t>
        </is>
      </c>
      <c r="K362" s="67" t="inlineStr"/>
      <c r="L362" s="68" t="b">
        <v>0</v>
      </c>
      <c r="M362" s="20" t="n"/>
      <c r="N362" s="69">
        <f>IF($J362="","",IFERROR(INDEX(B!$F$2:$F$61,MATCH($J362,B!$E$2:$E$61,0))&amp;"",""))</f>
        <v/>
      </c>
      <c r="O362" s="69">
        <f>IF($J362="","",IFERROR(INDEX(B!$G$2:$G$61,MATCH($J362,B!$E$2:$E$61,0))&amp;"",""))</f>
        <v/>
      </c>
      <c r="P362" s="69">
        <f>IF($J362="","",IFERROR(INDEX(B!$H$2:$H$61,MATCH($J362,B!$E$2:$E$61,0))&amp;"",""))</f>
        <v/>
      </c>
      <c r="Q362" s="69">
        <f>IF($J362="","",IFERROR(INDEX(B!$I$2:$I$61,MATCH($J362,B!$E$2:$E$61,0))&amp;"",""))</f>
        <v/>
      </c>
      <c r="R362" s="69">
        <f>IF($J362="","",IFERROR(INDEX(B!$J$2:$J$61,MATCH($J362,B!$E$2:$E$61,0))&amp;"",""))</f>
        <v/>
      </c>
      <c r="S362" s="69">
        <f>IF($J362="","",IFERROR(INDEX(B!$K$2:$K$61,MATCH($J362,B!$E$2:$E$61,0))&amp;"",""))</f>
        <v/>
      </c>
      <c r="T362" s="69">
        <f>IF($J362="","",IFERROR(INDEX(B!$L$2:$L$61,MATCH($J362,B!$E$2:$E$61,0))&amp;"",""))</f>
        <v/>
      </c>
      <c r="U362" s="20" t="n"/>
      <c r="V362" s="70">
        <f>IF($J362="","",IFERROR(INDEX(B!$M$2:$M$61,MATCH($J362,B!$E$2:$E$61,0))&amp;"",""))</f>
        <v/>
      </c>
      <c r="W362" s="71">
        <f>IF(I362="","",IFERROR(MID(I362,FIND("/d/",I362)+3,FIND("/edit",I362)-FIND("/d/",I362)-3),I362))</f>
        <v/>
      </c>
      <c r="X362" s="71">
        <f>IF($J362="","",IFERROR(INDEX(B!$C$2:$C$61,MATCH($J362,B!$E$2:$E$61,0))&amp;"",""))</f>
        <v/>
      </c>
      <c r="Y362" s="20" t="n"/>
      <c r="Z362" s="72">
        <f>IF($J362="",FALSE,ISNUMBER(SEARCH("scout",$K362)))</f>
        <v/>
      </c>
      <c r="AA362" s="72">
        <f>IF($J362="",FALSE,IFERROR(INDEX(B!$N$2:$N$61,MATCH($J362,B!$E$2:$E$61,0))="Sim",FALSE))</f>
        <v/>
      </c>
      <c r="AB362" s="72">
        <f>IF($J362="",FALSE,LEFT($X362,2)="XX")</f>
        <v/>
      </c>
      <c r="AC362" s="72">
        <f>IF($J362="",FALSE,IFERROR(INDEX(B!$P$2:$P$61,MATCH($J362,B!$E$2:$E$61,0))="Sim",FALSE))</f>
        <v/>
      </c>
      <c r="AD362" s="20" t="n"/>
      <c r="AE362" s="52">
        <f>IF(H362="","",HOUR(H362))</f>
        <v/>
      </c>
      <c r="AF362" s="52" t="n"/>
    </row>
    <row r="363" ht="19.5" customHeight="1" s="58">
      <c r="A363" s="62">
        <f>IF(G363="","",IF(G363=G362,"",COUNTIF($G$3:$G$976,G363)))</f>
        <v/>
      </c>
      <c r="B363" s="20" t="n"/>
      <c r="C363" s="63">
        <f>IF(G363="","",DAY(G363))</f>
        <v/>
      </c>
      <c r="D363" s="63">
        <f>IF(G363="","",MONTH(G363))</f>
        <v/>
      </c>
      <c r="E363" s="63">
        <f>IF(G363="","",YEAR(G363))</f>
        <v/>
      </c>
      <c r="F363" s="33">
        <f>IF(G363="","",CHOOSE(MONTH(G363),"Janeiro","Fevereiro","Março","Abril","Maio","Junho","Julho","Agosto","Setembro","Outubro","Novembro","Dezembro"))</f>
        <v/>
      </c>
      <c r="G363" s="64" t="n">
        <v>46064</v>
      </c>
      <c r="H363" s="65" t="n">
        <v>0.01967592592592593</v>
      </c>
      <c r="I363" s="66" t="inlineStr">
        <is>
          <t>https://docs.google.com/spreadsheets/d/1ZiCGoPjLCjuYvujDTXK9Ixbth3tekiLtFBzBrGjPCr4/edit?gid=0#gid=0</t>
        </is>
      </c>
      <c r="J363" s="67" t="inlineStr">
        <is>
          <t>Comprovante de Pagamento - [CP]</t>
        </is>
      </c>
      <c r="K363" s="67" t="inlineStr"/>
      <c r="L363" s="68" t="b">
        <v>0</v>
      </c>
      <c r="M363" s="20" t="n"/>
      <c r="N363" s="69">
        <f>IF($J363="","",IFERROR(INDEX(B!$F$2:$F$61,MATCH($J363,B!$E$2:$E$61,0))&amp;"",""))</f>
        <v/>
      </c>
      <c r="O363" s="69">
        <f>IF($J363="","",IFERROR(INDEX(B!$G$2:$G$61,MATCH($J363,B!$E$2:$E$61,0))&amp;"",""))</f>
        <v/>
      </c>
      <c r="P363" s="69">
        <f>IF($J363="","",IFERROR(INDEX(B!$H$2:$H$61,MATCH($J363,B!$E$2:$E$61,0))&amp;"",""))</f>
        <v/>
      </c>
      <c r="Q363" s="69">
        <f>IF($J363="","",IFERROR(INDEX(B!$I$2:$I$61,MATCH($J363,B!$E$2:$E$61,0))&amp;"",""))</f>
        <v/>
      </c>
      <c r="R363" s="69">
        <f>IF($J363="","",IFERROR(INDEX(B!$J$2:$J$61,MATCH($J363,B!$E$2:$E$61,0))&amp;"",""))</f>
        <v/>
      </c>
      <c r="S363" s="69">
        <f>IF($J363="","",IFERROR(INDEX(B!$K$2:$K$61,MATCH($J363,B!$E$2:$E$61,0))&amp;"",""))</f>
        <v/>
      </c>
      <c r="T363" s="69">
        <f>IF($J363="","",IFERROR(INDEX(B!$L$2:$L$61,MATCH($J363,B!$E$2:$E$61,0))&amp;"",""))</f>
        <v/>
      </c>
      <c r="U363" s="20" t="n"/>
      <c r="V363" s="70">
        <f>IF($J363="","",IFERROR(INDEX(B!$M$2:$M$61,MATCH($J363,B!$E$2:$E$61,0))&amp;"",""))</f>
        <v/>
      </c>
      <c r="W363" s="71">
        <f>IF(I363="","",IFERROR(MID(I363,FIND("/d/",I363)+3,FIND("/edit",I363)-FIND("/d/",I363)-3),I363))</f>
        <v/>
      </c>
      <c r="X363" s="71">
        <f>IF($J363="","",IFERROR(INDEX(B!$C$2:$C$61,MATCH($J363,B!$E$2:$E$61,0))&amp;"",""))</f>
        <v/>
      </c>
      <c r="Y363" s="20" t="n"/>
      <c r="Z363" s="72">
        <f>IF($J363="",FALSE,ISNUMBER(SEARCH("scout",$K363)))</f>
        <v/>
      </c>
      <c r="AA363" s="72">
        <f>IF($J363="",FALSE,IFERROR(INDEX(B!$N$2:$N$61,MATCH($J363,B!$E$2:$E$61,0))="Sim",FALSE))</f>
        <v/>
      </c>
      <c r="AB363" s="72">
        <f>IF($J363="",FALSE,LEFT($X363,2)="XX")</f>
        <v/>
      </c>
      <c r="AC363" s="72">
        <f>IF($J363="",FALSE,IFERROR(INDEX(B!$P$2:$P$61,MATCH($J363,B!$E$2:$E$61,0))="Sim",FALSE))</f>
        <v/>
      </c>
      <c r="AD363" s="20" t="n"/>
      <c r="AE363" s="52">
        <f>IF(H363="","",HOUR(H363))</f>
        <v/>
      </c>
      <c r="AF363" s="52" t="n"/>
    </row>
    <row r="364" ht="19.5" customHeight="1" s="58">
      <c r="A364" s="62">
        <f>IF(G364="","",IF(G364=G363,"",COUNTIF($G$3:$G$976,G364)))</f>
        <v/>
      </c>
      <c r="B364" s="20" t="n"/>
      <c r="C364" s="63">
        <f>IF(G364="","",DAY(G364))</f>
        <v/>
      </c>
      <c r="D364" s="63">
        <f>IF(G364="","",MONTH(G364))</f>
        <v/>
      </c>
      <c r="E364" s="63">
        <f>IF(G364="","",YEAR(G364))</f>
        <v/>
      </c>
      <c r="F364" s="33">
        <f>IF(G364="","",CHOOSE(MONTH(G364),"Janeiro","Fevereiro","Março","Abril","Maio","Junho","Julho","Agosto","Setembro","Outubro","Novembro","Dezembro"))</f>
        <v/>
      </c>
      <c r="G364" s="64" t="n">
        <v>46064</v>
      </c>
      <c r="H364" s="65" t="n">
        <v>0.02490740740740741</v>
      </c>
      <c r="I364" s="66" t="inlineStr">
        <is>
          <t>https://docs.google.com/spreadsheets/d/1ZiCGoPjLCjuYvujDTXK9Ixbth3tekiLtFBzBrGjPCr4/edit?gid=0#gid=0</t>
        </is>
      </c>
      <c r="J364" s="67" t="inlineStr">
        <is>
          <t>Comprovante de Pagamento - [CP]</t>
        </is>
      </c>
      <c r="K364" s="67" t="inlineStr"/>
      <c r="L364" s="68" t="b">
        <v>0</v>
      </c>
      <c r="M364" s="20" t="n"/>
      <c r="N364" s="69">
        <f>IF($J364="","",IFERROR(INDEX(B!$F$2:$F$61,MATCH($J364,B!$E$2:$E$61,0))&amp;"",""))</f>
        <v/>
      </c>
      <c r="O364" s="69">
        <f>IF($J364="","",IFERROR(INDEX(B!$G$2:$G$61,MATCH($J364,B!$E$2:$E$61,0))&amp;"",""))</f>
        <v/>
      </c>
      <c r="P364" s="69">
        <f>IF($J364="","",IFERROR(INDEX(B!$H$2:$H$61,MATCH($J364,B!$E$2:$E$61,0))&amp;"",""))</f>
        <v/>
      </c>
      <c r="Q364" s="69">
        <f>IF($J364="","",IFERROR(INDEX(B!$I$2:$I$61,MATCH($J364,B!$E$2:$E$61,0))&amp;"",""))</f>
        <v/>
      </c>
      <c r="R364" s="69">
        <f>IF($J364="","",IFERROR(INDEX(B!$J$2:$J$61,MATCH($J364,B!$E$2:$E$61,0))&amp;"",""))</f>
        <v/>
      </c>
      <c r="S364" s="69">
        <f>IF($J364="","",IFERROR(INDEX(B!$K$2:$K$61,MATCH($J364,B!$E$2:$E$61,0))&amp;"",""))</f>
        <v/>
      </c>
      <c r="T364" s="69">
        <f>IF($J364="","",IFERROR(INDEX(B!$L$2:$L$61,MATCH($J364,B!$E$2:$E$61,0))&amp;"",""))</f>
        <v/>
      </c>
      <c r="U364" s="20" t="n"/>
      <c r="V364" s="70">
        <f>IF($J364="","",IFERROR(INDEX(B!$M$2:$M$61,MATCH($J364,B!$E$2:$E$61,0))&amp;"",""))</f>
        <v/>
      </c>
      <c r="W364" s="71">
        <f>IF(I364="","",IFERROR(MID(I364,FIND("/d/",I364)+3,FIND("/edit",I364)-FIND("/d/",I364)-3),I364))</f>
        <v/>
      </c>
      <c r="X364" s="71">
        <f>IF($J364="","",IFERROR(INDEX(B!$C$2:$C$61,MATCH($J364,B!$E$2:$E$61,0))&amp;"",""))</f>
        <v/>
      </c>
      <c r="Y364" s="20" t="n"/>
      <c r="Z364" s="72">
        <f>IF($J364="",FALSE,ISNUMBER(SEARCH("scout",$K364)))</f>
        <v/>
      </c>
      <c r="AA364" s="72">
        <f>IF($J364="",FALSE,IFERROR(INDEX(B!$N$2:$N$61,MATCH($J364,B!$E$2:$E$61,0))="Sim",FALSE))</f>
        <v/>
      </c>
      <c r="AB364" s="72">
        <f>IF($J364="",FALSE,LEFT($X364,2)="XX")</f>
        <v/>
      </c>
      <c r="AC364" s="72">
        <f>IF($J364="",FALSE,IFERROR(INDEX(B!$P$2:$P$61,MATCH($J364,B!$E$2:$E$61,0))="Sim",FALSE))</f>
        <v/>
      </c>
      <c r="AD364" s="20" t="n"/>
      <c r="AE364" s="52">
        <f>IF(H364="","",HOUR(H364))</f>
        <v/>
      </c>
      <c r="AF364" s="52" t="n"/>
    </row>
    <row r="365" ht="19.5" customHeight="1" s="58">
      <c r="A365" s="62">
        <f>IF(G365="","",IF(G365=G364,"",COUNTIF($G$3:$G$976,G365)))</f>
        <v/>
      </c>
      <c r="B365" s="20" t="n"/>
      <c r="C365" s="63">
        <f>IF(G365="","",DAY(G365))</f>
        <v/>
      </c>
      <c r="D365" s="63">
        <f>IF(G365="","",MONTH(G365))</f>
        <v/>
      </c>
      <c r="E365" s="63">
        <f>IF(G365="","",YEAR(G365))</f>
        <v/>
      </c>
      <c r="F365" s="33">
        <f>IF(G365="","",CHOOSE(MONTH(G365),"Janeiro","Fevereiro","Março","Abril","Maio","Junho","Julho","Agosto","Setembro","Outubro","Novembro","Dezembro"))</f>
        <v/>
      </c>
      <c r="G365" s="64" t="n">
        <v>46064</v>
      </c>
      <c r="H365" s="65" t="n">
        <v>0.02612268518518519</v>
      </c>
      <c r="I365" s="66" t="inlineStr">
        <is>
          <t>https://docs.google.com/spreadsheets/d/1ZiCGoPjLCjuYvujDTXK9Ixbth3tekiLtFBzBrGjPCr4/edit?gid=0#gid=0</t>
        </is>
      </c>
      <c r="J365" s="67" t="inlineStr">
        <is>
          <t>Evento Raro - [ER]</t>
        </is>
      </c>
      <c r="K365" s="67" t="inlineStr"/>
      <c r="L365" s="68" t="b">
        <v>0</v>
      </c>
      <c r="M365" s="20" t="n"/>
      <c r="N365" s="69">
        <f>IF($J365="","",IFERROR(INDEX(B!$F$2:$F$61,MATCH($J365,B!$E$2:$E$61,0))&amp;"",""))</f>
        <v/>
      </c>
      <c r="O365" s="69">
        <f>IF($J365="","",IFERROR(INDEX(B!$G$2:$G$61,MATCH($J365,B!$E$2:$E$61,0))&amp;"",""))</f>
        <v/>
      </c>
      <c r="P365" s="69">
        <f>IF($J365="","",IFERROR(INDEX(B!$H$2:$H$61,MATCH($J365,B!$E$2:$E$61,0))&amp;"",""))</f>
        <v/>
      </c>
      <c r="Q365" s="69">
        <f>IF($J365="","",IFERROR(INDEX(B!$I$2:$I$61,MATCH($J365,B!$E$2:$E$61,0))&amp;"",""))</f>
        <v/>
      </c>
      <c r="R365" s="69">
        <f>IF($J365="","",IFERROR(INDEX(B!$J$2:$J$61,MATCH($J365,B!$E$2:$E$61,0))&amp;"",""))</f>
        <v/>
      </c>
      <c r="S365" s="69">
        <f>IF($J365="","",IFERROR(INDEX(B!$K$2:$K$61,MATCH($J365,B!$E$2:$E$61,0))&amp;"",""))</f>
        <v/>
      </c>
      <c r="T365" s="69">
        <f>IF($J365="","",IFERROR(INDEX(B!$L$2:$L$61,MATCH($J365,B!$E$2:$E$61,0))&amp;"",""))</f>
        <v/>
      </c>
      <c r="U365" s="20" t="n"/>
      <c r="V365" s="70">
        <f>IF($J365="","",IFERROR(INDEX(B!$M$2:$M$61,MATCH($J365,B!$E$2:$E$61,0))&amp;"",""))</f>
        <v/>
      </c>
      <c r="W365" s="71">
        <f>IF(I365="","",IFERROR(MID(I365,FIND("/d/",I365)+3,FIND("/edit",I365)-FIND("/d/",I365)-3),I365))</f>
        <v/>
      </c>
      <c r="X365" s="71">
        <f>IF($J365="","",IFERROR(INDEX(B!$C$2:$C$61,MATCH($J365,B!$E$2:$E$61,0))&amp;"",""))</f>
        <v/>
      </c>
      <c r="Y365" s="20" t="n"/>
      <c r="Z365" s="72">
        <f>IF($J365="",FALSE,ISNUMBER(SEARCH("scout",$K365)))</f>
        <v/>
      </c>
      <c r="AA365" s="72">
        <f>IF($J365="",FALSE,IFERROR(INDEX(B!$N$2:$N$61,MATCH($J365,B!$E$2:$E$61,0))="Sim",FALSE))</f>
        <v/>
      </c>
      <c r="AB365" s="72">
        <f>IF($J365="",FALSE,LEFT($X365,2)="XX")</f>
        <v/>
      </c>
      <c r="AC365" s="72">
        <f>IF($J365="",FALSE,IFERROR(INDEX(B!$P$2:$P$61,MATCH($J365,B!$E$2:$E$61,0))="Sim",FALSE))</f>
        <v/>
      </c>
      <c r="AD365" s="20" t="n"/>
      <c r="AE365" s="52">
        <f>IF(H365="","",HOUR(H365))</f>
        <v/>
      </c>
      <c r="AF365" s="52" t="n"/>
    </row>
    <row r="366" ht="19.5" customHeight="1" s="58">
      <c r="A366" s="62">
        <f>IF(G366="","",IF(G366=G365,"",COUNTIF($G$3:$G$976,G366)))</f>
        <v/>
      </c>
      <c r="B366" s="20" t="n"/>
      <c r="C366" s="63">
        <f>IF(G366="","",DAY(G366))</f>
        <v/>
      </c>
      <c r="D366" s="63">
        <f>IF(G366="","",MONTH(G366))</f>
        <v/>
      </c>
      <c r="E366" s="63">
        <f>IF(G366="","",YEAR(G366))</f>
        <v/>
      </c>
      <c r="F366" s="33">
        <f>IF(G366="","",CHOOSE(MONTH(G366),"Janeiro","Fevereiro","Março","Abril","Maio","Junho","Julho","Agosto","Setembro","Outubro","Novembro","Dezembro"))</f>
        <v/>
      </c>
      <c r="G366" s="64" t="n">
        <v>46064</v>
      </c>
      <c r="H366" s="65" t="n">
        <v>0.03991898148148148</v>
      </c>
      <c r="I366" s="66" t="inlineStr">
        <is>
          <t>https://docs.google.com/spreadsheets/d/1ZiCGoPjLCjuYvujDTXK9Ixbth3tekiLtFBzBrGjPCr4/edit?gid=0#gid=0</t>
        </is>
      </c>
      <c r="J366" s="67" t="inlineStr">
        <is>
          <t>Mais informações (Quanto Pagou?) - [AAV]</t>
        </is>
      </c>
      <c r="K366" s="67" t="inlineStr"/>
      <c r="L366" s="68" t="b">
        <v>0</v>
      </c>
      <c r="M366" s="20" t="n"/>
      <c r="N366" s="69">
        <f>IF($J366="","",IFERROR(INDEX(B!$F$2:$F$61,MATCH($J366,B!$E$2:$E$61,0))&amp;"",""))</f>
        <v/>
      </c>
      <c r="O366" s="69">
        <f>IF($J366="","",IFERROR(INDEX(B!$G$2:$G$61,MATCH($J366,B!$E$2:$E$61,0))&amp;"",""))</f>
        <v/>
      </c>
      <c r="P366" s="69">
        <f>IF($J366="","",IFERROR(INDEX(B!$H$2:$H$61,MATCH($J366,B!$E$2:$E$61,0))&amp;"",""))</f>
        <v/>
      </c>
      <c r="Q366" s="69">
        <f>IF($J366="","",IFERROR(INDEX(B!$I$2:$I$61,MATCH($J366,B!$E$2:$E$61,0))&amp;"",""))</f>
        <v/>
      </c>
      <c r="R366" s="69">
        <f>IF($J366="","",IFERROR(INDEX(B!$J$2:$J$61,MATCH($J366,B!$E$2:$E$61,0))&amp;"",""))</f>
        <v/>
      </c>
      <c r="S366" s="69">
        <f>IF($J366="","",IFERROR(INDEX(B!$K$2:$K$61,MATCH($J366,B!$E$2:$E$61,0))&amp;"",""))</f>
        <v/>
      </c>
      <c r="T366" s="69">
        <f>IF($J366="","",IFERROR(INDEX(B!$L$2:$L$61,MATCH($J366,B!$E$2:$E$61,0))&amp;"",""))</f>
        <v/>
      </c>
      <c r="U366" s="20" t="n"/>
      <c r="V366" s="70">
        <f>IF($J366="","",IFERROR(INDEX(B!$M$2:$M$61,MATCH($J366,B!$E$2:$E$61,0))&amp;"",""))</f>
        <v/>
      </c>
      <c r="W366" s="71">
        <f>IF(I366="","",IFERROR(MID(I366,FIND("/d/",I366)+3,FIND("/edit",I366)-FIND("/d/",I366)-3),I366))</f>
        <v/>
      </c>
      <c r="X366" s="71">
        <f>IF($J366="","",IFERROR(INDEX(B!$C$2:$C$61,MATCH($J366,B!$E$2:$E$61,0))&amp;"",""))</f>
        <v/>
      </c>
      <c r="Y366" s="20" t="n"/>
      <c r="Z366" s="72">
        <f>IF($J366="",FALSE,ISNUMBER(SEARCH("scout",$K366)))</f>
        <v/>
      </c>
      <c r="AA366" s="72">
        <f>IF($J366="",FALSE,IFERROR(INDEX(B!$N$2:$N$61,MATCH($J366,B!$E$2:$E$61,0))="Sim",FALSE))</f>
        <v/>
      </c>
      <c r="AB366" s="72">
        <f>IF($J366="",FALSE,LEFT($X366,2)="XX")</f>
        <v/>
      </c>
      <c r="AC366" s="72">
        <f>IF($J366="",FALSE,IFERROR(INDEX(B!$P$2:$P$61,MATCH($J366,B!$E$2:$E$61,0))="Sim",FALSE))</f>
        <v/>
      </c>
      <c r="AD366" s="20" t="n"/>
      <c r="AE366" s="52">
        <f>IF(H366="","",HOUR(H366))</f>
        <v/>
      </c>
      <c r="AF366" s="52" t="n"/>
    </row>
    <row r="367" ht="19.5" customHeight="1" s="58">
      <c r="A367" s="62">
        <f>IF(G367="","",IF(G367=G366,"",COUNTIF($G$3:$G$976,G367)))</f>
        <v/>
      </c>
      <c r="B367" s="20" t="n"/>
      <c r="C367" s="63">
        <f>IF(G367="","",DAY(G367))</f>
        <v/>
      </c>
      <c r="D367" s="63">
        <f>IF(G367="","",MONTH(G367))</f>
        <v/>
      </c>
      <c r="E367" s="63">
        <f>IF(G367="","",YEAR(G367))</f>
        <v/>
      </c>
      <c r="F367" s="33">
        <f>IF(G367="","",CHOOSE(MONTH(G367),"Janeiro","Fevereiro","Março","Abril","Maio","Junho","Julho","Agosto","Setembro","Outubro","Novembro","Dezembro"))</f>
        <v/>
      </c>
      <c r="G367" s="64" t="n">
        <v>46064</v>
      </c>
      <c r="H367" s="65" t="n">
        <v>0.0534375</v>
      </c>
      <c r="I367" s="66" t="inlineStr">
        <is>
          <t>https://docs.google.com/spreadsheets/d/1ZiCGoPjLCjuYvujDTXK9Ixbth3tekiLtFBzBrGjPCr4/edit?gid=0#gid=0</t>
        </is>
      </c>
      <c r="J367" s="67" t="inlineStr">
        <is>
          <t>Taxa de Cancelamento Cobrada Corretamente - [TXCO]</t>
        </is>
      </c>
      <c r="K367" s="67" t="inlineStr">
        <is>
          <t>Scout</t>
        </is>
      </c>
      <c r="L367" s="68" t="b">
        <v>0</v>
      </c>
      <c r="M367" s="20" t="n"/>
      <c r="N367" s="69">
        <f>IF($J367="","",IFERROR(INDEX(B!$F$2:$F$61,MATCH($J367,B!$E$2:$E$61,0))&amp;"",""))</f>
        <v/>
      </c>
      <c r="O367" s="69">
        <f>IF($J367="","",IFERROR(INDEX(B!$G$2:$G$61,MATCH($J367,B!$E$2:$E$61,0))&amp;"",""))</f>
        <v/>
      </c>
      <c r="P367" s="69">
        <f>IF($J367="","",IFERROR(INDEX(B!$H$2:$H$61,MATCH($J367,B!$E$2:$E$61,0))&amp;"",""))</f>
        <v/>
      </c>
      <c r="Q367" s="69">
        <f>IF($J367="","",IFERROR(INDEX(B!$I$2:$I$61,MATCH($J367,B!$E$2:$E$61,0))&amp;"",""))</f>
        <v/>
      </c>
      <c r="R367" s="69">
        <f>IF($J367="","",IFERROR(INDEX(B!$J$2:$J$61,MATCH($J367,B!$E$2:$E$61,0))&amp;"",""))</f>
        <v/>
      </c>
      <c r="S367" s="69">
        <f>IF($J367="","",IFERROR(INDEX(B!$K$2:$K$61,MATCH($J367,B!$E$2:$E$61,0))&amp;"",""))</f>
        <v/>
      </c>
      <c r="T367" s="69">
        <f>IF($J367="","",IFERROR(INDEX(B!$L$2:$L$61,MATCH($J367,B!$E$2:$E$61,0))&amp;"",""))</f>
        <v/>
      </c>
      <c r="U367" s="20" t="n"/>
      <c r="V367" s="70">
        <f>IF($J367="","",IFERROR(INDEX(B!$M$2:$M$61,MATCH($J367,B!$E$2:$E$61,0))&amp;"",""))</f>
        <v/>
      </c>
      <c r="W367" s="71">
        <f>IF(I367="","",IFERROR(MID(I367,FIND("/d/",I367)+3,FIND("/edit",I367)-FIND("/d/",I367)-3),I367))</f>
        <v/>
      </c>
      <c r="X367" s="71">
        <f>IF($J367="","",IFERROR(INDEX(B!$C$2:$C$61,MATCH($J367,B!$E$2:$E$61,0))&amp;"",""))</f>
        <v/>
      </c>
      <c r="Y367" s="20" t="n"/>
      <c r="Z367" s="72">
        <f>IF($J367="",FALSE,ISNUMBER(SEARCH("scout",$K367)))</f>
        <v/>
      </c>
      <c r="AA367" s="72">
        <f>IF($J367="",FALSE,IFERROR(INDEX(B!$N$2:$N$61,MATCH($J367,B!$E$2:$E$61,0))="Sim",FALSE))</f>
        <v/>
      </c>
      <c r="AB367" s="72">
        <f>IF($J367="",FALSE,LEFT($X367,2)="XX")</f>
        <v/>
      </c>
      <c r="AC367" s="72">
        <f>IF($J367="",FALSE,IFERROR(INDEX(B!$P$2:$P$61,MATCH($J367,B!$E$2:$E$61,0))="Sim",FALSE))</f>
        <v/>
      </c>
      <c r="AD367" s="20" t="n"/>
      <c r="AE367" s="52">
        <f>IF(H367="","",HOUR(H367))</f>
        <v/>
      </c>
      <c r="AF367" s="52" t="n"/>
    </row>
    <row r="368" ht="19.5" customHeight="1" s="58">
      <c r="A368" s="62">
        <f>IF(G368="","",IF(G368=G367,"",COUNTIF($G$3:$G$976,G368)))</f>
        <v/>
      </c>
      <c r="B368" s="20" t="n"/>
      <c r="C368" s="63">
        <f>IF(G368="","",DAY(G368))</f>
        <v/>
      </c>
      <c r="D368" s="63">
        <f>IF(G368="","",MONTH(G368))</f>
        <v/>
      </c>
      <c r="E368" s="63">
        <f>IF(G368="","",YEAR(G368))</f>
        <v/>
      </c>
      <c r="F368" s="33">
        <f>IF(G368="","",CHOOSE(MONTH(G368),"Janeiro","Fevereiro","Março","Abril","Maio","Junho","Julho","Agosto","Setembro","Outubro","Novembro","Dezembro"))</f>
        <v/>
      </c>
      <c r="G368" s="64" t="n">
        <v>46064</v>
      </c>
      <c r="H368" s="65" t="n">
        <v>0.05508101851851852</v>
      </c>
      <c r="I368" s="66" t="inlineStr">
        <is>
          <t>https://docs.google.com/spreadsheets/d/1ZiCGoPjLCjuYvujDTXK9Ixbth3tekiLtFBzBrGjPCr4/edit?gid=0#gid=0</t>
        </is>
      </c>
      <c r="J368" s="67" t="inlineStr">
        <is>
          <t>Transferência de LOB (Accounts) - [TIAC]</t>
        </is>
      </c>
      <c r="K368" s="67" t="inlineStr">
        <is>
          <t>Scout</t>
        </is>
      </c>
      <c r="L368" s="68" t="b">
        <v>0</v>
      </c>
      <c r="M368" s="20" t="n"/>
      <c r="N368" s="69">
        <f>IF($J368="","",IFERROR(INDEX(B!$F$2:$F$61,MATCH($J368,B!$E$2:$E$61,0))&amp;"",""))</f>
        <v/>
      </c>
      <c r="O368" s="69">
        <f>IF($J368="","",IFERROR(INDEX(B!$G$2:$G$61,MATCH($J368,B!$E$2:$E$61,0))&amp;"",""))</f>
        <v/>
      </c>
      <c r="P368" s="69">
        <f>IF($J368="","",IFERROR(INDEX(B!$H$2:$H$61,MATCH($J368,B!$E$2:$E$61,0))&amp;"",""))</f>
        <v/>
      </c>
      <c r="Q368" s="69">
        <f>IF($J368="","",IFERROR(INDEX(B!$I$2:$I$61,MATCH($J368,B!$E$2:$E$61,0))&amp;"",""))</f>
        <v/>
      </c>
      <c r="R368" s="69">
        <f>IF($J368="","",IFERROR(INDEX(B!$J$2:$J$61,MATCH($J368,B!$E$2:$E$61,0))&amp;"",""))</f>
        <v/>
      </c>
      <c r="S368" s="69">
        <f>IF($J368="","",IFERROR(INDEX(B!$K$2:$K$61,MATCH($J368,B!$E$2:$E$61,0))&amp;"",""))</f>
        <v/>
      </c>
      <c r="T368" s="69">
        <f>IF($J368="","",IFERROR(INDEX(B!$L$2:$L$61,MATCH($J368,B!$E$2:$E$61,0))&amp;"",""))</f>
        <v/>
      </c>
      <c r="U368" s="20" t="n"/>
      <c r="V368" s="70">
        <f>IF($J368="","",IFERROR(INDEX(B!$M$2:$M$61,MATCH($J368,B!$E$2:$E$61,0))&amp;"",""))</f>
        <v/>
      </c>
      <c r="W368" s="71">
        <f>IF(I368="","",IFERROR(MID(I368,FIND("/d/",I368)+3,FIND("/edit",I368)-FIND("/d/",I368)-3),I368))</f>
        <v/>
      </c>
      <c r="X368" s="71">
        <f>IF($J368="","",IFERROR(INDEX(B!$C$2:$C$61,MATCH($J368,B!$E$2:$E$61,0))&amp;"",""))</f>
        <v/>
      </c>
      <c r="Y368" s="20" t="n"/>
      <c r="Z368" s="72">
        <f>IF($J368="",FALSE,ISNUMBER(SEARCH("scout",$K368)))</f>
        <v/>
      </c>
      <c r="AA368" s="72">
        <f>IF($J368="",FALSE,IFERROR(INDEX(B!$N$2:$N$61,MATCH($J368,B!$E$2:$E$61,0))="Sim",FALSE))</f>
        <v/>
      </c>
      <c r="AB368" s="72">
        <f>IF($J368="",FALSE,LEFT($X368,2)="XX")</f>
        <v/>
      </c>
      <c r="AC368" s="72">
        <f>IF($J368="",FALSE,IFERROR(INDEX(B!$P$2:$P$61,MATCH($J368,B!$E$2:$E$61,0))="Sim",FALSE))</f>
        <v/>
      </c>
      <c r="AD368" s="20" t="n"/>
      <c r="AE368" s="52">
        <f>IF(H368="","",HOUR(H368))</f>
        <v/>
      </c>
      <c r="AF368" s="52" t="n"/>
    </row>
    <row r="369" ht="19.5" customHeight="1" s="58">
      <c r="A369" s="62">
        <f>IF(G369="","",IF(G369=G368,"",COUNTIF($G$3:$G$976,G369)))</f>
        <v/>
      </c>
      <c r="B369" s="20" t="n"/>
      <c r="C369" s="63">
        <f>IF(G369="","",DAY(G369))</f>
        <v/>
      </c>
      <c r="D369" s="63">
        <f>IF(G369="","",MONTH(G369))</f>
        <v/>
      </c>
      <c r="E369" s="63">
        <f>IF(G369="","",YEAR(G369))</f>
        <v/>
      </c>
      <c r="F369" s="33">
        <f>IF(G369="","",CHOOSE(MONTH(G369),"Janeiro","Fevereiro","Março","Abril","Maio","Junho","Julho","Agosto","Setembro","Outubro","Novembro","Dezembro"))</f>
        <v/>
      </c>
      <c r="G369" s="64" t="n">
        <v>46064</v>
      </c>
      <c r="H369" s="65" t="n">
        <v>0.05857638888888889</v>
      </c>
      <c r="I369" s="66" t="inlineStr">
        <is>
          <t>https://docs.google.com/spreadsheets/d/1ZiCGoPjLCjuYvujDTXK9Ixbth3tekiLtFBzBrGjPCr4/edit?gid=0#gid=0</t>
        </is>
      </c>
      <c r="J369" s="67" t="inlineStr">
        <is>
          <t>Transferência de LOB (Geral não especificado) - [TI]</t>
        </is>
      </c>
      <c r="K369" s="67" t="inlineStr"/>
      <c r="L369" s="68" t="b">
        <v>0</v>
      </c>
      <c r="M369" s="20" t="n"/>
      <c r="N369" s="69">
        <f>IF($J369="","",IFERROR(INDEX(B!$F$2:$F$61,MATCH($J369,B!$E$2:$E$61,0))&amp;"",""))</f>
        <v/>
      </c>
      <c r="O369" s="69">
        <f>IF($J369="","",IFERROR(INDEX(B!$G$2:$G$61,MATCH($J369,B!$E$2:$E$61,0))&amp;"",""))</f>
        <v/>
      </c>
      <c r="P369" s="69">
        <f>IF($J369="","",IFERROR(INDEX(B!$H$2:$H$61,MATCH($J369,B!$E$2:$E$61,0))&amp;"",""))</f>
        <v/>
      </c>
      <c r="Q369" s="69">
        <f>IF($J369="","",IFERROR(INDEX(B!$I$2:$I$61,MATCH($J369,B!$E$2:$E$61,0))&amp;"",""))</f>
        <v/>
      </c>
      <c r="R369" s="69">
        <f>IF($J369="","",IFERROR(INDEX(B!$J$2:$J$61,MATCH($J369,B!$E$2:$E$61,0))&amp;"",""))</f>
        <v/>
      </c>
      <c r="S369" s="69">
        <f>IF($J369="","",IFERROR(INDEX(B!$K$2:$K$61,MATCH($J369,B!$E$2:$E$61,0))&amp;"",""))</f>
        <v/>
      </c>
      <c r="T369" s="69">
        <f>IF($J369="","",IFERROR(INDEX(B!$L$2:$L$61,MATCH($J369,B!$E$2:$E$61,0))&amp;"",""))</f>
        <v/>
      </c>
      <c r="U369" s="20" t="n"/>
      <c r="V369" s="70">
        <f>IF($J369="","",IFERROR(INDEX(B!$M$2:$M$61,MATCH($J369,B!$E$2:$E$61,0))&amp;"",""))</f>
        <v/>
      </c>
      <c r="W369" s="71">
        <f>IF(I369="","",IFERROR(MID(I369,FIND("/d/",I369)+3,FIND("/edit",I369)-FIND("/d/",I369)-3),I369))</f>
        <v/>
      </c>
      <c r="X369" s="71">
        <f>IF($J369="","",IFERROR(INDEX(B!$C$2:$C$61,MATCH($J369,B!$E$2:$E$61,0))&amp;"",""))</f>
        <v/>
      </c>
      <c r="Y369" s="20" t="n"/>
      <c r="Z369" s="72">
        <f>IF($J369="",FALSE,ISNUMBER(SEARCH("scout",$K369)))</f>
        <v/>
      </c>
      <c r="AA369" s="72">
        <f>IF($J369="",FALSE,IFERROR(INDEX(B!$N$2:$N$61,MATCH($J369,B!$E$2:$E$61,0))="Sim",FALSE))</f>
        <v/>
      </c>
      <c r="AB369" s="72">
        <f>IF($J369="",FALSE,LEFT($X369,2)="XX")</f>
        <v/>
      </c>
      <c r="AC369" s="72">
        <f>IF($J369="",FALSE,IFERROR(INDEX(B!$P$2:$P$61,MATCH($J369,B!$E$2:$E$61,0))="Sim",FALSE))</f>
        <v/>
      </c>
      <c r="AD369" s="20" t="n"/>
      <c r="AE369" s="52">
        <f>IF(H369="","",HOUR(H369))</f>
        <v/>
      </c>
      <c r="AF369" s="52" t="n"/>
    </row>
    <row r="370" ht="19.5" customHeight="1" s="58">
      <c r="A370" s="62">
        <f>IF(G370="","",IF(G370=G369,"",COUNTIF($G$3:$G$976,G370)))</f>
        <v/>
      </c>
      <c r="B370" s="20" t="n"/>
      <c r="C370" s="63">
        <f>IF(G370="","",DAY(G370))</f>
        <v/>
      </c>
      <c r="D370" s="63">
        <f>IF(G370="","",MONTH(G370))</f>
        <v/>
      </c>
      <c r="E370" s="63">
        <f>IF(G370="","",YEAR(G370))</f>
        <v/>
      </c>
      <c r="F370" s="33">
        <f>IF(G370="","",CHOOSE(MONTH(G370),"Janeiro","Fevereiro","Março","Abril","Maio","Junho","Julho","Agosto","Setembro","Outubro","Novembro","Dezembro"))</f>
        <v/>
      </c>
      <c r="G370" s="64" t="n">
        <v>46064</v>
      </c>
      <c r="H370" s="65" t="n">
        <v>0.06666666666666667</v>
      </c>
      <c r="I370" s="66" t="inlineStr">
        <is>
          <t>https://docs.google.com/spreadsheets/d/1ZiCGoPjLCjuYvujDTXK9Ixbth3tekiLtFBzBrGjPCr4/edit?gid=0#gid=0</t>
        </is>
      </c>
      <c r="J370" s="67" t="inlineStr">
        <is>
          <t>Transferência de LOB (Profissionalismo) - [TIPR]</t>
        </is>
      </c>
      <c r="K370" s="67" t="inlineStr"/>
      <c r="L370" s="68" t="b">
        <v>0</v>
      </c>
      <c r="M370" s="20" t="n"/>
      <c r="N370" s="69">
        <f>IF($J370="","",IFERROR(INDEX(B!$F$2:$F$61,MATCH($J370,B!$E$2:$E$61,0))&amp;"",""))</f>
        <v/>
      </c>
      <c r="O370" s="69">
        <f>IF($J370="","",IFERROR(INDEX(B!$G$2:$G$61,MATCH($J370,B!$E$2:$E$61,0))&amp;"",""))</f>
        <v/>
      </c>
      <c r="P370" s="69">
        <f>IF($J370="","",IFERROR(INDEX(B!$H$2:$H$61,MATCH($J370,B!$E$2:$E$61,0))&amp;"",""))</f>
        <v/>
      </c>
      <c r="Q370" s="69">
        <f>IF($J370="","",IFERROR(INDEX(B!$I$2:$I$61,MATCH($J370,B!$E$2:$E$61,0))&amp;"",""))</f>
        <v/>
      </c>
      <c r="R370" s="69">
        <f>IF($J370="","",IFERROR(INDEX(B!$J$2:$J$61,MATCH($J370,B!$E$2:$E$61,0))&amp;"",""))</f>
        <v/>
      </c>
      <c r="S370" s="69">
        <f>IF($J370="","",IFERROR(INDEX(B!$K$2:$K$61,MATCH($J370,B!$E$2:$E$61,0))&amp;"",""))</f>
        <v/>
      </c>
      <c r="T370" s="69">
        <f>IF($J370="","",IFERROR(INDEX(B!$L$2:$L$61,MATCH($J370,B!$E$2:$E$61,0))&amp;"",""))</f>
        <v/>
      </c>
      <c r="U370" s="20" t="n"/>
      <c r="V370" s="70">
        <f>IF($J370="","",IFERROR(INDEX(B!$M$2:$M$61,MATCH($J370,B!$E$2:$E$61,0))&amp;"",""))</f>
        <v/>
      </c>
      <c r="W370" s="71">
        <f>IF(I370="","",IFERROR(MID(I370,FIND("/d/",I370)+3,FIND("/edit",I370)-FIND("/d/",I370)-3),I370))</f>
        <v/>
      </c>
      <c r="X370" s="71">
        <f>IF($J370="","",IFERROR(INDEX(B!$C$2:$C$61,MATCH($J370,B!$E$2:$E$61,0))&amp;"",""))</f>
        <v/>
      </c>
      <c r="Y370" s="20" t="n"/>
      <c r="Z370" s="72">
        <f>IF($J370="",FALSE,ISNUMBER(SEARCH("scout",$K370)))</f>
        <v/>
      </c>
      <c r="AA370" s="72">
        <f>IF($J370="",FALSE,IFERROR(INDEX(B!$N$2:$N$61,MATCH($J370,B!$E$2:$E$61,0))="Sim",FALSE))</f>
        <v/>
      </c>
      <c r="AB370" s="72">
        <f>IF($J370="",FALSE,LEFT($X370,2)="XX")</f>
        <v/>
      </c>
      <c r="AC370" s="72">
        <f>IF($J370="",FALSE,IFERROR(INDEX(B!$P$2:$P$61,MATCH($J370,B!$E$2:$E$61,0))="Sim",FALSE))</f>
        <v/>
      </c>
      <c r="AD370" s="20" t="n"/>
      <c r="AE370" s="52">
        <f>IF(H370="","",HOUR(H370))</f>
        <v/>
      </c>
      <c r="AF370" s="52" t="n"/>
    </row>
    <row r="371" ht="19.5" customHeight="1" s="58">
      <c r="A371" s="62">
        <f>IF(G371="","",IF(G371=G370,"",COUNTIF($G$3:$G$976,G371)))</f>
        <v/>
      </c>
      <c r="B371" s="20" t="n"/>
      <c r="C371" s="63">
        <f>IF(G371="","",DAY(G371))</f>
        <v/>
      </c>
      <c r="D371" s="63">
        <f>IF(G371="","",MONTH(G371))</f>
        <v/>
      </c>
      <c r="E371" s="63">
        <f>IF(G371="","",YEAR(G371))</f>
        <v/>
      </c>
      <c r="F371" s="33">
        <f>IF(G371="","",CHOOSE(MONTH(G371),"Janeiro","Fevereiro","Março","Abril","Maio","Junho","Julho","Agosto","Setembro","Outubro","Novembro","Dezembro"))</f>
        <v/>
      </c>
      <c r="G371" s="64" t="n">
        <v>46064</v>
      </c>
      <c r="H371" s="65" t="n">
        <v>0.07023148148148148</v>
      </c>
      <c r="I371" s="66" t="inlineStr">
        <is>
          <t>https://docs.google.com/spreadsheets/d/1ZiCGoPjLCjuYvujDTXK9Ixbth3tekiLtFBzBrGjPCr4/edit?gid=0#gid=0</t>
        </is>
      </c>
      <c r="J371" s="67" t="inlineStr">
        <is>
          <t>Transferência de LOB (Geral não especificado) - [TI]</t>
        </is>
      </c>
      <c r="K371" s="67" t="inlineStr">
        <is>
          <t>Scout</t>
        </is>
      </c>
      <c r="L371" s="68" t="b">
        <v>0</v>
      </c>
      <c r="M371" s="20" t="n"/>
      <c r="N371" s="69">
        <f>IF($J371="","",IFERROR(INDEX(B!$F$2:$F$61,MATCH($J371,B!$E$2:$E$61,0))&amp;"",""))</f>
        <v/>
      </c>
      <c r="O371" s="69">
        <f>IF($J371="","",IFERROR(INDEX(B!$G$2:$G$61,MATCH($J371,B!$E$2:$E$61,0))&amp;"",""))</f>
        <v/>
      </c>
      <c r="P371" s="69">
        <f>IF($J371="","",IFERROR(INDEX(B!$H$2:$H$61,MATCH($J371,B!$E$2:$E$61,0))&amp;"",""))</f>
        <v/>
      </c>
      <c r="Q371" s="69">
        <f>IF($J371="","",IFERROR(INDEX(B!$I$2:$I$61,MATCH($J371,B!$E$2:$E$61,0))&amp;"",""))</f>
        <v/>
      </c>
      <c r="R371" s="69">
        <f>IF($J371="","",IFERROR(INDEX(B!$J$2:$J$61,MATCH($J371,B!$E$2:$E$61,0))&amp;"",""))</f>
        <v/>
      </c>
      <c r="S371" s="69">
        <f>IF($J371="","",IFERROR(INDEX(B!$K$2:$K$61,MATCH($J371,B!$E$2:$E$61,0))&amp;"",""))</f>
        <v/>
      </c>
      <c r="T371" s="69">
        <f>IF($J371="","",IFERROR(INDEX(B!$L$2:$L$61,MATCH($J371,B!$E$2:$E$61,0))&amp;"",""))</f>
        <v/>
      </c>
      <c r="U371" s="20" t="n"/>
      <c r="V371" s="70">
        <f>IF($J371="","",IFERROR(INDEX(B!$M$2:$M$61,MATCH($J371,B!$E$2:$E$61,0))&amp;"",""))</f>
        <v/>
      </c>
      <c r="W371" s="71">
        <f>IF(I371="","",IFERROR(MID(I371,FIND("/d/",I371)+3,FIND("/edit",I371)-FIND("/d/",I371)-3),I371))</f>
        <v/>
      </c>
      <c r="X371" s="71">
        <f>IF($J371="","",IFERROR(INDEX(B!$C$2:$C$61,MATCH($J371,B!$E$2:$E$61,0))&amp;"",""))</f>
        <v/>
      </c>
      <c r="Y371" s="20" t="n"/>
      <c r="Z371" s="72">
        <f>IF($J371="",FALSE,ISNUMBER(SEARCH("scout",$K371)))</f>
        <v/>
      </c>
      <c r="AA371" s="72">
        <f>IF($J371="",FALSE,IFERROR(INDEX(B!$N$2:$N$61,MATCH($J371,B!$E$2:$E$61,0))="Sim",FALSE))</f>
        <v/>
      </c>
      <c r="AB371" s="72">
        <f>IF($J371="",FALSE,LEFT($X371,2)="XX")</f>
        <v/>
      </c>
      <c r="AC371" s="72">
        <f>IF($J371="",FALSE,IFERROR(INDEX(B!$P$2:$P$61,MATCH($J371,B!$E$2:$E$61,0))="Sim",FALSE))</f>
        <v/>
      </c>
      <c r="AD371" s="20" t="n"/>
      <c r="AE371" s="52">
        <f>IF(H371="","",HOUR(H371))</f>
        <v/>
      </c>
      <c r="AF371" s="52" t="n"/>
    </row>
    <row r="372" ht="19.5" customHeight="1" s="58">
      <c r="A372" s="62">
        <f>IF(G372="","",IF(G372=G371,"",COUNTIF($G$3:$G$976,G372)))</f>
        <v/>
      </c>
      <c r="B372" s="20" t="n"/>
      <c r="C372" s="63">
        <f>IF(G372="","",DAY(G372))</f>
        <v/>
      </c>
      <c r="D372" s="63">
        <f>IF(G372="","",MONTH(G372))</f>
        <v/>
      </c>
      <c r="E372" s="63">
        <f>IF(G372="","",YEAR(G372))</f>
        <v/>
      </c>
      <c r="F372" s="33">
        <f>IF(G372="","",CHOOSE(MONTH(G372),"Janeiro","Fevereiro","Março","Abril","Maio","Junho","Julho","Agosto","Setembro","Outubro","Novembro","Dezembro"))</f>
        <v/>
      </c>
      <c r="G372" s="64" t="n">
        <v>46064</v>
      </c>
      <c r="H372" s="65" t="n">
        <v>0.07064814814814815</v>
      </c>
      <c r="I372" s="66" t="inlineStr">
        <is>
          <t>https://docs.google.com/spreadsheets/d/1ZiCGoPjLCjuYvujDTXK9Ixbth3tekiLtFBzBrGjPCr4/edit?gid=0#gid=0</t>
        </is>
      </c>
      <c r="J372" s="67" t="inlineStr">
        <is>
          <t>Comprovante de Pagamento - [CP]</t>
        </is>
      </c>
      <c r="K372" s="67" t="inlineStr"/>
      <c r="L372" s="68" t="b">
        <v>0</v>
      </c>
      <c r="M372" s="20" t="n"/>
      <c r="N372" s="69">
        <f>IF($J372="","",IFERROR(INDEX(B!$F$2:$F$61,MATCH($J372,B!$E$2:$E$61,0))&amp;"",""))</f>
        <v/>
      </c>
      <c r="O372" s="69">
        <f>IF($J372="","",IFERROR(INDEX(B!$G$2:$G$61,MATCH($J372,B!$E$2:$E$61,0))&amp;"",""))</f>
        <v/>
      </c>
      <c r="P372" s="69">
        <f>IF($J372="","",IFERROR(INDEX(B!$H$2:$H$61,MATCH($J372,B!$E$2:$E$61,0))&amp;"",""))</f>
        <v/>
      </c>
      <c r="Q372" s="69">
        <f>IF($J372="","",IFERROR(INDEX(B!$I$2:$I$61,MATCH($J372,B!$E$2:$E$61,0))&amp;"",""))</f>
        <v/>
      </c>
      <c r="R372" s="69">
        <f>IF($J372="","",IFERROR(INDEX(B!$J$2:$J$61,MATCH($J372,B!$E$2:$E$61,0))&amp;"",""))</f>
        <v/>
      </c>
      <c r="S372" s="69">
        <f>IF($J372="","",IFERROR(INDEX(B!$K$2:$K$61,MATCH($J372,B!$E$2:$E$61,0))&amp;"",""))</f>
        <v/>
      </c>
      <c r="T372" s="69">
        <f>IF($J372="","",IFERROR(INDEX(B!$L$2:$L$61,MATCH($J372,B!$E$2:$E$61,0))&amp;"",""))</f>
        <v/>
      </c>
      <c r="U372" s="20" t="n"/>
      <c r="V372" s="70">
        <f>IF($J372="","",IFERROR(INDEX(B!$M$2:$M$61,MATCH($J372,B!$E$2:$E$61,0))&amp;"",""))</f>
        <v/>
      </c>
      <c r="W372" s="71">
        <f>IF(I372="","",IFERROR(MID(I372,FIND("/d/",I372)+3,FIND("/edit",I372)-FIND("/d/",I372)-3),I372))</f>
        <v/>
      </c>
      <c r="X372" s="71">
        <f>IF($J372="","",IFERROR(INDEX(B!$C$2:$C$61,MATCH($J372,B!$E$2:$E$61,0))&amp;"",""))</f>
        <v/>
      </c>
      <c r="Y372" s="20" t="n"/>
      <c r="Z372" s="72">
        <f>IF($J372="",FALSE,ISNUMBER(SEARCH("scout",$K372)))</f>
        <v/>
      </c>
      <c r="AA372" s="72">
        <f>IF($J372="",FALSE,IFERROR(INDEX(B!$N$2:$N$61,MATCH($J372,B!$E$2:$E$61,0))="Sim",FALSE))</f>
        <v/>
      </c>
      <c r="AB372" s="72">
        <f>IF($J372="",FALSE,LEFT($X372,2)="XX")</f>
        <v/>
      </c>
      <c r="AC372" s="72">
        <f>IF($J372="",FALSE,IFERROR(INDEX(B!$P$2:$P$61,MATCH($J372,B!$E$2:$E$61,0))="Sim",FALSE))</f>
        <v/>
      </c>
      <c r="AD372" s="20" t="n"/>
      <c r="AE372" s="52">
        <f>IF(H372="","",HOUR(H372))</f>
        <v/>
      </c>
      <c r="AF372" s="52" t="n"/>
    </row>
    <row r="373" ht="19.5" customHeight="1" s="58">
      <c r="A373" s="62">
        <f>IF(G373="","",IF(G373=G372,"",COUNTIF($G$3:$G$976,G373)))</f>
        <v/>
      </c>
      <c r="B373" s="20" t="n"/>
      <c r="C373" s="63">
        <f>IF(G373="","",DAY(G373))</f>
        <v/>
      </c>
      <c r="D373" s="63">
        <f>IF(G373="","",MONTH(G373))</f>
        <v/>
      </c>
      <c r="E373" s="63">
        <f>IF(G373="","",YEAR(G373))</f>
        <v/>
      </c>
      <c r="F373" s="33">
        <f>IF(G373="","",CHOOSE(MONTH(G373),"Janeiro","Fevereiro","Março","Abril","Maio","Junho","Julho","Agosto","Setembro","Outubro","Novembro","Dezembro"))</f>
        <v/>
      </c>
      <c r="G373" s="64" t="n">
        <v>46064</v>
      </c>
      <c r="H373" s="65" t="n">
        <v>0.0749537037037037</v>
      </c>
      <c r="I373" s="66" t="inlineStr">
        <is>
          <t>https://docs.google.com/spreadsheets/d/1ZiCGoPjLCjuYvujDTXK9Ixbth3tekiLtFBzBrGjPCr4/edit?gid=0#gid=0</t>
        </is>
      </c>
      <c r="J373" s="67" t="inlineStr">
        <is>
          <t>Transferência de LOB (Geral não especificado) - [TI]</t>
        </is>
      </c>
      <c r="K373" s="67" t="inlineStr"/>
      <c r="L373" s="68" t="b">
        <v>0</v>
      </c>
      <c r="M373" s="20" t="n"/>
      <c r="N373" s="69">
        <f>IF($J373="","",IFERROR(INDEX(B!$F$2:$F$61,MATCH($J373,B!$E$2:$E$61,0))&amp;"",""))</f>
        <v/>
      </c>
      <c r="O373" s="69">
        <f>IF($J373="","",IFERROR(INDEX(B!$G$2:$G$61,MATCH($J373,B!$E$2:$E$61,0))&amp;"",""))</f>
        <v/>
      </c>
      <c r="P373" s="69">
        <f>IF($J373="","",IFERROR(INDEX(B!$H$2:$H$61,MATCH($J373,B!$E$2:$E$61,0))&amp;"",""))</f>
        <v/>
      </c>
      <c r="Q373" s="69">
        <f>IF($J373="","",IFERROR(INDEX(B!$I$2:$I$61,MATCH($J373,B!$E$2:$E$61,0))&amp;"",""))</f>
        <v/>
      </c>
      <c r="R373" s="69">
        <f>IF($J373="","",IFERROR(INDEX(B!$J$2:$J$61,MATCH($J373,B!$E$2:$E$61,0))&amp;"",""))</f>
        <v/>
      </c>
      <c r="S373" s="69">
        <f>IF($J373="","",IFERROR(INDEX(B!$K$2:$K$61,MATCH($J373,B!$E$2:$E$61,0))&amp;"",""))</f>
        <v/>
      </c>
      <c r="T373" s="69">
        <f>IF($J373="","",IFERROR(INDEX(B!$L$2:$L$61,MATCH($J373,B!$E$2:$E$61,0))&amp;"",""))</f>
        <v/>
      </c>
      <c r="U373" s="20" t="n"/>
      <c r="V373" s="70">
        <f>IF($J373="","",IFERROR(INDEX(B!$M$2:$M$61,MATCH($J373,B!$E$2:$E$61,0))&amp;"",""))</f>
        <v/>
      </c>
      <c r="W373" s="71">
        <f>IF(I373="","",IFERROR(MID(I373,FIND("/d/",I373)+3,FIND("/edit",I373)-FIND("/d/",I373)-3),I373))</f>
        <v/>
      </c>
      <c r="X373" s="71">
        <f>IF($J373="","",IFERROR(INDEX(B!$C$2:$C$61,MATCH($J373,B!$E$2:$E$61,0))&amp;"",""))</f>
        <v/>
      </c>
      <c r="Y373" s="20" t="n"/>
      <c r="Z373" s="72">
        <f>IF($J373="",FALSE,ISNUMBER(SEARCH("scout",$K373)))</f>
        <v/>
      </c>
      <c r="AA373" s="72">
        <f>IF($J373="",FALSE,IFERROR(INDEX(B!$N$2:$N$61,MATCH($J373,B!$E$2:$E$61,0))="Sim",FALSE))</f>
        <v/>
      </c>
      <c r="AB373" s="72">
        <f>IF($J373="",FALSE,LEFT($X373,2)="XX")</f>
        <v/>
      </c>
      <c r="AC373" s="72">
        <f>IF($J373="",FALSE,IFERROR(INDEX(B!$P$2:$P$61,MATCH($J373,B!$E$2:$E$61,0))="Sim",FALSE))</f>
        <v/>
      </c>
      <c r="AD373" s="20" t="n"/>
      <c r="AE373" s="52">
        <f>IF(H373="","",HOUR(H373))</f>
        <v/>
      </c>
      <c r="AF373" s="52" t="n"/>
    </row>
    <row r="374" ht="19.5" customHeight="1" s="58">
      <c r="A374" s="62">
        <f>IF(G374="","",IF(G374=G373,"",COUNTIF($G$3:$G$976,G374)))</f>
        <v/>
      </c>
      <c r="B374" s="20" t="n"/>
      <c r="C374" s="63">
        <f>IF(G374="","",DAY(G374))</f>
        <v/>
      </c>
      <c r="D374" s="63">
        <f>IF(G374="","",MONTH(G374))</f>
        <v/>
      </c>
      <c r="E374" s="63">
        <f>IF(G374="","",YEAR(G374))</f>
        <v/>
      </c>
      <c r="F374" s="33">
        <f>IF(G374="","",CHOOSE(MONTH(G374),"Janeiro","Fevereiro","Março","Abril","Maio","Junho","Julho","Agosto","Setembro","Outubro","Novembro","Dezembro"))</f>
        <v/>
      </c>
      <c r="G374" s="64" t="n">
        <v>46064</v>
      </c>
      <c r="H374" s="65" t="n">
        <v>0.07688657407407408</v>
      </c>
      <c r="I374" s="66" t="inlineStr">
        <is>
          <t>https://docs.google.com/spreadsheets/d/1ZiCGoPjLCjuYvujDTXK9Ixbth3tekiLtFBzBrGjPCr4/edit?gid=0#gid=0</t>
        </is>
      </c>
      <c r="J374" s="67" t="inlineStr">
        <is>
          <t>Taxa de Limpeza, Sem ajustes - [TXLO]</t>
        </is>
      </c>
      <c r="K374" s="67" t="inlineStr"/>
      <c r="L374" s="68" t="b">
        <v>0</v>
      </c>
      <c r="M374" s="20" t="n"/>
      <c r="N374" s="69">
        <f>IF($J374="","",IFERROR(INDEX(B!$F$2:$F$61,MATCH($J374,B!$E$2:$E$61,0))&amp;"",""))</f>
        <v/>
      </c>
      <c r="O374" s="69">
        <f>IF($J374="","",IFERROR(INDEX(B!$G$2:$G$61,MATCH($J374,B!$E$2:$E$61,0))&amp;"",""))</f>
        <v/>
      </c>
      <c r="P374" s="69">
        <f>IF($J374="","",IFERROR(INDEX(B!$H$2:$H$61,MATCH($J374,B!$E$2:$E$61,0))&amp;"",""))</f>
        <v/>
      </c>
      <c r="Q374" s="69">
        <f>IF($J374="","",IFERROR(INDEX(B!$I$2:$I$61,MATCH($J374,B!$E$2:$E$61,0))&amp;"",""))</f>
        <v/>
      </c>
      <c r="R374" s="69">
        <f>IF($J374="","",IFERROR(INDEX(B!$J$2:$J$61,MATCH($J374,B!$E$2:$E$61,0))&amp;"",""))</f>
        <v/>
      </c>
      <c r="S374" s="69">
        <f>IF($J374="","",IFERROR(INDEX(B!$K$2:$K$61,MATCH($J374,B!$E$2:$E$61,0))&amp;"",""))</f>
        <v/>
      </c>
      <c r="T374" s="69">
        <f>IF($J374="","",IFERROR(INDEX(B!$L$2:$L$61,MATCH($J374,B!$E$2:$E$61,0))&amp;"",""))</f>
        <v/>
      </c>
      <c r="U374" s="20" t="n"/>
      <c r="V374" s="70">
        <f>IF($J374="","",IFERROR(INDEX(B!$M$2:$M$61,MATCH($J374,B!$E$2:$E$61,0))&amp;"",""))</f>
        <v/>
      </c>
      <c r="W374" s="71">
        <f>IF(I374="","",IFERROR(MID(I374,FIND("/d/",I374)+3,FIND("/edit",I374)-FIND("/d/",I374)-3),I374))</f>
        <v/>
      </c>
      <c r="X374" s="71">
        <f>IF($J374="","",IFERROR(INDEX(B!$C$2:$C$61,MATCH($J374,B!$E$2:$E$61,0))&amp;"",""))</f>
        <v/>
      </c>
      <c r="Y374" s="20" t="n"/>
      <c r="Z374" s="72">
        <f>IF($J374="",FALSE,ISNUMBER(SEARCH("scout",$K374)))</f>
        <v/>
      </c>
      <c r="AA374" s="72">
        <f>IF($J374="",FALSE,IFERROR(INDEX(B!$N$2:$N$61,MATCH($J374,B!$E$2:$E$61,0))="Sim",FALSE))</f>
        <v/>
      </c>
      <c r="AB374" s="72">
        <f>IF($J374="",FALSE,LEFT($X374,2)="XX")</f>
        <v/>
      </c>
      <c r="AC374" s="72">
        <f>IF($J374="",FALSE,IFERROR(INDEX(B!$P$2:$P$61,MATCH($J374,B!$E$2:$E$61,0))="Sim",FALSE))</f>
        <v/>
      </c>
      <c r="AD374" s="20" t="n"/>
      <c r="AE374" s="52">
        <f>IF(H374="","",HOUR(H374))</f>
        <v/>
      </c>
      <c r="AF374" s="52" t="n"/>
    </row>
    <row r="375" ht="19.5" customHeight="1" s="58">
      <c r="A375" s="62">
        <f>IF(G375="","",IF(G375=G374,"",COUNTIF($G$3:$G$976,G375)))</f>
        <v/>
      </c>
      <c r="B375" s="20" t="n"/>
      <c r="C375" s="63">
        <f>IF(G375="","",DAY(G375))</f>
        <v/>
      </c>
      <c r="D375" s="63">
        <f>IF(G375="","",MONTH(G375))</f>
        <v/>
      </c>
      <c r="E375" s="63">
        <f>IF(G375="","",YEAR(G375))</f>
        <v/>
      </c>
      <c r="F375" s="33">
        <f>IF(G375="","",CHOOSE(MONTH(G375),"Janeiro","Fevereiro","Março","Abril","Maio","Junho","Julho","Agosto","Setembro","Outubro","Novembro","Dezembro"))</f>
        <v/>
      </c>
      <c r="G375" s="64" t="n">
        <v>46064</v>
      </c>
      <c r="H375" s="65" t="n">
        <v>0.07695601851851852</v>
      </c>
      <c r="I375" s="66" t="inlineStr">
        <is>
          <t>https://docs.google.com/spreadsheets/d/1ZiCGoPjLCjuYvujDTXK9Ixbth3tekiLtFBzBrGjPCr4/edit?gid=0#gid=0</t>
        </is>
      </c>
      <c r="J375" s="67" t="inlineStr">
        <is>
          <t>Trajeto Ruim - [TR]</t>
        </is>
      </c>
      <c r="K375" s="67" t="inlineStr"/>
      <c r="L375" s="68" t="b">
        <v>0</v>
      </c>
      <c r="M375" s="20" t="n"/>
      <c r="N375" s="69">
        <f>IF($J375="","",IFERROR(INDEX(B!$F$2:$F$61,MATCH($J375,B!$E$2:$E$61,0))&amp;"",""))</f>
        <v/>
      </c>
      <c r="O375" s="69">
        <f>IF($J375="","",IFERROR(INDEX(B!$G$2:$G$61,MATCH($J375,B!$E$2:$E$61,0))&amp;"",""))</f>
        <v/>
      </c>
      <c r="P375" s="69">
        <f>IF($J375="","",IFERROR(INDEX(B!$H$2:$H$61,MATCH($J375,B!$E$2:$E$61,0))&amp;"",""))</f>
        <v/>
      </c>
      <c r="Q375" s="69">
        <f>IF($J375="","",IFERROR(INDEX(B!$I$2:$I$61,MATCH($J375,B!$E$2:$E$61,0))&amp;"",""))</f>
        <v/>
      </c>
      <c r="R375" s="69">
        <f>IF($J375="","",IFERROR(INDEX(B!$J$2:$J$61,MATCH($J375,B!$E$2:$E$61,0))&amp;"",""))</f>
        <v/>
      </c>
      <c r="S375" s="69">
        <f>IF($J375="","",IFERROR(INDEX(B!$K$2:$K$61,MATCH($J375,B!$E$2:$E$61,0))&amp;"",""))</f>
        <v/>
      </c>
      <c r="T375" s="69">
        <f>IF($J375="","",IFERROR(INDEX(B!$L$2:$L$61,MATCH($J375,B!$E$2:$E$61,0))&amp;"",""))</f>
        <v/>
      </c>
      <c r="U375" s="20" t="n"/>
      <c r="V375" s="70">
        <f>IF($J375="","",IFERROR(INDEX(B!$M$2:$M$61,MATCH($J375,B!$E$2:$E$61,0))&amp;"",""))</f>
        <v/>
      </c>
      <c r="W375" s="71">
        <f>IF(I375="","",IFERROR(MID(I375,FIND("/d/",I375)+3,FIND("/edit",I375)-FIND("/d/",I375)-3),I375))</f>
        <v/>
      </c>
      <c r="X375" s="71">
        <f>IF($J375="","",IFERROR(INDEX(B!$C$2:$C$61,MATCH($J375,B!$E$2:$E$61,0))&amp;"",""))</f>
        <v/>
      </c>
      <c r="Y375" s="20" t="n"/>
      <c r="Z375" s="72">
        <f>IF($J375="",FALSE,ISNUMBER(SEARCH("scout",$K375)))</f>
        <v/>
      </c>
      <c r="AA375" s="72">
        <f>IF($J375="",FALSE,IFERROR(INDEX(B!$N$2:$N$61,MATCH($J375,B!$E$2:$E$61,0))="Sim",FALSE))</f>
        <v/>
      </c>
      <c r="AB375" s="72">
        <f>IF($J375="",FALSE,LEFT($X375,2)="XX")</f>
        <v/>
      </c>
      <c r="AC375" s="72">
        <f>IF($J375="",FALSE,IFERROR(INDEX(B!$P$2:$P$61,MATCH($J375,B!$E$2:$E$61,0))="Sim",FALSE))</f>
        <v/>
      </c>
      <c r="AD375" s="20" t="n"/>
      <c r="AE375" s="52">
        <f>IF(H375="","",HOUR(H375))</f>
        <v/>
      </c>
      <c r="AF375" s="52" t="n"/>
    </row>
    <row r="376" ht="19.5" customHeight="1" s="58">
      <c r="A376" s="62">
        <f>IF(G376="","",IF(G376=G375,"",COUNTIF($G$3:$G$976,G376)))</f>
        <v/>
      </c>
      <c r="B376" s="20" t="n"/>
      <c r="C376" s="63">
        <f>IF(G376="","",DAY(G376))</f>
        <v/>
      </c>
      <c r="D376" s="63">
        <f>IF(G376="","",MONTH(G376))</f>
        <v/>
      </c>
      <c r="E376" s="63">
        <f>IF(G376="","",YEAR(G376))</f>
        <v/>
      </c>
      <c r="F376" s="33">
        <f>IF(G376="","",CHOOSE(MONTH(G376),"Janeiro","Fevereiro","Março","Abril","Maio","Junho","Julho","Agosto","Setembro","Outubro","Novembro","Dezembro"))</f>
        <v/>
      </c>
      <c r="G376" s="64" t="n">
        <v>46064</v>
      </c>
      <c r="H376" s="65" t="n">
        <v>0.09270833333333334</v>
      </c>
      <c r="I376" s="66" t="inlineStr">
        <is>
          <t>https://docs.google.com/spreadsheets/d/1ZiCGoPjLCjuYvujDTXK9Ixbth3tekiLtFBzBrGjPCr4/edit?gid=0#gid=0</t>
        </is>
      </c>
      <c r="J376" s="67" t="inlineStr">
        <is>
          <t>Trajeto Ruim - [TR]</t>
        </is>
      </c>
      <c r="K376" s="67" t="inlineStr">
        <is>
          <t>Scout</t>
        </is>
      </c>
      <c r="L376" s="68" t="b">
        <v>0</v>
      </c>
      <c r="M376" s="20" t="n"/>
      <c r="N376" s="69">
        <f>IF($J376="","",IFERROR(INDEX(B!$F$2:$F$61,MATCH($J376,B!$E$2:$E$61,0))&amp;"",""))</f>
        <v/>
      </c>
      <c r="O376" s="69">
        <f>IF($J376="","",IFERROR(INDEX(B!$G$2:$G$61,MATCH($J376,B!$E$2:$E$61,0))&amp;"",""))</f>
        <v/>
      </c>
      <c r="P376" s="69">
        <f>IF($J376="","",IFERROR(INDEX(B!$H$2:$H$61,MATCH($J376,B!$E$2:$E$61,0))&amp;"",""))</f>
        <v/>
      </c>
      <c r="Q376" s="69">
        <f>IF($J376="","",IFERROR(INDEX(B!$I$2:$I$61,MATCH($J376,B!$E$2:$E$61,0))&amp;"",""))</f>
        <v/>
      </c>
      <c r="R376" s="69">
        <f>IF($J376="","",IFERROR(INDEX(B!$J$2:$J$61,MATCH($J376,B!$E$2:$E$61,0))&amp;"",""))</f>
        <v/>
      </c>
      <c r="S376" s="69">
        <f>IF($J376="","",IFERROR(INDEX(B!$K$2:$K$61,MATCH($J376,B!$E$2:$E$61,0))&amp;"",""))</f>
        <v/>
      </c>
      <c r="T376" s="69">
        <f>IF($J376="","",IFERROR(INDEX(B!$L$2:$L$61,MATCH($J376,B!$E$2:$E$61,0))&amp;"",""))</f>
        <v/>
      </c>
      <c r="U376" s="20" t="n"/>
      <c r="V376" s="70">
        <f>IF($J376="","",IFERROR(INDEX(B!$M$2:$M$61,MATCH($J376,B!$E$2:$E$61,0))&amp;"",""))</f>
        <v/>
      </c>
      <c r="W376" s="71">
        <f>IF(I376="","",IFERROR(MID(I376,FIND("/d/",I376)+3,FIND("/edit",I376)-FIND("/d/",I376)-3),I376))</f>
        <v/>
      </c>
      <c r="X376" s="71">
        <f>IF($J376="","",IFERROR(INDEX(B!$C$2:$C$61,MATCH($J376,B!$E$2:$E$61,0))&amp;"",""))</f>
        <v/>
      </c>
      <c r="Y376" s="20" t="n"/>
      <c r="Z376" s="72">
        <f>IF($J376="",FALSE,ISNUMBER(SEARCH("scout",$K376)))</f>
        <v/>
      </c>
      <c r="AA376" s="72">
        <f>IF($J376="",FALSE,IFERROR(INDEX(B!$N$2:$N$61,MATCH($J376,B!$E$2:$E$61,0))="Sim",FALSE))</f>
        <v/>
      </c>
      <c r="AB376" s="72">
        <f>IF($J376="",FALSE,LEFT($X376,2)="XX")</f>
        <v/>
      </c>
      <c r="AC376" s="72">
        <f>IF($J376="",FALSE,IFERROR(INDEX(B!$P$2:$P$61,MATCH($J376,B!$E$2:$E$61,0))="Sim",FALSE))</f>
        <v/>
      </c>
      <c r="AD376" s="20" t="n"/>
      <c r="AE376" s="52">
        <f>IF(H376="","",HOUR(H376))</f>
        <v/>
      </c>
      <c r="AF376" s="52" t="n"/>
    </row>
    <row r="377" ht="19.5" customHeight="1" s="58">
      <c r="A377" s="62">
        <f>IF(G377="","",IF(G377=G376,"",COUNTIF($G$3:$G$976,G377)))</f>
        <v/>
      </c>
      <c r="B377" s="20" t="n"/>
      <c r="C377" s="63">
        <f>IF(G377="","",DAY(G377))</f>
        <v/>
      </c>
      <c r="D377" s="63">
        <f>IF(G377="","",MONTH(G377))</f>
        <v/>
      </c>
      <c r="E377" s="63">
        <f>IF(G377="","",YEAR(G377))</f>
        <v/>
      </c>
      <c r="F377" s="33">
        <f>IF(G377="","",CHOOSE(MONTH(G377),"Janeiro","Fevereiro","Março","Abril","Maio","Junho","Julho","Agosto","Setembro","Outubro","Novembro","Dezembro"))</f>
        <v/>
      </c>
      <c r="G377" s="64" t="n">
        <v>46064</v>
      </c>
      <c r="H377" s="65" t="n">
        <v>0.09354166666666666</v>
      </c>
      <c r="I377" s="66" t="inlineStr">
        <is>
          <t>https://docs.google.com/spreadsheets/d/1ZiCGoPjLCjuYvujDTXK9Ixbth3tekiLtFBzBrGjPCr4/edit?gid=0#gid=0</t>
        </is>
      </c>
      <c r="J377" s="67" t="inlineStr">
        <is>
          <t>Transferência de LOB (Driver) - [TIDV]</t>
        </is>
      </c>
      <c r="K377" s="67" t="inlineStr">
        <is>
          <t>Scout</t>
        </is>
      </c>
      <c r="L377" s="68" t="b">
        <v>0</v>
      </c>
      <c r="M377" s="20" t="n"/>
      <c r="N377" s="69">
        <f>IF($J377="","",IFERROR(INDEX(B!$F$2:$F$61,MATCH($J377,B!$E$2:$E$61,0))&amp;"",""))</f>
        <v/>
      </c>
      <c r="O377" s="69">
        <f>IF($J377="","",IFERROR(INDEX(B!$G$2:$G$61,MATCH($J377,B!$E$2:$E$61,0))&amp;"",""))</f>
        <v/>
      </c>
      <c r="P377" s="69">
        <f>IF($J377="","",IFERROR(INDEX(B!$H$2:$H$61,MATCH($J377,B!$E$2:$E$61,0))&amp;"",""))</f>
        <v/>
      </c>
      <c r="Q377" s="69">
        <f>IF($J377="","",IFERROR(INDEX(B!$I$2:$I$61,MATCH($J377,B!$E$2:$E$61,0))&amp;"",""))</f>
        <v/>
      </c>
      <c r="R377" s="69">
        <f>IF($J377="","",IFERROR(INDEX(B!$J$2:$J$61,MATCH($J377,B!$E$2:$E$61,0))&amp;"",""))</f>
        <v/>
      </c>
      <c r="S377" s="69">
        <f>IF($J377="","",IFERROR(INDEX(B!$K$2:$K$61,MATCH($J377,B!$E$2:$E$61,0))&amp;"",""))</f>
        <v/>
      </c>
      <c r="T377" s="69">
        <f>IF($J377="","",IFERROR(INDEX(B!$L$2:$L$61,MATCH($J377,B!$E$2:$E$61,0))&amp;"",""))</f>
        <v/>
      </c>
      <c r="U377" s="20" t="n"/>
      <c r="V377" s="70">
        <f>IF($J377="","",IFERROR(INDEX(B!$M$2:$M$61,MATCH($J377,B!$E$2:$E$61,0))&amp;"",""))</f>
        <v/>
      </c>
      <c r="W377" s="71">
        <f>IF(I377="","",IFERROR(MID(I377,FIND("/d/",I377)+3,FIND("/edit",I377)-FIND("/d/",I377)-3),I377))</f>
        <v/>
      </c>
      <c r="X377" s="71">
        <f>IF($J377="","",IFERROR(INDEX(B!$C$2:$C$61,MATCH($J377,B!$E$2:$E$61,0))&amp;"",""))</f>
        <v/>
      </c>
      <c r="Y377" s="20" t="n"/>
      <c r="Z377" s="72">
        <f>IF($J377="",FALSE,ISNUMBER(SEARCH("scout",$K377)))</f>
        <v/>
      </c>
      <c r="AA377" s="72">
        <f>IF($J377="",FALSE,IFERROR(INDEX(B!$N$2:$N$61,MATCH($J377,B!$E$2:$E$61,0))="Sim",FALSE))</f>
        <v/>
      </c>
      <c r="AB377" s="72">
        <f>IF($J377="",FALSE,LEFT($X377,2)="XX")</f>
        <v/>
      </c>
      <c r="AC377" s="72">
        <f>IF($J377="",FALSE,IFERROR(INDEX(B!$P$2:$P$61,MATCH($J377,B!$E$2:$E$61,0))="Sim",FALSE))</f>
        <v/>
      </c>
      <c r="AD377" s="20" t="n"/>
      <c r="AE377" s="52">
        <f>IF(H377="","",HOUR(H377))</f>
        <v/>
      </c>
      <c r="AF377" s="52" t="n"/>
    </row>
    <row r="378" ht="19.5" customHeight="1" s="58">
      <c r="A378" s="62">
        <f>IF(G378="","",IF(G378=G377,"",COUNTIF($G$3:$G$976,G378)))</f>
        <v/>
      </c>
      <c r="B378" s="20" t="n"/>
      <c r="C378" s="63">
        <f>IF(G378="","",DAY(G378))</f>
        <v/>
      </c>
      <c r="D378" s="63">
        <f>IF(G378="","",MONTH(G378))</f>
        <v/>
      </c>
      <c r="E378" s="63">
        <f>IF(G378="","",YEAR(G378))</f>
        <v/>
      </c>
      <c r="F378" s="33">
        <f>IF(G378="","",CHOOSE(MONTH(G378),"Janeiro","Fevereiro","Março","Abril","Maio","Junho","Julho","Agosto","Setembro","Outubro","Novembro","Dezembro"))</f>
        <v/>
      </c>
      <c r="G378" s="64" t="n">
        <v>46064</v>
      </c>
      <c r="H378" s="65" t="n">
        <v>0.09386574074074074</v>
      </c>
      <c r="I378" s="66" t="inlineStr">
        <is>
          <t>https://docs.google.com/spreadsheets/d/1ZiCGoPjLCjuYvujDTXK9Ixbth3tekiLtFBzBrGjPCr4/edit?gid=0#gid=0</t>
        </is>
      </c>
      <c r="J378" s="67" t="inlineStr">
        <is>
          <t>Outros Valores Retidos (Pedágio, Cartão, Taxa de Cancelamento...) - [OTV]</t>
        </is>
      </c>
      <c r="K378" s="67" t="inlineStr"/>
      <c r="L378" s="68" t="b">
        <v>0</v>
      </c>
      <c r="M378" s="20" t="n"/>
      <c r="N378" s="69">
        <f>IF($J378="","",IFERROR(INDEX(B!$F$2:$F$61,MATCH($J378,B!$E$2:$E$61,0))&amp;"",""))</f>
        <v/>
      </c>
      <c r="O378" s="69">
        <f>IF($J378="","",IFERROR(INDEX(B!$G$2:$G$61,MATCH($J378,B!$E$2:$E$61,0))&amp;"",""))</f>
        <v/>
      </c>
      <c r="P378" s="69">
        <f>IF($J378="","",IFERROR(INDEX(B!$H$2:$H$61,MATCH($J378,B!$E$2:$E$61,0))&amp;"",""))</f>
        <v/>
      </c>
      <c r="Q378" s="69">
        <f>IF($J378="","",IFERROR(INDEX(B!$I$2:$I$61,MATCH($J378,B!$E$2:$E$61,0))&amp;"",""))</f>
        <v/>
      </c>
      <c r="R378" s="69">
        <f>IF($J378="","",IFERROR(INDEX(B!$J$2:$J$61,MATCH($J378,B!$E$2:$E$61,0))&amp;"",""))</f>
        <v/>
      </c>
      <c r="S378" s="69">
        <f>IF($J378="","",IFERROR(INDEX(B!$K$2:$K$61,MATCH($J378,B!$E$2:$E$61,0))&amp;"",""))</f>
        <v/>
      </c>
      <c r="T378" s="69">
        <f>IF($J378="","",IFERROR(INDEX(B!$L$2:$L$61,MATCH($J378,B!$E$2:$E$61,0))&amp;"",""))</f>
        <v/>
      </c>
      <c r="U378" s="20" t="n"/>
      <c r="V378" s="70">
        <f>IF($J378="","",IFERROR(INDEX(B!$M$2:$M$61,MATCH($J378,B!$E$2:$E$61,0))&amp;"",""))</f>
        <v/>
      </c>
      <c r="W378" s="71">
        <f>IF(I378="","",IFERROR(MID(I378,FIND("/d/",I378)+3,FIND("/edit",I378)-FIND("/d/",I378)-3),I378))</f>
        <v/>
      </c>
      <c r="X378" s="71">
        <f>IF($J378="","",IFERROR(INDEX(B!$C$2:$C$61,MATCH($J378,B!$E$2:$E$61,0))&amp;"",""))</f>
        <v/>
      </c>
      <c r="Y378" s="20" t="n"/>
      <c r="Z378" s="72">
        <f>IF($J378="",FALSE,ISNUMBER(SEARCH("scout",$K378)))</f>
        <v/>
      </c>
      <c r="AA378" s="72">
        <f>IF($J378="",FALSE,IFERROR(INDEX(B!$N$2:$N$61,MATCH($J378,B!$E$2:$E$61,0))="Sim",FALSE))</f>
        <v/>
      </c>
      <c r="AB378" s="72">
        <f>IF($J378="",FALSE,LEFT($X378,2)="XX")</f>
        <v/>
      </c>
      <c r="AC378" s="72">
        <f>IF($J378="",FALSE,IFERROR(INDEX(B!$P$2:$P$61,MATCH($J378,B!$E$2:$E$61,0))="Sim",FALSE))</f>
        <v/>
      </c>
      <c r="AD378" s="20" t="n"/>
      <c r="AE378" s="52">
        <f>IF(H378="","",HOUR(H378))</f>
        <v/>
      </c>
      <c r="AF378" s="52" t="n"/>
    </row>
    <row r="379" ht="19.5" customHeight="1" s="58">
      <c r="A379" s="62">
        <f>IF(G379="","",IF(G379=G378,"",COUNTIF($G$3:$G$976,G379)))</f>
        <v/>
      </c>
      <c r="B379" s="20" t="n"/>
      <c r="C379" s="63">
        <f>IF(G379="","",DAY(G379))</f>
        <v/>
      </c>
      <c r="D379" s="63">
        <f>IF(G379="","",MONTH(G379))</f>
        <v/>
      </c>
      <c r="E379" s="63">
        <f>IF(G379="","",YEAR(G379))</f>
        <v/>
      </c>
      <c r="F379" s="33">
        <f>IF(G379="","",CHOOSE(MONTH(G379),"Janeiro","Fevereiro","Março","Abril","Maio","Junho","Julho","Agosto","Setembro","Outubro","Novembro","Dezembro"))</f>
        <v/>
      </c>
      <c r="G379" s="64" t="n">
        <v>46064</v>
      </c>
      <c r="H379" s="65" t="n">
        <v>0.09392361111111111</v>
      </c>
      <c r="I379" s="66" t="inlineStr">
        <is>
          <t>https://docs.google.com/spreadsheets/d/1ZiCGoPjLCjuYvujDTXK9Ixbth3tekiLtFBzBrGjPCr4/edit?gid=0#gid=0</t>
        </is>
      </c>
      <c r="J379" s="67" t="inlineStr">
        <is>
          <t>Transferência de LOB (Driver) - [TIDV]</t>
        </is>
      </c>
      <c r="K379" s="67" t="inlineStr"/>
      <c r="L379" s="68" t="b">
        <v>0</v>
      </c>
      <c r="M379" s="20" t="n"/>
      <c r="N379" s="69">
        <f>IF($J379="","",IFERROR(INDEX(B!$F$2:$F$61,MATCH($J379,B!$E$2:$E$61,0))&amp;"",""))</f>
        <v/>
      </c>
      <c r="O379" s="69">
        <f>IF($J379="","",IFERROR(INDEX(B!$G$2:$G$61,MATCH($J379,B!$E$2:$E$61,0))&amp;"",""))</f>
        <v/>
      </c>
      <c r="P379" s="69">
        <f>IF($J379="","",IFERROR(INDEX(B!$H$2:$H$61,MATCH($J379,B!$E$2:$E$61,0))&amp;"",""))</f>
        <v/>
      </c>
      <c r="Q379" s="69">
        <f>IF($J379="","",IFERROR(INDEX(B!$I$2:$I$61,MATCH($J379,B!$E$2:$E$61,0))&amp;"",""))</f>
        <v/>
      </c>
      <c r="R379" s="69">
        <f>IF($J379="","",IFERROR(INDEX(B!$J$2:$J$61,MATCH($J379,B!$E$2:$E$61,0))&amp;"",""))</f>
        <v/>
      </c>
      <c r="S379" s="69">
        <f>IF($J379="","",IFERROR(INDEX(B!$K$2:$K$61,MATCH($J379,B!$E$2:$E$61,0))&amp;"",""))</f>
        <v/>
      </c>
      <c r="T379" s="69">
        <f>IF($J379="","",IFERROR(INDEX(B!$L$2:$L$61,MATCH($J379,B!$E$2:$E$61,0))&amp;"",""))</f>
        <v/>
      </c>
      <c r="U379" s="20" t="n"/>
      <c r="V379" s="70">
        <f>IF($J379="","",IFERROR(INDEX(B!$M$2:$M$61,MATCH($J379,B!$E$2:$E$61,0))&amp;"",""))</f>
        <v/>
      </c>
      <c r="W379" s="71">
        <f>IF(I379="","",IFERROR(MID(I379,FIND("/d/",I379)+3,FIND("/edit",I379)-FIND("/d/",I379)-3),I379))</f>
        <v/>
      </c>
      <c r="X379" s="71">
        <f>IF($J379="","",IFERROR(INDEX(B!$C$2:$C$61,MATCH($J379,B!$E$2:$E$61,0))&amp;"",""))</f>
        <v/>
      </c>
      <c r="Y379" s="20" t="n"/>
      <c r="Z379" s="72">
        <f>IF($J379="",FALSE,ISNUMBER(SEARCH("scout",$K379)))</f>
        <v/>
      </c>
      <c r="AA379" s="72">
        <f>IF($J379="",FALSE,IFERROR(INDEX(B!$N$2:$N$61,MATCH($J379,B!$E$2:$E$61,0))="Sim",FALSE))</f>
        <v/>
      </c>
      <c r="AB379" s="72">
        <f>IF($J379="",FALSE,LEFT($X379,2)="XX")</f>
        <v/>
      </c>
      <c r="AC379" s="72">
        <f>IF($J379="",FALSE,IFERROR(INDEX(B!$P$2:$P$61,MATCH($J379,B!$E$2:$E$61,0))="Sim",FALSE))</f>
        <v/>
      </c>
      <c r="AD379" s="20" t="n"/>
      <c r="AE379" s="52">
        <f>IF(H379="","",HOUR(H379))</f>
        <v/>
      </c>
      <c r="AF379" s="52" t="n"/>
    </row>
    <row r="380" ht="19.5" customHeight="1" s="58">
      <c r="A380" s="62">
        <f>IF(G380="","",IF(G380=G379,"",COUNTIF($G$3:$G$976,G380)))</f>
        <v/>
      </c>
      <c r="B380" s="20" t="n"/>
      <c r="C380" s="63">
        <f>IF(G380="","",DAY(G380))</f>
        <v/>
      </c>
      <c r="D380" s="63">
        <f>IF(G380="","",MONTH(G380))</f>
        <v/>
      </c>
      <c r="E380" s="63">
        <f>IF(G380="","",YEAR(G380))</f>
        <v/>
      </c>
      <c r="F380" s="33">
        <f>IF(G380="","",CHOOSE(MONTH(G380),"Janeiro","Fevereiro","Março","Abril","Maio","Junho","Julho","Agosto","Setembro","Outubro","Novembro","Dezembro"))</f>
        <v/>
      </c>
      <c r="G380" s="64" t="n">
        <v>46064</v>
      </c>
      <c r="H380" s="65" t="n">
        <v>0.09596064814814814</v>
      </c>
      <c r="I380" s="66" t="inlineStr">
        <is>
          <t>https://docs.google.com/spreadsheets/d/1ZiCGoPjLCjuYvujDTXK9Ixbth3tekiLtFBzBrGjPCr4/edit?gid=0#gid=0</t>
        </is>
      </c>
      <c r="J380" s="67" t="inlineStr">
        <is>
          <t>Overpaid, Excede o limite Com comprovante - [OPEC]</t>
        </is>
      </c>
      <c r="K380" s="67" t="inlineStr"/>
      <c r="L380" s="68" t="b">
        <v>0</v>
      </c>
      <c r="M380" s="20" t="n"/>
      <c r="N380" s="69">
        <f>IF($J380="","",IFERROR(INDEX(B!$F$2:$F$61,MATCH($J380,B!$E$2:$E$61,0))&amp;"",""))</f>
        <v/>
      </c>
      <c r="O380" s="69">
        <f>IF($J380="","",IFERROR(INDEX(B!$G$2:$G$61,MATCH($J380,B!$E$2:$E$61,0))&amp;"",""))</f>
        <v/>
      </c>
      <c r="P380" s="69">
        <f>IF($J380="","",IFERROR(INDEX(B!$H$2:$H$61,MATCH($J380,B!$E$2:$E$61,0))&amp;"",""))</f>
        <v/>
      </c>
      <c r="Q380" s="69">
        <f>IF($J380="","",IFERROR(INDEX(B!$I$2:$I$61,MATCH($J380,B!$E$2:$E$61,0))&amp;"",""))</f>
        <v/>
      </c>
      <c r="R380" s="69">
        <f>IF($J380="","",IFERROR(INDEX(B!$J$2:$J$61,MATCH($J380,B!$E$2:$E$61,0))&amp;"",""))</f>
        <v/>
      </c>
      <c r="S380" s="69">
        <f>IF($J380="","",IFERROR(INDEX(B!$K$2:$K$61,MATCH($J380,B!$E$2:$E$61,0))&amp;"",""))</f>
        <v/>
      </c>
      <c r="T380" s="69">
        <f>IF($J380="","",IFERROR(INDEX(B!$L$2:$L$61,MATCH($J380,B!$E$2:$E$61,0))&amp;"",""))</f>
        <v/>
      </c>
      <c r="U380" s="20" t="n"/>
      <c r="V380" s="70">
        <f>IF($J380="","",IFERROR(INDEX(B!$M$2:$M$61,MATCH($J380,B!$E$2:$E$61,0))&amp;"",""))</f>
        <v/>
      </c>
      <c r="W380" s="71">
        <f>IF(I380="","",IFERROR(MID(I380,FIND("/d/",I380)+3,FIND("/edit",I380)-FIND("/d/",I380)-3),I380))</f>
        <v/>
      </c>
      <c r="X380" s="71">
        <f>IF($J380="","",IFERROR(INDEX(B!$C$2:$C$61,MATCH($J380,B!$E$2:$E$61,0))&amp;"",""))</f>
        <v/>
      </c>
      <c r="Y380" s="20" t="n"/>
      <c r="Z380" s="72">
        <f>IF($J380="",FALSE,ISNUMBER(SEARCH("scout",$K380)))</f>
        <v/>
      </c>
      <c r="AA380" s="72">
        <f>IF($J380="",FALSE,IFERROR(INDEX(B!$N$2:$N$61,MATCH($J380,B!$E$2:$E$61,0))="Sim",FALSE))</f>
        <v/>
      </c>
      <c r="AB380" s="72">
        <f>IF($J380="",FALSE,LEFT($X380,2)="XX")</f>
        <v/>
      </c>
      <c r="AC380" s="72">
        <f>IF($J380="",FALSE,IFERROR(INDEX(B!$P$2:$P$61,MATCH($J380,B!$E$2:$E$61,0))="Sim",FALSE))</f>
        <v/>
      </c>
      <c r="AD380" s="20" t="n"/>
      <c r="AE380" s="52">
        <f>IF(H380="","",HOUR(H380))</f>
        <v/>
      </c>
      <c r="AF380" s="52" t="n"/>
    </row>
    <row r="381" ht="19.5" customHeight="1" s="58">
      <c r="A381" s="62">
        <f>IF(G381="","",IF(G381=G380,"",COUNTIF($G$3:$G$976,G381)))</f>
        <v/>
      </c>
      <c r="B381" s="20" t="n"/>
      <c r="C381" s="63">
        <f>IF(G381="","",DAY(G381))</f>
        <v/>
      </c>
      <c r="D381" s="63">
        <f>IF(G381="","",MONTH(G381))</f>
        <v/>
      </c>
      <c r="E381" s="63">
        <f>IF(G381="","",YEAR(G381))</f>
        <v/>
      </c>
      <c r="F381" s="33">
        <f>IF(G381="","",CHOOSE(MONTH(G381),"Janeiro","Fevereiro","Março","Abril","Maio","Junho","Julho","Agosto","Setembro","Outubro","Novembro","Dezembro"))</f>
        <v/>
      </c>
      <c r="G381" s="64" t="n">
        <v>46064</v>
      </c>
      <c r="H381" s="65" t="n">
        <v>0.1046759259259259</v>
      </c>
      <c r="I381" s="66" t="inlineStr">
        <is>
          <t>https://docs.google.com/spreadsheets/d/1ZiCGoPjLCjuYvujDTXK9Ixbth3tekiLtFBzBrGjPCr4/edit?gid=0#gid=0</t>
        </is>
      </c>
      <c r="J381" s="67" t="inlineStr">
        <is>
          <t>Overpaid, Excede o limite Com comprovante - [OPEC]</t>
        </is>
      </c>
      <c r="K381" s="67" t="inlineStr"/>
      <c r="L381" s="68" t="b">
        <v>0</v>
      </c>
      <c r="M381" s="20" t="n"/>
      <c r="N381" s="69">
        <f>IF($J381="","",IFERROR(INDEX(B!$F$2:$F$61,MATCH($J381,B!$E$2:$E$61,0))&amp;"",""))</f>
        <v/>
      </c>
      <c r="O381" s="69">
        <f>IF($J381="","",IFERROR(INDEX(B!$G$2:$G$61,MATCH($J381,B!$E$2:$E$61,0))&amp;"",""))</f>
        <v/>
      </c>
      <c r="P381" s="69">
        <f>IF($J381="","",IFERROR(INDEX(B!$H$2:$H$61,MATCH($J381,B!$E$2:$E$61,0))&amp;"",""))</f>
        <v/>
      </c>
      <c r="Q381" s="69">
        <f>IF($J381="","",IFERROR(INDEX(B!$I$2:$I$61,MATCH($J381,B!$E$2:$E$61,0))&amp;"",""))</f>
        <v/>
      </c>
      <c r="R381" s="69">
        <f>IF($J381="","",IFERROR(INDEX(B!$J$2:$J$61,MATCH($J381,B!$E$2:$E$61,0))&amp;"",""))</f>
        <v/>
      </c>
      <c r="S381" s="69">
        <f>IF($J381="","",IFERROR(INDEX(B!$K$2:$K$61,MATCH($J381,B!$E$2:$E$61,0))&amp;"",""))</f>
        <v/>
      </c>
      <c r="T381" s="69">
        <f>IF($J381="","",IFERROR(INDEX(B!$L$2:$L$61,MATCH($J381,B!$E$2:$E$61,0))&amp;"",""))</f>
        <v/>
      </c>
      <c r="U381" s="20" t="n"/>
      <c r="V381" s="70">
        <f>IF($J381="","",IFERROR(INDEX(B!$M$2:$M$61,MATCH($J381,B!$E$2:$E$61,0))&amp;"",""))</f>
        <v/>
      </c>
      <c r="W381" s="71">
        <f>IF(I381="","",IFERROR(MID(I381,FIND("/d/",I381)+3,FIND("/edit",I381)-FIND("/d/",I381)-3),I381))</f>
        <v/>
      </c>
      <c r="X381" s="71">
        <f>IF($J381="","",IFERROR(INDEX(B!$C$2:$C$61,MATCH($J381,B!$E$2:$E$61,0))&amp;"",""))</f>
        <v/>
      </c>
      <c r="Y381" s="20" t="n"/>
      <c r="Z381" s="72">
        <f>IF($J381="",FALSE,ISNUMBER(SEARCH("scout",$K381)))</f>
        <v/>
      </c>
      <c r="AA381" s="72">
        <f>IF($J381="",FALSE,IFERROR(INDEX(B!$N$2:$N$61,MATCH($J381,B!$E$2:$E$61,0))="Sim",FALSE))</f>
        <v/>
      </c>
      <c r="AB381" s="72">
        <f>IF($J381="",FALSE,LEFT($X381,2)="XX")</f>
        <v/>
      </c>
      <c r="AC381" s="72">
        <f>IF($J381="",FALSE,IFERROR(INDEX(B!$P$2:$P$61,MATCH($J381,B!$E$2:$E$61,0))="Sim",FALSE))</f>
        <v/>
      </c>
      <c r="AD381" s="20" t="n"/>
      <c r="AE381" s="52">
        <f>IF(H381="","",HOUR(H381))</f>
        <v/>
      </c>
      <c r="AF381" s="52" t="n"/>
    </row>
    <row r="382" ht="19.5" customHeight="1" s="58">
      <c r="A382" s="62">
        <f>IF(G382="","",IF(G382=G381,"",COUNTIF($G$3:$G$976,G382)))</f>
        <v/>
      </c>
      <c r="B382" s="20" t="n"/>
      <c r="C382" s="63">
        <f>IF(G382="","",DAY(G382))</f>
        <v/>
      </c>
      <c r="D382" s="63">
        <f>IF(G382="","",MONTH(G382))</f>
        <v/>
      </c>
      <c r="E382" s="63">
        <f>IF(G382="","",YEAR(G382))</f>
        <v/>
      </c>
      <c r="F382" s="33">
        <f>IF(G382="","",CHOOSE(MONTH(G382),"Janeiro","Fevereiro","Março","Abril","Maio","Junho","Julho","Agosto","Setembro","Outubro","Novembro","Dezembro"))</f>
        <v/>
      </c>
      <c r="G382" s="64" t="n">
        <v>46064</v>
      </c>
      <c r="H382" s="65" t="n">
        <v>0.1100231481481481</v>
      </c>
      <c r="I382" s="66" t="inlineStr">
        <is>
          <t>https://docs.google.com/spreadsheets/d/1ZiCGoPjLCjuYvujDTXK9Ixbth3tekiLtFBzBrGjPCr4/edit?gid=0#gid=0</t>
        </is>
      </c>
      <c r="J382" s="67" t="inlineStr">
        <is>
          <t>Não houve Taxa de Cancelamento - [NTX]</t>
        </is>
      </c>
      <c r="K382" s="67" t="inlineStr"/>
      <c r="L382" s="68" t="b">
        <v>0</v>
      </c>
      <c r="M382" s="20" t="n"/>
      <c r="N382" s="69">
        <f>IF($J382="","",IFERROR(INDEX(B!$F$2:$F$61,MATCH($J382,B!$E$2:$E$61,0))&amp;"",""))</f>
        <v/>
      </c>
      <c r="O382" s="69">
        <f>IF($J382="","",IFERROR(INDEX(B!$G$2:$G$61,MATCH($J382,B!$E$2:$E$61,0))&amp;"",""))</f>
        <v/>
      </c>
      <c r="P382" s="69">
        <f>IF($J382="","",IFERROR(INDEX(B!$H$2:$H$61,MATCH($J382,B!$E$2:$E$61,0))&amp;"",""))</f>
        <v/>
      </c>
      <c r="Q382" s="69">
        <f>IF($J382="","",IFERROR(INDEX(B!$I$2:$I$61,MATCH($J382,B!$E$2:$E$61,0))&amp;"",""))</f>
        <v/>
      </c>
      <c r="R382" s="69">
        <f>IF($J382="","",IFERROR(INDEX(B!$J$2:$J$61,MATCH($J382,B!$E$2:$E$61,0))&amp;"",""))</f>
        <v/>
      </c>
      <c r="S382" s="69">
        <f>IF($J382="","",IFERROR(INDEX(B!$K$2:$K$61,MATCH($J382,B!$E$2:$E$61,0))&amp;"",""))</f>
        <v/>
      </c>
      <c r="T382" s="69">
        <f>IF($J382="","",IFERROR(INDEX(B!$L$2:$L$61,MATCH($J382,B!$E$2:$E$61,0))&amp;"",""))</f>
        <v/>
      </c>
      <c r="U382" s="20" t="n"/>
      <c r="V382" s="70">
        <f>IF($J382="","",IFERROR(INDEX(B!$M$2:$M$61,MATCH($J382,B!$E$2:$E$61,0))&amp;"",""))</f>
        <v/>
      </c>
      <c r="W382" s="71">
        <f>IF(I382="","",IFERROR(MID(I382,FIND("/d/",I382)+3,FIND("/edit",I382)-FIND("/d/",I382)-3),I382))</f>
        <v/>
      </c>
      <c r="X382" s="71">
        <f>IF($J382="","",IFERROR(INDEX(B!$C$2:$C$61,MATCH($J382,B!$E$2:$E$61,0))&amp;"",""))</f>
        <v/>
      </c>
      <c r="Y382" s="20" t="n"/>
      <c r="Z382" s="72">
        <f>IF($J382="",FALSE,ISNUMBER(SEARCH("scout",$K382)))</f>
        <v/>
      </c>
      <c r="AA382" s="72">
        <f>IF($J382="",FALSE,IFERROR(INDEX(B!$N$2:$N$61,MATCH($J382,B!$E$2:$E$61,0))="Sim",FALSE))</f>
        <v/>
      </c>
      <c r="AB382" s="72">
        <f>IF($J382="",FALSE,LEFT($X382,2)="XX")</f>
        <v/>
      </c>
      <c r="AC382" s="72">
        <f>IF($J382="",FALSE,IFERROR(INDEX(B!$P$2:$P$61,MATCH($J382,B!$E$2:$E$61,0))="Sim",FALSE))</f>
        <v/>
      </c>
      <c r="AD382" s="20" t="n"/>
      <c r="AE382" s="52">
        <f>IF(H382="","",HOUR(H382))</f>
        <v/>
      </c>
      <c r="AF382" s="52" t="n"/>
    </row>
    <row r="383" ht="19.5" customHeight="1" s="58">
      <c r="A383" s="62">
        <f>IF(G383="","",IF(G383=G382,"",COUNTIF($G$3:$G$976,G383)))</f>
        <v/>
      </c>
      <c r="B383" s="20" t="n"/>
      <c r="C383" s="63">
        <f>IF(G383="","",DAY(G383))</f>
        <v/>
      </c>
      <c r="D383" s="63">
        <f>IF(G383="","",MONTH(G383))</f>
        <v/>
      </c>
      <c r="E383" s="63">
        <f>IF(G383="","",YEAR(G383))</f>
        <v/>
      </c>
      <c r="F383" s="33">
        <f>IF(G383="","",CHOOSE(MONTH(G383),"Janeiro","Fevereiro","Março","Abril","Maio","Junho","Julho","Agosto","Setembro","Outubro","Novembro","Dezembro"))</f>
        <v/>
      </c>
      <c r="G383" s="64" t="n">
        <v>46064</v>
      </c>
      <c r="H383" s="65" t="n">
        <v>0.1120486111111111</v>
      </c>
      <c r="I383" s="66" t="inlineStr">
        <is>
          <t>https://docs.google.com/spreadsheets/d/1ZiCGoPjLCjuYvujDTXK9Ixbth3tekiLtFBzBrGjPCr4/edit?gid=0#gid=0</t>
        </is>
      </c>
      <c r="J383" s="67" t="inlineStr">
        <is>
          <t>Taxa de Limpeza, Sem ajustes - [TXLO]</t>
        </is>
      </c>
      <c r="K383" s="67" t="inlineStr"/>
      <c r="L383" s="68" t="b">
        <v>0</v>
      </c>
      <c r="M383" s="20" t="n"/>
      <c r="N383" s="69">
        <f>IF($J383="","",IFERROR(INDEX(B!$F$2:$F$61,MATCH($J383,B!$E$2:$E$61,0))&amp;"",""))</f>
        <v/>
      </c>
      <c r="O383" s="69">
        <f>IF($J383="","",IFERROR(INDEX(B!$G$2:$G$61,MATCH($J383,B!$E$2:$E$61,0))&amp;"",""))</f>
        <v/>
      </c>
      <c r="P383" s="69">
        <f>IF($J383="","",IFERROR(INDEX(B!$H$2:$H$61,MATCH($J383,B!$E$2:$E$61,0))&amp;"",""))</f>
        <v/>
      </c>
      <c r="Q383" s="69">
        <f>IF($J383="","",IFERROR(INDEX(B!$I$2:$I$61,MATCH($J383,B!$E$2:$E$61,0))&amp;"",""))</f>
        <v/>
      </c>
      <c r="R383" s="69">
        <f>IF($J383="","",IFERROR(INDEX(B!$J$2:$J$61,MATCH($J383,B!$E$2:$E$61,0))&amp;"",""))</f>
        <v/>
      </c>
      <c r="S383" s="69">
        <f>IF($J383="","",IFERROR(INDEX(B!$K$2:$K$61,MATCH($J383,B!$E$2:$E$61,0))&amp;"",""))</f>
        <v/>
      </c>
      <c r="T383" s="69">
        <f>IF($J383="","",IFERROR(INDEX(B!$L$2:$L$61,MATCH($J383,B!$E$2:$E$61,0))&amp;"",""))</f>
        <v/>
      </c>
      <c r="U383" s="20" t="n"/>
      <c r="V383" s="70">
        <f>IF($J383="","",IFERROR(INDEX(B!$M$2:$M$61,MATCH($J383,B!$E$2:$E$61,0))&amp;"",""))</f>
        <v/>
      </c>
      <c r="W383" s="71">
        <f>IF(I383="","",IFERROR(MID(I383,FIND("/d/",I383)+3,FIND("/edit",I383)-FIND("/d/",I383)-3),I383))</f>
        <v/>
      </c>
      <c r="X383" s="71">
        <f>IF($J383="","",IFERROR(INDEX(B!$C$2:$C$61,MATCH($J383,B!$E$2:$E$61,0))&amp;"",""))</f>
        <v/>
      </c>
      <c r="Y383" s="20" t="n"/>
      <c r="Z383" s="72">
        <f>IF($J383="",FALSE,ISNUMBER(SEARCH("scout",$K383)))</f>
        <v/>
      </c>
      <c r="AA383" s="72">
        <f>IF($J383="",FALSE,IFERROR(INDEX(B!$N$2:$N$61,MATCH($J383,B!$E$2:$E$61,0))="Sim",FALSE))</f>
        <v/>
      </c>
      <c r="AB383" s="72">
        <f>IF($J383="",FALSE,LEFT($X383,2)="XX")</f>
        <v/>
      </c>
      <c r="AC383" s="72">
        <f>IF($J383="",FALSE,IFERROR(INDEX(B!$P$2:$P$61,MATCH($J383,B!$E$2:$E$61,0))="Sim",FALSE))</f>
        <v/>
      </c>
      <c r="AD383" s="20" t="n"/>
      <c r="AE383" s="52">
        <f>IF(H383="","",HOUR(H383))</f>
        <v/>
      </c>
      <c r="AF383" s="52" t="n"/>
    </row>
    <row r="384" ht="19.5" customHeight="1" s="58">
      <c r="A384" s="62">
        <f>IF(G384="","",IF(G384=G383,"",COUNTIF($G$3:$G$976,G384)))</f>
        <v/>
      </c>
      <c r="B384" s="20" t="n"/>
      <c r="C384" s="63">
        <f>IF(G384="","",DAY(G384))</f>
        <v/>
      </c>
      <c r="D384" s="63">
        <f>IF(G384="","",MONTH(G384))</f>
        <v/>
      </c>
      <c r="E384" s="63">
        <f>IF(G384="","",YEAR(G384))</f>
        <v/>
      </c>
      <c r="F384" s="33">
        <f>IF(G384="","",CHOOSE(MONTH(G384),"Janeiro","Fevereiro","Março","Abril","Maio","Junho","Julho","Agosto","Setembro","Outubro","Novembro","Dezembro"))</f>
        <v/>
      </c>
      <c r="G384" s="64" t="n">
        <v>46064</v>
      </c>
      <c r="H384" s="65" t="n">
        <v>0.1217361111111111</v>
      </c>
      <c r="I384" s="66" t="inlineStr">
        <is>
          <t>https://docs.google.com/spreadsheets/d/1ZiCGoPjLCjuYvujDTXK9Ixbth3tekiLtFBzBrGjPCr4/edit?gid=0#gid=0</t>
        </is>
      </c>
      <c r="J384" s="67" t="inlineStr">
        <is>
          <t>Taxa de Limpeza, Reembolsado ao cliente - [TXLR]</t>
        </is>
      </c>
      <c r="K384" s="67" t="inlineStr"/>
      <c r="L384" s="68" t="b">
        <v>1</v>
      </c>
      <c r="M384" s="20" t="n"/>
      <c r="N384" s="69">
        <f>IF($J384="","",IFERROR(INDEX(B!$F$2:$F$61,MATCH($J384,B!$E$2:$E$61,0))&amp;"",""))</f>
        <v/>
      </c>
      <c r="O384" s="69">
        <f>IF($J384="","",IFERROR(INDEX(B!$G$2:$G$61,MATCH($J384,B!$E$2:$E$61,0))&amp;"",""))</f>
        <v/>
      </c>
      <c r="P384" s="69">
        <f>IF($J384="","",IFERROR(INDEX(B!$H$2:$H$61,MATCH($J384,B!$E$2:$E$61,0))&amp;"",""))</f>
        <v/>
      </c>
      <c r="Q384" s="69">
        <f>IF($J384="","",IFERROR(INDEX(B!$I$2:$I$61,MATCH($J384,B!$E$2:$E$61,0))&amp;"",""))</f>
        <v/>
      </c>
      <c r="R384" s="69">
        <f>IF($J384="","",IFERROR(INDEX(B!$J$2:$J$61,MATCH($J384,B!$E$2:$E$61,0))&amp;"",""))</f>
        <v/>
      </c>
      <c r="S384" s="69">
        <f>IF($J384="","",IFERROR(INDEX(B!$K$2:$K$61,MATCH($J384,B!$E$2:$E$61,0))&amp;"",""))</f>
        <v/>
      </c>
      <c r="T384" s="69">
        <f>IF($J384="","",IFERROR(INDEX(B!$L$2:$L$61,MATCH($J384,B!$E$2:$E$61,0))&amp;"",""))</f>
        <v/>
      </c>
      <c r="U384" s="20" t="n"/>
      <c r="V384" s="70">
        <f>IF($J384="","",IFERROR(INDEX(B!$M$2:$M$61,MATCH($J384,B!$E$2:$E$61,0))&amp;"",""))</f>
        <v/>
      </c>
      <c r="W384" s="71">
        <f>IF(I384="","",IFERROR(MID(I384,FIND("/d/",I384)+3,FIND("/edit",I384)-FIND("/d/",I384)-3),I384))</f>
        <v/>
      </c>
      <c r="X384" s="71">
        <f>IF($J384="","",IFERROR(INDEX(B!$C$2:$C$61,MATCH($J384,B!$E$2:$E$61,0))&amp;"",""))</f>
        <v/>
      </c>
      <c r="Y384" s="20" t="n"/>
      <c r="Z384" s="72">
        <f>IF($J384="",FALSE,ISNUMBER(SEARCH("scout",$K384)))</f>
        <v/>
      </c>
      <c r="AA384" s="72">
        <f>IF($J384="",FALSE,IFERROR(INDEX(B!$N$2:$N$61,MATCH($J384,B!$E$2:$E$61,0))="Sim",FALSE))</f>
        <v/>
      </c>
      <c r="AB384" s="72">
        <f>IF($J384="",FALSE,LEFT($X384,2)="XX")</f>
        <v/>
      </c>
      <c r="AC384" s="72">
        <f>IF($J384="",FALSE,IFERROR(INDEX(B!$P$2:$P$61,MATCH($J384,B!$E$2:$E$61,0))="Sim",FALSE))</f>
        <v/>
      </c>
      <c r="AD384" s="20" t="n"/>
      <c r="AE384" s="52">
        <f>IF(H384="","",HOUR(H384))</f>
        <v/>
      </c>
      <c r="AF384" s="52" t="n"/>
    </row>
    <row r="385" ht="19.5" customHeight="1" s="58">
      <c r="A385" s="62">
        <f>IF(G385="","",IF(G385=G384,"",COUNTIF($G$3:$G$976,G385)))</f>
        <v/>
      </c>
      <c r="B385" s="20" t="n"/>
      <c r="C385" s="63">
        <f>IF(G385="","",DAY(G385))</f>
        <v/>
      </c>
      <c r="D385" s="63">
        <f>IF(G385="","",MONTH(G385))</f>
        <v/>
      </c>
      <c r="E385" s="63">
        <f>IF(G385="","",YEAR(G385))</f>
        <v/>
      </c>
      <c r="F385" s="33">
        <f>IF(G385="","",CHOOSE(MONTH(G385),"Janeiro","Fevereiro","Março","Abril","Maio","Junho","Julho","Agosto","Setembro","Outubro","Novembro","Dezembro"))</f>
        <v/>
      </c>
      <c r="G385" s="64" t="n">
        <v>46064</v>
      </c>
      <c r="H385" s="65" t="n">
        <v>0.1286921296296296</v>
      </c>
      <c r="I385" s="66" t="inlineStr">
        <is>
          <t>https://docs.google.com/spreadsheets/d/1ZiCGoPjLCjuYvujDTXK9Ixbth3tekiLtFBzBrGjPCr4/edit?gid=0#gid=0</t>
        </is>
      </c>
      <c r="J385" s="67" t="inlineStr">
        <is>
          <t>Não houve Taxa de Cancelamento - [NTX]</t>
        </is>
      </c>
      <c r="K385" s="67" t="inlineStr"/>
      <c r="L385" s="68" t="b">
        <v>0</v>
      </c>
      <c r="M385" s="20" t="n"/>
      <c r="N385" s="69">
        <f>IF($J385="","",IFERROR(INDEX(B!$F$2:$F$61,MATCH($J385,B!$E$2:$E$61,0))&amp;"",""))</f>
        <v/>
      </c>
      <c r="O385" s="69">
        <f>IF($J385="","",IFERROR(INDEX(B!$G$2:$G$61,MATCH($J385,B!$E$2:$E$61,0))&amp;"",""))</f>
        <v/>
      </c>
      <c r="P385" s="69">
        <f>IF($J385="","",IFERROR(INDEX(B!$H$2:$H$61,MATCH($J385,B!$E$2:$E$61,0))&amp;"",""))</f>
        <v/>
      </c>
      <c r="Q385" s="69">
        <f>IF($J385="","",IFERROR(INDEX(B!$I$2:$I$61,MATCH($J385,B!$E$2:$E$61,0))&amp;"",""))</f>
        <v/>
      </c>
      <c r="R385" s="69">
        <f>IF($J385="","",IFERROR(INDEX(B!$J$2:$J$61,MATCH($J385,B!$E$2:$E$61,0))&amp;"",""))</f>
        <v/>
      </c>
      <c r="S385" s="69">
        <f>IF($J385="","",IFERROR(INDEX(B!$K$2:$K$61,MATCH($J385,B!$E$2:$E$61,0))&amp;"",""))</f>
        <v/>
      </c>
      <c r="T385" s="69">
        <f>IF($J385="","",IFERROR(INDEX(B!$L$2:$L$61,MATCH($J385,B!$E$2:$E$61,0))&amp;"",""))</f>
        <v/>
      </c>
      <c r="U385" s="20" t="n"/>
      <c r="V385" s="70">
        <f>IF($J385="","",IFERROR(INDEX(B!$M$2:$M$61,MATCH($J385,B!$E$2:$E$61,0))&amp;"",""))</f>
        <v/>
      </c>
      <c r="W385" s="71">
        <f>IF(I385="","",IFERROR(MID(I385,FIND("/d/",I385)+3,FIND("/edit",I385)-FIND("/d/",I385)-3),I385))</f>
        <v/>
      </c>
      <c r="X385" s="71">
        <f>IF($J385="","",IFERROR(INDEX(B!$C$2:$C$61,MATCH($J385,B!$E$2:$E$61,0))&amp;"",""))</f>
        <v/>
      </c>
      <c r="Y385" s="20" t="n"/>
      <c r="Z385" s="72">
        <f>IF($J385="",FALSE,ISNUMBER(SEARCH("scout",$K385)))</f>
        <v/>
      </c>
      <c r="AA385" s="72">
        <f>IF($J385="",FALSE,IFERROR(INDEX(B!$N$2:$N$61,MATCH($J385,B!$E$2:$E$61,0))="Sim",FALSE))</f>
        <v/>
      </c>
      <c r="AB385" s="72">
        <f>IF($J385="",FALSE,LEFT($X385,2)="XX")</f>
        <v/>
      </c>
      <c r="AC385" s="72">
        <f>IF($J385="",FALSE,IFERROR(INDEX(B!$P$2:$P$61,MATCH($J385,B!$E$2:$E$61,0))="Sim",FALSE))</f>
        <v/>
      </c>
      <c r="AD385" s="20" t="n"/>
      <c r="AE385" s="52">
        <f>IF(H385="","",HOUR(H385))</f>
        <v/>
      </c>
      <c r="AF385" s="52" t="n"/>
    </row>
    <row r="386" ht="19.5" customHeight="1" s="58">
      <c r="A386" s="62">
        <f>IF(G386="","",IF(G386=G385,"",COUNTIF($G$3:$G$976,G386)))</f>
        <v/>
      </c>
      <c r="B386" s="20" t="n"/>
      <c r="C386" s="63">
        <f>IF(G386="","",DAY(G386))</f>
        <v/>
      </c>
      <c r="D386" s="63">
        <f>IF(G386="","",MONTH(G386))</f>
        <v/>
      </c>
      <c r="E386" s="63">
        <f>IF(G386="","",YEAR(G386))</f>
        <v/>
      </c>
      <c r="F386" s="33">
        <f>IF(G386="","",CHOOSE(MONTH(G386),"Janeiro","Fevereiro","Março","Abril","Maio","Junho","Julho","Agosto","Setembro","Outubro","Novembro","Dezembro"))</f>
        <v/>
      </c>
      <c r="G386" s="64" t="n">
        <v>46064</v>
      </c>
      <c r="H386" s="65" t="n">
        <v>0.1330208333333333</v>
      </c>
      <c r="I386" s="66" t="inlineStr">
        <is>
          <t>https://docs.google.com/spreadsheets/d/1ZiCGoPjLCjuYvujDTXK9Ixbth3tekiLtFBzBrGjPCr4/edit?gid=0#gid=0</t>
        </is>
      </c>
      <c r="J386" s="67" t="inlineStr">
        <is>
          <t>Comprovante de Pagamento - [CP]</t>
        </is>
      </c>
      <c r="K386" s="67" t="inlineStr">
        <is>
          <t>Scout</t>
        </is>
      </c>
      <c r="L386" s="68" t="b">
        <v>1</v>
      </c>
      <c r="M386" s="20" t="n"/>
      <c r="N386" s="69">
        <f>IF($J386="","",IFERROR(INDEX(B!$F$2:$F$61,MATCH($J386,B!$E$2:$E$61,0))&amp;"",""))</f>
        <v/>
      </c>
      <c r="O386" s="69">
        <f>IF($J386="","",IFERROR(INDEX(B!$G$2:$G$61,MATCH($J386,B!$E$2:$E$61,0))&amp;"",""))</f>
        <v/>
      </c>
      <c r="P386" s="69">
        <f>IF($J386="","",IFERROR(INDEX(B!$H$2:$H$61,MATCH($J386,B!$E$2:$E$61,0))&amp;"",""))</f>
        <v/>
      </c>
      <c r="Q386" s="69">
        <f>IF($J386="","",IFERROR(INDEX(B!$I$2:$I$61,MATCH($J386,B!$E$2:$E$61,0))&amp;"",""))</f>
        <v/>
      </c>
      <c r="R386" s="69">
        <f>IF($J386="","",IFERROR(INDEX(B!$J$2:$J$61,MATCH($J386,B!$E$2:$E$61,0))&amp;"",""))</f>
        <v/>
      </c>
      <c r="S386" s="69">
        <f>IF($J386="","",IFERROR(INDEX(B!$K$2:$K$61,MATCH($J386,B!$E$2:$E$61,0))&amp;"",""))</f>
        <v/>
      </c>
      <c r="T386" s="69">
        <f>IF($J386="","",IFERROR(INDEX(B!$L$2:$L$61,MATCH($J386,B!$E$2:$E$61,0))&amp;"",""))</f>
        <v/>
      </c>
      <c r="U386" s="20" t="n"/>
      <c r="V386" s="70">
        <f>IF($J386="","",IFERROR(INDEX(B!$M$2:$M$61,MATCH($J386,B!$E$2:$E$61,0))&amp;"",""))</f>
        <v/>
      </c>
      <c r="W386" s="71">
        <f>IF(I386="","",IFERROR(MID(I386,FIND("/d/",I386)+3,FIND("/edit",I386)-FIND("/d/",I386)-3),I386))</f>
        <v/>
      </c>
      <c r="X386" s="71">
        <f>IF($J386="","",IFERROR(INDEX(B!$C$2:$C$61,MATCH($J386,B!$E$2:$E$61,0))&amp;"",""))</f>
        <v/>
      </c>
      <c r="Y386" s="20" t="n"/>
      <c r="Z386" s="72">
        <f>IF($J386="",FALSE,ISNUMBER(SEARCH("scout",$K386)))</f>
        <v/>
      </c>
      <c r="AA386" s="72">
        <f>IF($J386="",FALSE,IFERROR(INDEX(B!$N$2:$N$61,MATCH($J386,B!$E$2:$E$61,0))="Sim",FALSE))</f>
        <v/>
      </c>
      <c r="AB386" s="72">
        <f>IF($J386="",FALSE,LEFT($X386,2)="XX")</f>
        <v/>
      </c>
      <c r="AC386" s="72">
        <f>IF($J386="",FALSE,IFERROR(INDEX(B!$P$2:$P$61,MATCH($J386,B!$E$2:$E$61,0))="Sim",FALSE))</f>
        <v/>
      </c>
      <c r="AD386" s="20" t="n"/>
      <c r="AE386" s="52">
        <f>IF(H386="","",HOUR(H386))</f>
        <v/>
      </c>
      <c r="AF386" s="52" t="n"/>
    </row>
    <row r="387" ht="19.5" customHeight="1" s="58">
      <c r="A387" s="62">
        <f>IF(G387="","",IF(G387=G386,"",COUNTIF($G$3:$G$976,G387)))</f>
        <v/>
      </c>
      <c r="B387" s="20" t="n"/>
      <c r="C387" s="63">
        <f>IF(G387="","",DAY(G387))</f>
        <v/>
      </c>
      <c r="D387" s="63">
        <f>IF(G387="","",MONTH(G387))</f>
        <v/>
      </c>
      <c r="E387" s="63">
        <f>IF(G387="","",YEAR(G387))</f>
        <v/>
      </c>
      <c r="F387" s="33">
        <f>IF(G387="","",CHOOSE(MONTH(G387),"Janeiro","Fevereiro","Março","Abril","Maio","Junho","Julho","Agosto","Setembro","Outubro","Novembro","Dezembro"))</f>
        <v/>
      </c>
      <c r="G387" s="64" t="n">
        <v>46064</v>
      </c>
      <c r="H387" s="65" t="n">
        <v>0.143599537037037</v>
      </c>
      <c r="I387" s="66" t="inlineStr">
        <is>
          <t>https://docs.google.com/spreadsheets/d/1ZiCGoPjLCjuYvujDTXK9Ixbth3tekiLtFBzBrGjPCr4/edit?gid=0#gid=0</t>
        </is>
      </c>
      <c r="J387" s="67" t="inlineStr">
        <is>
          <t>Overpaid, Excede o limite, Sem comprovante - [OPEN]</t>
        </is>
      </c>
      <c r="K387" s="67" t="inlineStr"/>
      <c r="L387" s="68" t="b">
        <v>1</v>
      </c>
      <c r="M387" s="20" t="n"/>
      <c r="N387" s="69">
        <f>IF($J387="","",IFERROR(INDEX(B!$F$2:$F$61,MATCH($J387,B!$E$2:$E$61,0))&amp;"",""))</f>
        <v/>
      </c>
      <c r="O387" s="69">
        <f>IF($J387="","",IFERROR(INDEX(B!$G$2:$G$61,MATCH($J387,B!$E$2:$E$61,0))&amp;"",""))</f>
        <v/>
      </c>
      <c r="P387" s="69">
        <f>IF($J387="","",IFERROR(INDEX(B!$H$2:$H$61,MATCH($J387,B!$E$2:$E$61,0))&amp;"",""))</f>
        <v/>
      </c>
      <c r="Q387" s="69">
        <f>IF($J387="","",IFERROR(INDEX(B!$I$2:$I$61,MATCH($J387,B!$E$2:$E$61,0))&amp;"",""))</f>
        <v/>
      </c>
      <c r="R387" s="69">
        <f>IF($J387="","",IFERROR(INDEX(B!$J$2:$J$61,MATCH($J387,B!$E$2:$E$61,0))&amp;"",""))</f>
        <v/>
      </c>
      <c r="S387" s="69">
        <f>IF($J387="","",IFERROR(INDEX(B!$K$2:$K$61,MATCH($J387,B!$E$2:$E$61,0))&amp;"",""))</f>
        <v/>
      </c>
      <c r="T387" s="69">
        <f>IF($J387="","",IFERROR(INDEX(B!$L$2:$L$61,MATCH($J387,B!$E$2:$E$61,0))&amp;"",""))</f>
        <v/>
      </c>
      <c r="U387" s="20" t="n"/>
      <c r="V387" s="70">
        <f>IF($J387="","",IFERROR(INDEX(B!$M$2:$M$61,MATCH($J387,B!$E$2:$E$61,0))&amp;"",""))</f>
        <v/>
      </c>
      <c r="W387" s="71">
        <f>IF(I387="","",IFERROR(MID(I387,FIND("/d/",I387)+3,FIND("/edit",I387)-FIND("/d/",I387)-3),I387))</f>
        <v/>
      </c>
      <c r="X387" s="71">
        <f>IF($J387="","",IFERROR(INDEX(B!$C$2:$C$61,MATCH($J387,B!$E$2:$E$61,0))&amp;"",""))</f>
        <v/>
      </c>
      <c r="Y387" s="20" t="n"/>
      <c r="Z387" s="72">
        <f>IF($J387="",FALSE,ISNUMBER(SEARCH("scout",$K387)))</f>
        <v/>
      </c>
      <c r="AA387" s="72">
        <f>IF($J387="",FALSE,IFERROR(INDEX(B!$N$2:$N$61,MATCH($J387,B!$E$2:$E$61,0))="Sim",FALSE))</f>
        <v/>
      </c>
      <c r="AB387" s="72">
        <f>IF($J387="",FALSE,LEFT($X387,2)="XX")</f>
        <v/>
      </c>
      <c r="AC387" s="72">
        <f>IF($J387="",FALSE,IFERROR(INDEX(B!$P$2:$P$61,MATCH($J387,B!$E$2:$E$61,0))="Sim",FALSE))</f>
        <v/>
      </c>
      <c r="AD387" s="20" t="n"/>
      <c r="AE387" s="52">
        <f>IF(H387="","",HOUR(H387))</f>
        <v/>
      </c>
      <c r="AF387" s="52" t="n"/>
    </row>
    <row r="388" ht="19.5" customHeight="1" s="58">
      <c r="A388" s="62">
        <f>IF(G388="","",IF(G388=G387,"",COUNTIF($G$3:$G$976,G388)))</f>
        <v/>
      </c>
      <c r="B388" s="20" t="n"/>
      <c r="C388" s="63">
        <f>IF(G388="","",DAY(G388))</f>
        <v/>
      </c>
      <c r="D388" s="63">
        <f>IF(G388="","",MONTH(G388))</f>
        <v/>
      </c>
      <c r="E388" s="63">
        <f>IF(G388="","",YEAR(G388))</f>
        <v/>
      </c>
      <c r="F388" s="33">
        <f>IF(G388="","",CHOOSE(MONTH(G388),"Janeiro","Fevereiro","Março","Abril","Maio","Junho","Julho","Agosto","Setembro","Outubro","Novembro","Dezembro"))</f>
        <v/>
      </c>
      <c r="G388" s="64" t="n">
        <v>46064</v>
      </c>
      <c r="H388" s="65" t="n">
        <v>0.1440856481481481</v>
      </c>
      <c r="I388" s="66" t="inlineStr">
        <is>
          <t>https://docs.google.com/spreadsheets/d/1ZiCGoPjLCjuYvujDTXK9Ixbth3tekiLtFBzBrGjPCr4/edit?gid=0#gid=0</t>
        </is>
      </c>
      <c r="J388" s="67" t="inlineStr">
        <is>
          <t>Viagem Calculada Incorretamente - [VCI]</t>
        </is>
      </c>
      <c r="K388" s="67" t="inlineStr">
        <is>
          <t>Scout</t>
        </is>
      </c>
      <c r="L388" s="68" t="b">
        <v>0</v>
      </c>
      <c r="M388" s="20" t="n"/>
      <c r="N388" s="69">
        <f>IF($J388="","",IFERROR(INDEX(B!$F$2:$F$61,MATCH($J388,B!$E$2:$E$61,0))&amp;"",""))</f>
        <v/>
      </c>
      <c r="O388" s="69">
        <f>IF($J388="","",IFERROR(INDEX(B!$G$2:$G$61,MATCH($J388,B!$E$2:$E$61,0))&amp;"",""))</f>
        <v/>
      </c>
      <c r="P388" s="69">
        <f>IF($J388="","",IFERROR(INDEX(B!$H$2:$H$61,MATCH($J388,B!$E$2:$E$61,0))&amp;"",""))</f>
        <v/>
      </c>
      <c r="Q388" s="69">
        <f>IF($J388="","",IFERROR(INDEX(B!$I$2:$I$61,MATCH($J388,B!$E$2:$E$61,0))&amp;"",""))</f>
        <v/>
      </c>
      <c r="R388" s="69">
        <f>IF($J388="","",IFERROR(INDEX(B!$J$2:$J$61,MATCH($J388,B!$E$2:$E$61,0))&amp;"",""))</f>
        <v/>
      </c>
      <c r="S388" s="69">
        <f>IF($J388="","",IFERROR(INDEX(B!$K$2:$K$61,MATCH($J388,B!$E$2:$E$61,0))&amp;"",""))</f>
        <v/>
      </c>
      <c r="T388" s="69">
        <f>IF($J388="","",IFERROR(INDEX(B!$L$2:$L$61,MATCH($J388,B!$E$2:$E$61,0))&amp;"",""))</f>
        <v/>
      </c>
      <c r="U388" s="20" t="n"/>
      <c r="V388" s="70">
        <f>IF($J388="","",IFERROR(INDEX(B!$M$2:$M$61,MATCH($J388,B!$E$2:$E$61,0))&amp;"",""))</f>
        <v/>
      </c>
      <c r="W388" s="71">
        <f>IF(I388="","",IFERROR(MID(I388,FIND("/d/",I388)+3,FIND("/edit",I388)-FIND("/d/",I388)-3),I388))</f>
        <v/>
      </c>
      <c r="X388" s="71">
        <f>IF($J388="","",IFERROR(INDEX(B!$C$2:$C$61,MATCH($J388,B!$E$2:$E$61,0))&amp;"",""))</f>
        <v/>
      </c>
      <c r="Y388" s="20" t="n"/>
      <c r="Z388" s="72">
        <f>IF($J388="",FALSE,ISNUMBER(SEARCH("scout",$K388)))</f>
        <v/>
      </c>
      <c r="AA388" s="72">
        <f>IF($J388="",FALSE,IFERROR(INDEX(B!$N$2:$N$61,MATCH($J388,B!$E$2:$E$61,0))="Sim",FALSE))</f>
        <v/>
      </c>
      <c r="AB388" s="72">
        <f>IF($J388="",FALSE,LEFT($X388,2)="XX")</f>
        <v/>
      </c>
      <c r="AC388" s="72">
        <f>IF($J388="",FALSE,IFERROR(INDEX(B!$P$2:$P$61,MATCH($J388,B!$E$2:$E$61,0))="Sim",FALSE))</f>
        <v/>
      </c>
      <c r="AD388" s="20" t="n"/>
      <c r="AE388" s="52">
        <f>IF(H388="","",HOUR(H388))</f>
        <v/>
      </c>
      <c r="AF388" s="52" t="n"/>
    </row>
    <row r="389" ht="19.5" customHeight="1" s="58">
      <c r="A389" s="62">
        <f>IF(G389="","",IF(G389=G388,"",COUNTIF($G$3:$G$976,G389)))</f>
        <v/>
      </c>
      <c r="B389" s="20" t="n"/>
      <c r="C389" s="63">
        <f>IF(G389="","",DAY(G389))</f>
        <v/>
      </c>
      <c r="D389" s="63">
        <f>IF(G389="","",MONTH(G389))</f>
        <v/>
      </c>
      <c r="E389" s="63">
        <f>IF(G389="","",YEAR(G389))</f>
        <v/>
      </c>
      <c r="F389" s="33">
        <f>IF(G389="","",CHOOSE(MONTH(G389),"Janeiro","Fevereiro","Março","Abril","Maio","Junho","Julho","Agosto","Setembro","Outubro","Novembro","Dezembro"))</f>
        <v/>
      </c>
      <c r="G389" s="64" t="n">
        <v>46065</v>
      </c>
      <c r="H389" s="65" t="n">
        <v>0.01087962962962963</v>
      </c>
      <c r="I389" s="66" t="inlineStr">
        <is>
          <t>https://docs.google.com/spreadsheets/d/1ZiCGoPjLCjuYvujDTXK9Ixbth3tekiLtFBzBrGjPCr4/edit?gid=0#gid=0</t>
        </is>
      </c>
      <c r="J389" s="67" t="inlineStr">
        <is>
          <t>No Need Response (Não precisa de resposta) - [NRN]</t>
        </is>
      </c>
      <c r="K389" s="67" t="inlineStr"/>
      <c r="L389" s="68" t="b">
        <v>0</v>
      </c>
      <c r="M389" s="20" t="n"/>
      <c r="N389" s="69">
        <f>IF($J389="","",IFERROR(INDEX(B!$F$2:$F$61,MATCH($J389,B!$E$2:$E$61,0))&amp;"",""))</f>
        <v/>
      </c>
      <c r="O389" s="69">
        <f>IF($J389="","",IFERROR(INDEX(B!$G$2:$G$61,MATCH($J389,B!$E$2:$E$61,0))&amp;"",""))</f>
        <v/>
      </c>
      <c r="P389" s="69">
        <f>IF($J389="","",IFERROR(INDEX(B!$H$2:$H$61,MATCH($J389,B!$E$2:$E$61,0))&amp;"",""))</f>
        <v/>
      </c>
      <c r="Q389" s="69">
        <f>IF($J389="","",IFERROR(INDEX(B!$I$2:$I$61,MATCH($J389,B!$E$2:$E$61,0))&amp;"",""))</f>
        <v/>
      </c>
      <c r="R389" s="69">
        <f>IF($J389="","",IFERROR(INDEX(B!$J$2:$J$61,MATCH($J389,B!$E$2:$E$61,0))&amp;"",""))</f>
        <v/>
      </c>
      <c r="S389" s="69">
        <f>IF($J389="","",IFERROR(INDEX(B!$K$2:$K$61,MATCH($J389,B!$E$2:$E$61,0))&amp;"",""))</f>
        <v/>
      </c>
      <c r="T389" s="69">
        <f>IF($J389="","",IFERROR(INDEX(B!$L$2:$L$61,MATCH($J389,B!$E$2:$E$61,0))&amp;"",""))</f>
        <v/>
      </c>
      <c r="U389" s="20" t="n"/>
      <c r="V389" s="70">
        <f>IF($J389="","",IFERROR(INDEX(B!$M$2:$M$61,MATCH($J389,B!$E$2:$E$61,0))&amp;"",""))</f>
        <v/>
      </c>
      <c r="W389" s="71">
        <f>IF(I389="","",IFERROR(MID(I389,FIND("/d/",I389)+3,FIND("/edit",I389)-FIND("/d/",I389)-3),I389))</f>
        <v/>
      </c>
      <c r="X389" s="71">
        <f>IF($J389="","",IFERROR(INDEX(B!$C$2:$C$61,MATCH($J389,B!$E$2:$E$61,0))&amp;"",""))</f>
        <v/>
      </c>
      <c r="Y389" s="20" t="n"/>
      <c r="Z389" s="72">
        <f>IF($J389="",FALSE,ISNUMBER(SEARCH("scout",$K389)))</f>
        <v/>
      </c>
      <c r="AA389" s="72">
        <f>IF($J389="",FALSE,IFERROR(INDEX(B!$N$2:$N$61,MATCH($J389,B!$E$2:$E$61,0))="Sim",FALSE))</f>
        <v/>
      </c>
      <c r="AB389" s="72">
        <f>IF($J389="",FALSE,LEFT($X389,2)="XX")</f>
        <v/>
      </c>
      <c r="AC389" s="72">
        <f>IF($J389="",FALSE,IFERROR(INDEX(B!$P$2:$P$61,MATCH($J389,B!$E$2:$E$61,0))="Sim",FALSE))</f>
        <v/>
      </c>
      <c r="AD389" s="20" t="n"/>
      <c r="AE389" s="52">
        <f>IF(H389="","",HOUR(H389))</f>
        <v/>
      </c>
      <c r="AF389" s="52" t="n"/>
    </row>
    <row r="390" ht="19.5" customHeight="1" s="58">
      <c r="A390" s="62">
        <f>IF(G390="","",IF(G390=G389,"",COUNTIF($G$3:$G$976,G390)))</f>
        <v/>
      </c>
      <c r="B390" s="20" t="n"/>
      <c r="C390" s="63">
        <f>IF(G390="","",DAY(G390))</f>
        <v/>
      </c>
      <c r="D390" s="63">
        <f>IF(G390="","",MONTH(G390))</f>
        <v/>
      </c>
      <c r="E390" s="63">
        <f>IF(G390="","",YEAR(G390))</f>
        <v/>
      </c>
      <c r="F390" s="33">
        <f>IF(G390="","",CHOOSE(MONTH(G390),"Janeiro","Fevereiro","Março","Abril","Maio","Junho","Julho","Agosto","Setembro","Outubro","Novembro","Dezembro"))</f>
        <v/>
      </c>
      <c r="G390" s="64" t="n">
        <v>46065</v>
      </c>
      <c r="H390" s="65" t="n">
        <v>0.01305555555555556</v>
      </c>
      <c r="I390" s="66" t="inlineStr">
        <is>
          <t>https://docs.google.com/spreadsheets/d/1ZiCGoPjLCjuYvujDTXK9Ixbth3tekiLtFBzBrGjPCr4/edit?gid=0#gid=0</t>
        </is>
      </c>
      <c r="J390" s="67" t="inlineStr">
        <is>
          <t>Mais informações (Quanto Pagou?) - [AAV]</t>
        </is>
      </c>
      <c r="K390" s="67" t="inlineStr"/>
      <c r="L390" s="68" t="b">
        <v>0</v>
      </c>
      <c r="M390" s="20" t="n"/>
      <c r="N390" s="69">
        <f>IF($J390="","",IFERROR(INDEX(B!$F$2:$F$61,MATCH($J390,B!$E$2:$E$61,0))&amp;"",""))</f>
        <v/>
      </c>
      <c r="O390" s="69">
        <f>IF($J390="","",IFERROR(INDEX(B!$G$2:$G$61,MATCH($J390,B!$E$2:$E$61,0))&amp;"",""))</f>
        <v/>
      </c>
      <c r="P390" s="69">
        <f>IF($J390="","",IFERROR(INDEX(B!$H$2:$H$61,MATCH($J390,B!$E$2:$E$61,0))&amp;"",""))</f>
        <v/>
      </c>
      <c r="Q390" s="69">
        <f>IF($J390="","",IFERROR(INDEX(B!$I$2:$I$61,MATCH($J390,B!$E$2:$E$61,0))&amp;"",""))</f>
        <v/>
      </c>
      <c r="R390" s="69">
        <f>IF($J390="","",IFERROR(INDEX(B!$J$2:$J$61,MATCH($J390,B!$E$2:$E$61,0))&amp;"",""))</f>
        <v/>
      </c>
      <c r="S390" s="69">
        <f>IF($J390="","",IFERROR(INDEX(B!$K$2:$K$61,MATCH($J390,B!$E$2:$E$61,0))&amp;"",""))</f>
        <v/>
      </c>
      <c r="T390" s="69">
        <f>IF($J390="","",IFERROR(INDEX(B!$L$2:$L$61,MATCH($J390,B!$E$2:$E$61,0))&amp;"",""))</f>
        <v/>
      </c>
      <c r="U390" s="20" t="n"/>
      <c r="V390" s="70">
        <f>IF($J390="","",IFERROR(INDEX(B!$M$2:$M$61,MATCH($J390,B!$E$2:$E$61,0))&amp;"",""))</f>
        <v/>
      </c>
      <c r="W390" s="71">
        <f>IF(I390="","",IFERROR(MID(I390,FIND("/d/",I390)+3,FIND("/edit",I390)-FIND("/d/",I390)-3),I390))</f>
        <v/>
      </c>
      <c r="X390" s="71">
        <f>IF($J390="","",IFERROR(INDEX(B!$C$2:$C$61,MATCH($J390,B!$E$2:$E$61,0))&amp;"",""))</f>
        <v/>
      </c>
      <c r="Y390" s="20" t="n"/>
      <c r="Z390" s="72">
        <f>IF($J390="",FALSE,ISNUMBER(SEARCH("scout",$K390)))</f>
        <v/>
      </c>
      <c r="AA390" s="72">
        <f>IF($J390="",FALSE,IFERROR(INDEX(B!$N$2:$N$61,MATCH($J390,B!$E$2:$E$61,0))="Sim",FALSE))</f>
        <v/>
      </c>
      <c r="AB390" s="72">
        <f>IF($J390="",FALSE,LEFT($X390,2)="XX")</f>
        <v/>
      </c>
      <c r="AC390" s="72">
        <f>IF($J390="",FALSE,IFERROR(INDEX(B!$P$2:$P$61,MATCH($J390,B!$E$2:$E$61,0))="Sim",FALSE))</f>
        <v/>
      </c>
      <c r="AD390" s="20" t="n"/>
      <c r="AE390" s="52">
        <f>IF(H390="","",HOUR(H390))</f>
        <v/>
      </c>
      <c r="AF390" s="52" t="n"/>
    </row>
    <row r="391" ht="19.5" customHeight="1" s="58">
      <c r="A391" s="62">
        <f>IF(G391="","",IF(G391=G390,"",COUNTIF($G$3:$G$976,G391)))</f>
        <v/>
      </c>
      <c r="B391" s="20" t="n"/>
      <c r="C391" s="63">
        <f>IF(G391="","",DAY(G391))</f>
        <v/>
      </c>
      <c r="D391" s="63">
        <f>IF(G391="","",MONTH(G391))</f>
        <v/>
      </c>
      <c r="E391" s="63">
        <f>IF(G391="","",YEAR(G391))</f>
        <v/>
      </c>
      <c r="F391" s="33">
        <f>IF(G391="","",CHOOSE(MONTH(G391),"Janeiro","Fevereiro","Março","Abril","Maio","Junho","Julho","Agosto","Setembro","Outubro","Novembro","Dezembro"))</f>
        <v/>
      </c>
      <c r="G391" s="64" t="n">
        <v>46065</v>
      </c>
      <c r="H391" s="65" t="n">
        <v>0.01390046296296296</v>
      </c>
      <c r="I391" s="66" t="inlineStr">
        <is>
          <t>https://docs.google.com/spreadsheets/d/1ZiCGoPjLCjuYvujDTXK9Ixbth3tekiLtFBzBrGjPCr4/edit?gid=0#gid=0</t>
        </is>
      </c>
      <c r="J391" s="67" t="inlineStr">
        <is>
          <t>Pushback (Agradecimento) - [XXA]</t>
        </is>
      </c>
      <c r="K391" s="67" t="inlineStr"/>
      <c r="L391" s="68" t="b">
        <v>1</v>
      </c>
      <c r="M391" s="20" t="n"/>
      <c r="N391" s="69">
        <f>IF($J391="","",IFERROR(INDEX(B!$F$2:$F$61,MATCH($J391,B!$E$2:$E$61,0))&amp;"",""))</f>
        <v/>
      </c>
      <c r="O391" s="69">
        <f>IF($J391="","",IFERROR(INDEX(B!$G$2:$G$61,MATCH($J391,B!$E$2:$E$61,0))&amp;"",""))</f>
        <v/>
      </c>
      <c r="P391" s="69">
        <f>IF($J391="","",IFERROR(INDEX(B!$H$2:$H$61,MATCH($J391,B!$E$2:$E$61,0))&amp;"",""))</f>
        <v/>
      </c>
      <c r="Q391" s="69">
        <f>IF($J391="","",IFERROR(INDEX(B!$I$2:$I$61,MATCH($J391,B!$E$2:$E$61,0))&amp;"",""))</f>
        <v/>
      </c>
      <c r="R391" s="69">
        <f>IF($J391="","",IFERROR(INDEX(B!$J$2:$J$61,MATCH($J391,B!$E$2:$E$61,0))&amp;"",""))</f>
        <v/>
      </c>
      <c r="S391" s="69">
        <f>IF($J391="","",IFERROR(INDEX(B!$K$2:$K$61,MATCH($J391,B!$E$2:$E$61,0))&amp;"",""))</f>
        <v/>
      </c>
      <c r="T391" s="69">
        <f>IF($J391="","",IFERROR(INDEX(B!$L$2:$L$61,MATCH($J391,B!$E$2:$E$61,0))&amp;"",""))</f>
        <v/>
      </c>
      <c r="U391" s="20" t="n"/>
      <c r="V391" s="70">
        <f>IF($J391="","",IFERROR(INDEX(B!$M$2:$M$61,MATCH($J391,B!$E$2:$E$61,0))&amp;"",""))</f>
        <v/>
      </c>
      <c r="W391" s="71">
        <f>IF(I391="","",IFERROR(MID(I391,FIND("/d/",I391)+3,FIND("/edit",I391)-FIND("/d/",I391)-3),I391))</f>
        <v/>
      </c>
      <c r="X391" s="71">
        <f>IF($J391="","",IFERROR(INDEX(B!$C$2:$C$61,MATCH($J391,B!$E$2:$E$61,0))&amp;"",""))</f>
        <v/>
      </c>
      <c r="Y391" s="20" t="n"/>
      <c r="Z391" s="72">
        <f>IF($J391="",FALSE,ISNUMBER(SEARCH("scout",$K391)))</f>
        <v/>
      </c>
      <c r="AA391" s="72">
        <f>IF($J391="",FALSE,IFERROR(INDEX(B!$N$2:$N$61,MATCH($J391,B!$E$2:$E$61,0))="Sim",FALSE))</f>
        <v/>
      </c>
      <c r="AB391" s="72">
        <f>IF($J391="",FALSE,LEFT($X391,2)="XX")</f>
        <v/>
      </c>
      <c r="AC391" s="72">
        <f>IF($J391="",FALSE,IFERROR(INDEX(B!$P$2:$P$61,MATCH($J391,B!$E$2:$E$61,0))="Sim",FALSE))</f>
        <v/>
      </c>
      <c r="AD391" s="20" t="n"/>
      <c r="AE391" s="52">
        <f>IF(H391="","",HOUR(H391))</f>
        <v/>
      </c>
      <c r="AF391" s="52" t="n"/>
    </row>
    <row r="392" ht="19.5" customHeight="1" s="58">
      <c r="A392" s="62">
        <f>IF(G392="","",IF(G392=G391,"",COUNTIF($G$3:$G$976,G392)))</f>
        <v/>
      </c>
      <c r="B392" s="20" t="n"/>
      <c r="C392" s="63">
        <f>IF(G392="","",DAY(G392))</f>
        <v/>
      </c>
      <c r="D392" s="63">
        <f>IF(G392="","",MONTH(G392))</f>
        <v/>
      </c>
      <c r="E392" s="63">
        <f>IF(G392="","",YEAR(G392))</f>
        <v/>
      </c>
      <c r="F392" s="33">
        <f>IF(G392="","",CHOOSE(MONTH(G392),"Janeiro","Fevereiro","Março","Abril","Maio","Junho","Julho","Agosto","Setembro","Outubro","Novembro","Dezembro"))</f>
        <v/>
      </c>
      <c r="G392" s="64" t="n">
        <v>46065</v>
      </c>
      <c r="H392" s="65" t="n">
        <v>0.01425925925925926</v>
      </c>
      <c r="I392" s="66" t="inlineStr">
        <is>
          <t>https://docs.google.com/spreadsheets/d/1ZiCGoPjLCjuYvujDTXK9Ixbth3tekiLtFBzBrGjPCr4/edit?gid=0#gid=0</t>
        </is>
      </c>
      <c r="J392" s="67" t="inlineStr">
        <is>
          <t>Erro de Gps (Problema Técnico) - [GPS]</t>
        </is>
      </c>
      <c r="K392" s="67" t="inlineStr"/>
      <c r="L392" s="68" t="b">
        <v>1</v>
      </c>
      <c r="M392" s="20" t="n"/>
      <c r="N392" s="69">
        <f>IF($J392="","",IFERROR(INDEX(B!$F$2:$F$61,MATCH($J392,B!$E$2:$E$61,0))&amp;"",""))</f>
        <v/>
      </c>
      <c r="O392" s="69">
        <f>IF($J392="","",IFERROR(INDEX(B!$G$2:$G$61,MATCH($J392,B!$E$2:$E$61,0))&amp;"",""))</f>
        <v/>
      </c>
      <c r="P392" s="69">
        <f>IF($J392="","",IFERROR(INDEX(B!$H$2:$H$61,MATCH($J392,B!$E$2:$E$61,0))&amp;"",""))</f>
        <v/>
      </c>
      <c r="Q392" s="69">
        <f>IF($J392="","",IFERROR(INDEX(B!$I$2:$I$61,MATCH($J392,B!$E$2:$E$61,0))&amp;"",""))</f>
        <v/>
      </c>
      <c r="R392" s="69">
        <f>IF($J392="","",IFERROR(INDEX(B!$J$2:$J$61,MATCH($J392,B!$E$2:$E$61,0))&amp;"",""))</f>
        <v/>
      </c>
      <c r="S392" s="69">
        <f>IF($J392="","",IFERROR(INDEX(B!$K$2:$K$61,MATCH($J392,B!$E$2:$E$61,0))&amp;"",""))</f>
        <v/>
      </c>
      <c r="T392" s="69">
        <f>IF($J392="","",IFERROR(INDEX(B!$L$2:$L$61,MATCH($J392,B!$E$2:$E$61,0))&amp;"",""))</f>
        <v/>
      </c>
      <c r="U392" s="20" t="n"/>
      <c r="V392" s="70">
        <f>IF($J392="","",IFERROR(INDEX(B!$M$2:$M$61,MATCH($J392,B!$E$2:$E$61,0))&amp;"",""))</f>
        <v/>
      </c>
      <c r="W392" s="71">
        <f>IF(I392="","",IFERROR(MID(I392,FIND("/d/",I392)+3,FIND("/edit",I392)-FIND("/d/",I392)-3),I392))</f>
        <v/>
      </c>
      <c r="X392" s="71">
        <f>IF($J392="","",IFERROR(INDEX(B!$C$2:$C$61,MATCH($J392,B!$E$2:$E$61,0))&amp;"",""))</f>
        <v/>
      </c>
      <c r="Y392" s="20" t="n"/>
      <c r="Z392" s="72">
        <f>IF($J392="",FALSE,ISNUMBER(SEARCH("scout",$K392)))</f>
        <v/>
      </c>
      <c r="AA392" s="72">
        <f>IF($J392="",FALSE,IFERROR(INDEX(B!$N$2:$N$61,MATCH($J392,B!$E$2:$E$61,0))="Sim",FALSE))</f>
        <v/>
      </c>
      <c r="AB392" s="72">
        <f>IF($J392="",FALSE,LEFT($X392,2)="XX")</f>
        <v/>
      </c>
      <c r="AC392" s="72">
        <f>IF($J392="",FALSE,IFERROR(INDEX(B!$P$2:$P$61,MATCH($J392,B!$E$2:$E$61,0))="Sim",FALSE))</f>
        <v/>
      </c>
      <c r="AD392" s="20" t="n"/>
      <c r="AE392" s="52">
        <f>IF(H392="","",HOUR(H392))</f>
        <v/>
      </c>
      <c r="AF392" s="52" t="n"/>
    </row>
    <row r="393" ht="19.5" customHeight="1" s="58">
      <c r="A393" s="62">
        <f>IF(G393="","",IF(G393=G392,"",COUNTIF($G$3:$G$976,G393)))</f>
        <v/>
      </c>
      <c r="B393" s="20" t="n"/>
      <c r="C393" s="63">
        <f>IF(G393="","",DAY(G393))</f>
        <v/>
      </c>
      <c r="D393" s="63">
        <f>IF(G393="","",MONTH(G393))</f>
        <v/>
      </c>
      <c r="E393" s="63">
        <f>IF(G393="","",YEAR(G393))</f>
        <v/>
      </c>
      <c r="F393" s="33">
        <f>IF(G393="","",CHOOSE(MONTH(G393),"Janeiro","Fevereiro","Março","Abril","Maio","Junho","Julho","Agosto","Setembro","Outubro","Novembro","Dezembro"))</f>
        <v/>
      </c>
      <c r="G393" s="64" t="n">
        <v>46065</v>
      </c>
      <c r="H393" s="65" t="n">
        <v>0.01722222222222222</v>
      </c>
      <c r="I393" s="66" t="inlineStr">
        <is>
          <t>https://docs.google.com/spreadsheets/d/1ZiCGoPjLCjuYvujDTXK9Ixbth3tekiLtFBzBrGjPCr4/edit?gid=0#gid=0</t>
        </is>
      </c>
      <c r="J393" s="67" t="inlineStr">
        <is>
          <t>Evento Raro - [ER]</t>
        </is>
      </c>
      <c r="K393" s="67" t="inlineStr"/>
      <c r="L393" s="68" t="b">
        <v>0</v>
      </c>
      <c r="M393" s="20" t="n"/>
      <c r="N393" s="69">
        <f>IF($J393="","",IFERROR(INDEX(B!$F$2:$F$61,MATCH($J393,B!$E$2:$E$61,0))&amp;"",""))</f>
        <v/>
      </c>
      <c r="O393" s="69">
        <f>IF($J393="","",IFERROR(INDEX(B!$G$2:$G$61,MATCH($J393,B!$E$2:$E$61,0))&amp;"",""))</f>
        <v/>
      </c>
      <c r="P393" s="69">
        <f>IF($J393="","",IFERROR(INDEX(B!$H$2:$H$61,MATCH($J393,B!$E$2:$E$61,0))&amp;"",""))</f>
        <v/>
      </c>
      <c r="Q393" s="69">
        <f>IF($J393="","",IFERROR(INDEX(B!$I$2:$I$61,MATCH($J393,B!$E$2:$E$61,0))&amp;"",""))</f>
        <v/>
      </c>
      <c r="R393" s="69">
        <f>IF($J393="","",IFERROR(INDEX(B!$J$2:$J$61,MATCH($J393,B!$E$2:$E$61,0))&amp;"",""))</f>
        <v/>
      </c>
      <c r="S393" s="69">
        <f>IF($J393="","",IFERROR(INDEX(B!$K$2:$K$61,MATCH($J393,B!$E$2:$E$61,0))&amp;"",""))</f>
        <v/>
      </c>
      <c r="T393" s="69">
        <f>IF($J393="","",IFERROR(INDEX(B!$L$2:$L$61,MATCH($J393,B!$E$2:$E$61,0))&amp;"",""))</f>
        <v/>
      </c>
      <c r="U393" s="20" t="n"/>
      <c r="V393" s="70">
        <f>IF($J393="","",IFERROR(INDEX(B!$M$2:$M$61,MATCH($J393,B!$E$2:$E$61,0))&amp;"",""))</f>
        <v/>
      </c>
      <c r="W393" s="71">
        <f>IF(I393="","",IFERROR(MID(I393,FIND("/d/",I393)+3,FIND("/edit",I393)-FIND("/d/",I393)-3),I393))</f>
        <v/>
      </c>
      <c r="X393" s="71">
        <f>IF($J393="","",IFERROR(INDEX(B!$C$2:$C$61,MATCH($J393,B!$E$2:$E$61,0))&amp;"",""))</f>
        <v/>
      </c>
      <c r="Y393" s="20" t="n"/>
      <c r="Z393" s="72">
        <f>IF($J393="",FALSE,ISNUMBER(SEARCH("scout",$K393)))</f>
        <v/>
      </c>
      <c r="AA393" s="72">
        <f>IF($J393="",FALSE,IFERROR(INDEX(B!$N$2:$N$61,MATCH($J393,B!$E$2:$E$61,0))="Sim",FALSE))</f>
        <v/>
      </c>
      <c r="AB393" s="72">
        <f>IF($J393="",FALSE,LEFT($X393,2)="XX")</f>
        <v/>
      </c>
      <c r="AC393" s="72">
        <f>IF($J393="",FALSE,IFERROR(INDEX(B!$P$2:$P$61,MATCH($J393,B!$E$2:$E$61,0))="Sim",FALSE))</f>
        <v/>
      </c>
      <c r="AD393" s="20" t="n"/>
      <c r="AE393" s="52">
        <f>IF(H393="","",HOUR(H393))</f>
        <v/>
      </c>
      <c r="AF393" s="52" t="n"/>
    </row>
    <row r="394" ht="19.5" customHeight="1" s="58">
      <c r="A394" s="62">
        <f>IF(G394="","",IF(G394=G393,"",COUNTIF($G$3:$G$976,G394)))</f>
        <v/>
      </c>
      <c r="B394" s="20" t="n"/>
      <c r="C394" s="63">
        <f>IF(G394="","",DAY(G394))</f>
        <v/>
      </c>
      <c r="D394" s="63">
        <f>IF(G394="","",MONTH(G394))</f>
        <v/>
      </c>
      <c r="E394" s="63">
        <f>IF(G394="","",YEAR(G394))</f>
        <v/>
      </c>
      <c r="F394" s="33">
        <f>IF(G394="","",CHOOSE(MONTH(G394),"Janeiro","Fevereiro","Março","Abril","Maio","Junho","Julho","Agosto","Setembro","Outubro","Novembro","Dezembro"))</f>
        <v/>
      </c>
      <c r="G394" s="64" t="n">
        <v>46065</v>
      </c>
      <c r="H394" s="65" t="n">
        <v>0.02888888888888889</v>
      </c>
      <c r="I394" s="66" t="inlineStr">
        <is>
          <t>https://docs.google.com/spreadsheets/d/1ZiCGoPjLCjuYvujDTXK9Ixbth3tekiLtFBzBrGjPCr4/edit?gid=0#gid=0</t>
        </is>
      </c>
      <c r="J394" s="67" t="inlineStr">
        <is>
          <t>Transferência de LOB (Profissionalismo) - [TIPR]</t>
        </is>
      </c>
      <c r="K394" s="67" t="inlineStr">
        <is>
          <t>Scout</t>
        </is>
      </c>
      <c r="L394" s="68" t="b">
        <v>0</v>
      </c>
      <c r="M394" s="20" t="n"/>
      <c r="N394" s="69">
        <f>IF($J394="","",IFERROR(INDEX(B!$F$2:$F$61,MATCH($J394,B!$E$2:$E$61,0))&amp;"",""))</f>
        <v/>
      </c>
      <c r="O394" s="69">
        <f>IF($J394="","",IFERROR(INDEX(B!$G$2:$G$61,MATCH($J394,B!$E$2:$E$61,0))&amp;"",""))</f>
        <v/>
      </c>
      <c r="P394" s="69">
        <f>IF($J394="","",IFERROR(INDEX(B!$H$2:$H$61,MATCH($J394,B!$E$2:$E$61,0))&amp;"",""))</f>
        <v/>
      </c>
      <c r="Q394" s="69">
        <f>IF($J394="","",IFERROR(INDEX(B!$I$2:$I$61,MATCH($J394,B!$E$2:$E$61,0))&amp;"",""))</f>
        <v/>
      </c>
      <c r="R394" s="69">
        <f>IF($J394="","",IFERROR(INDEX(B!$J$2:$J$61,MATCH($J394,B!$E$2:$E$61,0))&amp;"",""))</f>
        <v/>
      </c>
      <c r="S394" s="69">
        <f>IF($J394="","",IFERROR(INDEX(B!$K$2:$K$61,MATCH($J394,B!$E$2:$E$61,0))&amp;"",""))</f>
        <v/>
      </c>
      <c r="T394" s="69">
        <f>IF($J394="","",IFERROR(INDEX(B!$L$2:$L$61,MATCH($J394,B!$E$2:$E$61,0))&amp;"",""))</f>
        <v/>
      </c>
      <c r="U394" s="20" t="n"/>
      <c r="V394" s="70">
        <f>IF($J394="","",IFERROR(INDEX(B!$M$2:$M$61,MATCH($J394,B!$E$2:$E$61,0))&amp;"",""))</f>
        <v/>
      </c>
      <c r="W394" s="71">
        <f>IF(I394="","",IFERROR(MID(I394,FIND("/d/",I394)+3,FIND("/edit",I394)-FIND("/d/",I394)-3),I394))</f>
        <v/>
      </c>
      <c r="X394" s="71">
        <f>IF($J394="","",IFERROR(INDEX(B!$C$2:$C$61,MATCH($J394,B!$E$2:$E$61,0))&amp;"",""))</f>
        <v/>
      </c>
      <c r="Y394" s="20" t="n"/>
      <c r="Z394" s="72">
        <f>IF($J394="",FALSE,ISNUMBER(SEARCH("scout",$K394)))</f>
        <v/>
      </c>
      <c r="AA394" s="72">
        <f>IF($J394="",FALSE,IFERROR(INDEX(B!$N$2:$N$61,MATCH($J394,B!$E$2:$E$61,0))="Sim",FALSE))</f>
        <v/>
      </c>
      <c r="AB394" s="72">
        <f>IF($J394="",FALSE,LEFT($X394,2)="XX")</f>
        <v/>
      </c>
      <c r="AC394" s="72">
        <f>IF($J394="",FALSE,IFERROR(INDEX(B!$P$2:$P$61,MATCH($J394,B!$E$2:$E$61,0))="Sim",FALSE))</f>
        <v/>
      </c>
      <c r="AD394" s="20" t="n"/>
      <c r="AE394" s="52">
        <f>IF(H394="","",HOUR(H394))</f>
        <v/>
      </c>
      <c r="AF394" s="52" t="n"/>
    </row>
    <row r="395" ht="19.5" customHeight="1" s="58">
      <c r="A395" s="62">
        <f>IF(G395="","",IF(G395=G394,"",COUNTIF($G$3:$G$976,G395)))</f>
        <v/>
      </c>
      <c r="B395" s="20" t="n"/>
      <c r="C395" s="63">
        <f>IF(G395="","",DAY(G395))</f>
        <v/>
      </c>
      <c r="D395" s="63">
        <f>IF(G395="","",MONTH(G395))</f>
        <v/>
      </c>
      <c r="E395" s="63">
        <f>IF(G395="","",YEAR(G395))</f>
        <v/>
      </c>
      <c r="F395" s="33">
        <f>IF(G395="","",CHOOSE(MONTH(G395),"Janeiro","Fevereiro","Março","Abril","Maio","Junho","Julho","Agosto","Setembro","Outubro","Novembro","Dezembro"))</f>
        <v/>
      </c>
      <c r="G395" s="64" t="n">
        <v>46065</v>
      </c>
      <c r="H395" s="65" t="n">
        <v>0.03015046296296296</v>
      </c>
      <c r="I395" s="66" t="inlineStr">
        <is>
          <t>https://docs.google.com/spreadsheets/d/1ZiCGoPjLCjuYvujDTXK9Ixbth3tekiLtFBzBrGjPCr4/edit?gid=0#gid=0</t>
        </is>
      </c>
      <c r="J395" s="67" t="inlineStr">
        <is>
          <t>Transferência de LOB (Accounts) - [TIAC]</t>
        </is>
      </c>
      <c r="K395" s="67" t="inlineStr">
        <is>
          <t>Scout</t>
        </is>
      </c>
      <c r="L395" s="68" t="b">
        <v>0</v>
      </c>
      <c r="M395" s="20" t="n"/>
      <c r="N395" s="69">
        <f>IF($J395="","",IFERROR(INDEX(B!$F$2:$F$61,MATCH($J395,B!$E$2:$E$61,0))&amp;"",""))</f>
        <v/>
      </c>
      <c r="O395" s="69">
        <f>IF($J395="","",IFERROR(INDEX(B!$G$2:$G$61,MATCH($J395,B!$E$2:$E$61,0))&amp;"",""))</f>
        <v/>
      </c>
      <c r="P395" s="69">
        <f>IF($J395="","",IFERROR(INDEX(B!$H$2:$H$61,MATCH($J395,B!$E$2:$E$61,0))&amp;"",""))</f>
        <v/>
      </c>
      <c r="Q395" s="69">
        <f>IF($J395="","",IFERROR(INDEX(B!$I$2:$I$61,MATCH($J395,B!$E$2:$E$61,0))&amp;"",""))</f>
        <v/>
      </c>
      <c r="R395" s="69">
        <f>IF($J395="","",IFERROR(INDEX(B!$J$2:$J$61,MATCH($J395,B!$E$2:$E$61,0))&amp;"",""))</f>
        <v/>
      </c>
      <c r="S395" s="69">
        <f>IF($J395="","",IFERROR(INDEX(B!$K$2:$K$61,MATCH($J395,B!$E$2:$E$61,0))&amp;"",""))</f>
        <v/>
      </c>
      <c r="T395" s="69">
        <f>IF($J395="","",IFERROR(INDEX(B!$L$2:$L$61,MATCH($J395,B!$E$2:$E$61,0))&amp;"",""))</f>
        <v/>
      </c>
      <c r="U395" s="20" t="n"/>
      <c r="V395" s="70">
        <f>IF($J395="","",IFERROR(INDEX(B!$M$2:$M$61,MATCH($J395,B!$E$2:$E$61,0))&amp;"",""))</f>
        <v/>
      </c>
      <c r="W395" s="71">
        <f>IF(I395="","",IFERROR(MID(I395,FIND("/d/",I395)+3,FIND("/edit",I395)-FIND("/d/",I395)-3),I395))</f>
        <v/>
      </c>
      <c r="X395" s="71">
        <f>IF($J395="","",IFERROR(INDEX(B!$C$2:$C$61,MATCH($J395,B!$E$2:$E$61,0))&amp;"",""))</f>
        <v/>
      </c>
      <c r="Y395" s="20" t="n"/>
      <c r="Z395" s="72">
        <f>IF($J395="",FALSE,ISNUMBER(SEARCH("scout",$K395)))</f>
        <v/>
      </c>
      <c r="AA395" s="72">
        <f>IF($J395="",FALSE,IFERROR(INDEX(B!$N$2:$N$61,MATCH($J395,B!$E$2:$E$61,0))="Sim",FALSE))</f>
        <v/>
      </c>
      <c r="AB395" s="72">
        <f>IF($J395="",FALSE,LEFT($X395,2)="XX")</f>
        <v/>
      </c>
      <c r="AC395" s="72">
        <f>IF($J395="",FALSE,IFERROR(INDEX(B!$P$2:$P$61,MATCH($J395,B!$E$2:$E$61,0))="Sim",FALSE))</f>
        <v/>
      </c>
      <c r="AD395" s="20" t="n"/>
      <c r="AE395" s="52">
        <f>IF(H395="","",HOUR(H395))</f>
        <v/>
      </c>
      <c r="AF395" s="52" t="n"/>
    </row>
    <row r="396" ht="19.5" customHeight="1" s="58">
      <c r="A396" s="62">
        <f>IF(G396="","",IF(G396=G395,"",COUNTIF($G$3:$G$976,G396)))</f>
        <v/>
      </c>
      <c r="B396" s="20" t="n"/>
      <c r="C396" s="63">
        <f>IF(G396="","",DAY(G396))</f>
        <v/>
      </c>
      <c r="D396" s="63">
        <f>IF(G396="","",MONTH(G396))</f>
        <v/>
      </c>
      <c r="E396" s="63">
        <f>IF(G396="","",YEAR(G396))</f>
        <v/>
      </c>
      <c r="F396" s="33">
        <f>IF(G396="","",CHOOSE(MONTH(G396),"Janeiro","Fevereiro","Março","Abril","Maio","Junho","Julho","Agosto","Setembro","Outubro","Novembro","Dezembro"))</f>
        <v/>
      </c>
      <c r="G396" s="64" t="n">
        <v>46065</v>
      </c>
      <c r="H396" s="65" t="n">
        <v>0.03403935185185185</v>
      </c>
      <c r="I396" s="66" t="inlineStr">
        <is>
          <t>https://docs.google.com/spreadsheets/d/1ZiCGoPjLCjuYvujDTXK9Ixbth3tekiLtFBzBrGjPCr4/edit?gid=0#gid=0</t>
        </is>
      </c>
      <c r="J396" s="67" t="inlineStr">
        <is>
          <t>Overpaid, Excede o limite Com comprovante - [OPEC]</t>
        </is>
      </c>
      <c r="K396" s="67" t="inlineStr"/>
      <c r="L396" s="68" t="b">
        <v>0</v>
      </c>
      <c r="M396" s="20" t="n"/>
      <c r="N396" s="69">
        <f>IF($J396="","",IFERROR(INDEX(B!$F$2:$F$61,MATCH($J396,B!$E$2:$E$61,0))&amp;"",""))</f>
        <v/>
      </c>
      <c r="O396" s="69">
        <f>IF($J396="","",IFERROR(INDEX(B!$G$2:$G$61,MATCH($J396,B!$E$2:$E$61,0))&amp;"",""))</f>
        <v/>
      </c>
      <c r="P396" s="69">
        <f>IF($J396="","",IFERROR(INDEX(B!$H$2:$H$61,MATCH($J396,B!$E$2:$E$61,0))&amp;"",""))</f>
        <v/>
      </c>
      <c r="Q396" s="69">
        <f>IF($J396="","",IFERROR(INDEX(B!$I$2:$I$61,MATCH($J396,B!$E$2:$E$61,0))&amp;"",""))</f>
        <v/>
      </c>
      <c r="R396" s="69">
        <f>IF($J396="","",IFERROR(INDEX(B!$J$2:$J$61,MATCH($J396,B!$E$2:$E$61,0))&amp;"",""))</f>
        <v/>
      </c>
      <c r="S396" s="69">
        <f>IF($J396="","",IFERROR(INDEX(B!$K$2:$K$61,MATCH($J396,B!$E$2:$E$61,0))&amp;"",""))</f>
        <v/>
      </c>
      <c r="T396" s="69">
        <f>IF($J396="","",IFERROR(INDEX(B!$L$2:$L$61,MATCH($J396,B!$E$2:$E$61,0))&amp;"",""))</f>
        <v/>
      </c>
      <c r="U396" s="20" t="n"/>
      <c r="V396" s="70">
        <f>IF($J396="","",IFERROR(INDEX(B!$M$2:$M$61,MATCH($J396,B!$E$2:$E$61,0))&amp;"",""))</f>
        <v/>
      </c>
      <c r="W396" s="71">
        <f>IF(I396="","",IFERROR(MID(I396,FIND("/d/",I396)+3,FIND("/edit",I396)-FIND("/d/",I396)-3),I396))</f>
        <v/>
      </c>
      <c r="X396" s="71">
        <f>IF($J396="","",IFERROR(INDEX(B!$C$2:$C$61,MATCH($J396,B!$E$2:$E$61,0))&amp;"",""))</f>
        <v/>
      </c>
      <c r="Y396" s="20" t="n"/>
      <c r="Z396" s="72">
        <f>IF($J396="",FALSE,ISNUMBER(SEARCH("scout",$K396)))</f>
        <v/>
      </c>
      <c r="AA396" s="72">
        <f>IF($J396="",FALSE,IFERROR(INDEX(B!$N$2:$N$61,MATCH($J396,B!$E$2:$E$61,0))="Sim",FALSE))</f>
        <v/>
      </c>
      <c r="AB396" s="72">
        <f>IF($J396="",FALSE,LEFT($X396,2)="XX")</f>
        <v/>
      </c>
      <c r="AC396" s="72">
        <f>IF($J396="",FALSE,IFERROR(INDEX(B!$P$2:$P$61,MATCH($J396,B!$E$2:$E$61,0))="Sim",FALSE))</f>
        <v/>
      </c>
      <c r="AD396" s="20" t="n"/>
      <c r="AE396" s="52">
        <f>IF(H396="","",HOUR(H396))</f>
        <v/>
      </c>
      <c r="AF396" s="52" t="n"/>
    </row>
    <row r="397" ht="19.5" customHeight="1" s="58">
      <c r="A397" s="62">
        <f>IF(G397="","",IF(G397=G396,"",COUNTIF($G$3:$G$976,G397)))</f>
        <v/>
      </c>
      <c r="B397" s="20" t="n"/>
      <c r="C397" s="63">
        <f>IF(G397="","",DAY(G397))</f>
        <v/>
      </c>
      <c r="D397" s="63">
        <f>IF(G397="","",MONTH(G397))</f>
        <v/>
      </c>
      <c r="E397" s="63">
        <f>IF(G397="","",YEAR(G397))</f>
        <v/>
      </c>
      <c r="F397" s="33">
        <f>IF(G397="","",CHOOSE(MONTH(G397),"Janeiro","Fevereiro","Março","Abril","Maio","Junho","Julho","Agosto","Setembro","Outubro","Novembro","Dezembro"))</f>
        <v/>
      </c>
      <c r="G397" s="64" t="n">
        <v>46065</v>
      </c>
      <c r="H397" s="65" t="n">
        <v>0.0353125</v>
      </c>
      <c r="I397" s="66" t="inlineStr">
        <is>
          <t>https://docs.google.com/spreadsheets/d/1ZiCGoPjLCjuYvujDTXK9Ixbth3tekiLtFBzBrGjPCr4/edit?gid=0#gid=0</t>
        </is>
      </c>
      <c r="J397" s="67" t="inlineStr">
        <is>
          <t>Erro de Gps (Problema Técnico) - [GPS]</t>
        </is>
      </c>
      <c r="K397" s="67" t="inlineStr"/>
      <c r="L397" s="68" t="b">
        <v>0</v>
      </c>
      <c r="M397" s="20" t="n"/>
      <c r="N397" s="69">
        <f>IF($J397="","",IFERROR(INDEX(B!$F$2:$F$61,MATCH($J397,B!$E$2:$E$61,0))&amp;"",""))</f>
        <v/>
      </c>
      <c r="O397" s="69">
        <f>IF($J397="","",IFERROR(INDEX(B!$G$2:$G$61,MATCH($J397,B!$E$2:$E$61,0))&amp;"",""))</f>
        <v/>
      </c>
      <c r="P397" s="69">
        <f>IF($J397="","",IFERROR(INDEX(B!$H$2:$H$61,MATCH($J397,B!$E$2:$E$61,0))&amp;"",""))</f>
        <v/>
      </c>
      <c r="Q397" s="69">
        <f>IF($J397="","",IFERROR(INDEX(B!$I$2:$I$61,MATCH($J397,B!$E$2:$E$61,0))&amp;"",""))</f>
        <v/>
      </c>
      <c r="R397" s="69">
        <f>IF($J397="","",IFERROR(INDEX(B!$J$2:$J$61,MATCH($J397,B!$E$2:$E$61,0))&amp;"",""))</f>
        <v/>
      </c>
      <c r="S397" s="69">
        <f>IF($J397="","",IFERROR(INDEX(B!$K$2:$K$61,MATCH($J397,B!$E$2:$E$61,0))&amp;"",""))</f>
        <v/>
      </c>
      <c r="T397" s="69">
        <f>IF($J397="","",IFERROR(INDEX(B!$L$2:$L$61,MATCH($J397,B!$E$2:$E$61,0))&amp;"",""))</f>
        <v/>
      </c>
      <c r="U397" s="20" t="n"/>
      <c r="V397" s="70">
        <f>IF($J397="","",IFERROR(INDEX(B!$M$2:$M$61,MATCH($J397,B!$E$2:$E$61,0))&amp;"",""))</f>
        <v/>
      </c>
      <c r="W397" s="71">
        <f>IF(I397="","",IFERROR(MID(I397,FIND("/d/",I397)+3,FIND("/edit",I397)-FIND("/d/",I397)-3),I397))</f>
        <v/>
      </c>
      <c r="X397" s="71">
        <f>IF($J397="","",IFERROR(INDEX(B!$C$2:$C$61,MATCH($J397,B!$E$2:$E$61,0))&amp;"",""))</f>
        <v/>
      </c>
      <c r="Y397" s="20" t="n"/>
      <c r="Z397" s="72">
        <f>IF($J397="",FALSE,ISNUMBER(SEARCH("scout",$K397)))</f>
        <v/>
      </c>
      <c r="AA397" s="72">
        <f>IF($J397="",FALSE,IFERROR(INDEX(B!$N$2:$N$61,MATCH($J397,B!$E$2:$E$61,0))="Sim",FALSE))</f>
        <v/>
      </c>
      <c r="AB397" s="72">
        <f>IF($J397="",FALSE,LEFT($X397,2)="XX")</f>
        <v/>
      </c>
      <c r="AC397" s="72">
        <f>IF($J397="",FALSE,IFERROR(INDEX(B!$P$2:$P$61,MATCH($J397,B!$E$2:$E$61,0))="Sim",FALSE))</f>
        <v/>
      </c>
      <c r="AD397" s="20" t="n"/>
      <c r="AE397" s="52">
        <f>IF(H397="","",HOUR(H397))</f>
        <v/>
      </c>
      <c r="AF397" s="52" t="n"/>
    </row>
    <row r="398" ht="19.5" customHeight="1" s="58">
      <c r="A398" s="62">
        <f>IF(G398="","",IF(G398=G397,"",COUNTIF($G$3:$G$976,G398)))</f>
        <v/>
      </c>
      <c r="B398" s="20" t="n"/>
      <c r="C398" s="63">
        <f>IF(G398="","",DAY(G398))</f>
        <v/>
      </c>
      <c r="D398" s="63">
        <f>IF(G398="","",MONTH(G398))</f>
        <v/>
      </c>
      <c r="E398" s="63">
        <f>IF(G398="","",YEAR(G398))</f>
        <v/>
      </c>
      <c r="F398" s="33">
        <f>IF(G398="","",CHOOSE(MONTH(G398),"Janeiro","Fevereiro","Março","Abril","Maio","Junho","Julho","Agosto","Setembro","Outubro","Novembro","Dezembro"))</f>
        <v/>
      </c>
      <c r="G398" s="64" t="n">
        <v>46065</v>
      </c>
      <c r="H398" s="65" t="n">
        <v>0.04064814814814815</v>
      </c>
      <c r="I398" s="66" t="inlineStr">
        <is>
          <t>https://docs.google.com/spreadsheets/d/1ZiCGoPjLCjuYvujDTXK9Ixbth3tekiLtFBzBrGjPCr4/edit?gid=0#gid=0</t>
        </is>
      </c>
      <c r="J398" s="67" t="inlineStr">
        <is>
          <t>Transferência de LOB (Driver) - [TIDV]</t>
        </is>
      </c>
      <c r="K398" s="67" t="inlineStr"/>
      <c r="L398" s="68" t="b">
        <v>0</v>
      </c>
      <c r="M398" s="20" t="n"/>
      <c r="N398" s="69">
        <f>IF($J398="","",IFERROR(INDEX(B!$F$2:$F$61,MATCH($J398,B!$E$2:$E$61,0))&amp;"",""))</f>
        <v/>
      </c>
      <c r="O398" s="69">
        <f>IF($J398="","",IFERROR(INDEX(B!$G$2:$G$61,MATCH($J398,B!$E$2:$E$61,0))&amp;"",""))</f>
        <v/>
      </c>
      <c r="P398" s="69">
        <f>IF($J398="","",IFERROR(INDEX(B!$H$2:$H$61,MATCH($J398,B!$E$2:$E$61,0))&amp;"",""))</f>
        <v/>
      </c>
      <c r="Q398" s="69">
        <f>IF($J398="","",IFERROR(INDEX(B!$I$2:$I$61,MATCH($J398,B!$E$2:$E$61,0))&amp;"",""))</f>
        <v/>
      </c>
      <c r="R398" s="69">
        <f>IF($J398="","",IFERROR(INDEX(B!$J$2:$J$61,MATCH($J398,B!$E$2:$E$61,0))&amp;"",""))</f>
        <v/>
      </c>
      <c r="S398" s="69">
        <f>IF($J398="","",IFERROR(INDEX(B!$K$2:$K$61,MATCH($J398,B!$E$2:$E$61,0))&amp;"",""))</f>
        <v/>
      </c>
      <c r="T398" s="69">
        <f>IF($J398="","",IFERROR(INDEX(B!$L$2:$L$61,MATCH($J398,B!$E$2:$E$61,0))&amp;"",""))</f>
        <v/>
      </c>
      <c r="U398" s="20" t="n"/>
      <c r="V398" s="70">
        <f>IF($J398="","",IFERROR(INDEX(B!$M$2:$M$61,MATCH($J398,B!$E$2:$E$61,0))&amp;"",""))</f>
        <v/>
      </c>
      <c r="W398" s="71">
        <f>IF(I398="","",IFERROR(MID(I398,FIND("/d/",I398)+3,FIND("/edit",I398)-FIND("/d/",I398)-3),I398))</f>
        <v/>
      </c>
      <c r="X398" s="71">
        <f>IF($J398="","",IFERROR(INDEX(B!$C$2:$C$61,MATCH($J398,B!$E$2:$E$61,0))&amp;"",""))</f>
        <v/>
      </c>
      <c r="Y398" s="20" t="n"/>
      <c r="Z398" s="72">
        <f>IF($J398="",FALSE,ISNUMBER(SEARCH("scout",$K398)))</f>
        <v/>
      </c>
      <c r="AA398" s="72">
        <f>IF($J398="",FALSE,IFERROR(INDEX(B!$N$2:$N$61,MATCH($J398,B!$E$2:$E$61,0))="Sim",FALSE))</f>
        <v/>
      </c>
      <c r="AB398" s="72">
        <f>IF($J398="",FALSE,LEFT($X398,2)="XX")</f>
        <v/>
      </c>
      <c r="AC398" s="72">
        <f>IF($J398="",FALSE,IFERROR(INDEX(B!$P$2:$P$61,MATCH($J398,B!$E$2:$E$61,0))="Sim",FALSE))</f>
        <v/>
      </c>
      <c r="AD398" s="20" t="n"/>
      <c r="AE398" s="52">
        <f>IF(H398="","",HOUR(H398))</f>
        <v/>
      </c>
      <c r="AF398" s="52" t="n"/>
    </row>
    <row r="399" ht="19.5" customHeight="1" s="58">
      <c r="A399" s="62">
        <f>IF(G399="","",IF(G399=G398,"",COUNTIF($G$3:$G$976,G399)))</f>
        <v/>
      </c>
      <c r="B399" s="20" t="n"/>
      <c r="C399" s="63">
        <f>IF(G399="","",DAY(G399))</f>
        <v/>
      </c>
      <c r="D399" s="63">
        <f>IF(G399="","",MONTH(G399))</f>
        <v/>
      </c>
      <c r="E399" s="63">
        <f>IF(G399="","",YEAR(G399))</f>
        <v/>
      </c>
      <c r="F399" s="33">
        <f>IF(G399="","",CHOOSE(MONTH(G399),"Janeiro","Fevereiro","Março","Abril","Maio","Junho","Julho","Agosto","Setembro","Outubro","Novembro","Dezembro"))</f>
        <v/>
      </c>
      <c r="G399" s="64" t="n">
        <v>46065</v>
      </c>
      <c r="H399" s="65" t="n">
        <v>0.05127314814814815</v>
      </c>
      <c r="I399" s="66" t="inlineStr">
        <is>
          <t>https://docs.google.com/spreadsheets/d/1ZiCGoPjLCjuYvujDTXK9Ixbth3tekiLtFBzBrGjPCr4/edit?gid=0#gid=0</t>
        </is>
      </c>
      <c r="J399" s="67" t="inlineStr">
        <is>
          <t>Pushback - [XX]</t>
        </is>
      </c>
      <c r="K399" s="67" t="inlineStr"/>
      <c r="L399" s="68" t="b">
        <v>0</v>
      </c>
      <c r="M399" s="20" t="n"/>
      <c r="N399" s="69">
        <f>IF($J399="","",IFERROR(INDEX(B!$F$2:$F$61,MATCH($J399,B!$E$2:$E$61,0))&amp;"",""))</f>
        <v/>
      </c>
      <c r="O399" s="69">
        <f>IF($J399="","",IFERROR(INDEX(B!$G$2:$G$61,MATCH($J399,B!$E$2:$E$61,0))&amp;"",""))</f>
        <v/>
      </c>
      <c r="P399" s="69">
        <f>IF($J399="","",IFERROR(INDEX(B!$H$2:$H$61,MATCH($J399,B!$E$2:$E$61,0))&amp;"",""))</f>
        <v/>
      </c>
      <c r="Q399" s="69">
        <f>IF($J399="","",IFERROR(INDEX(B!$I$2:$I$61,MATCH($J399,B!$E$2:$E$61,0))&amp;"",""))</f>
        <v/>
      </c>
      <c r="R399" s="69">
        <f>IF($J399="","",IFERROR(INDEX(B!$J$2:$J$61,MATCH($J399,B!$E$2:$E$61,0))&amp;"",""))</f>
        <v/>
      </c>
      <c r="S399" s="69">
        <f>IF($J399="","",IFERROR(INDEX(B!$K$2:$K$61,MATCH($J399,B!$E$2:$E$61,0))&amp;"",""))</f>
        <v/>
      </c>
      <c r="T399" s="69">
        <f>IF($J399="","",IFERROR(INDEX(B!$L$2:$L$61,MATCH($J399,B!$E$2:$E$61,0))&amp;"",""))</f>
        <v/>
      </c>
      <c r="U399" s="20" t="n"/>
      <c r="V399" s="70">
        <f>IF($J399="","",IFERROR(INDEX(B!$M$2:$M$61,MATCH($J399,B!$E$2:$E$61,0))&amp;"",""))</f>
        <v/>
      </c>
      <c r="W399" s="71">
        <f>IF(I399="","",IFERROR(MID(I399,FIND("/d/",I399)+3,FIND("/edit",I399)-FIND("/d/",I399)-3),I399))</f>
        <v/>
      </c>
      <c r="X399" s="71">
        <f>IF($J399="","",IFERROR(INDEX(B!$C$2:$C$61,MATCH($J399,B!$E$2:$E$61,0))&amp;"",""))</f>
        <v/>
      </c>
      <c r="Y399" s="20" t="n"/>
      <c r="Z399" s="72">
        <f>IF($J399="",FALSE,ISNUMBER(SEARCH("scout",$K399)))</f>
        <v/>
      </c>
      <c r="AA399" s="72">
        <f>IF($J399="",FALSE,IFERROR(INDEX(B!$N$2:$N$61,MATCH($J399,B!$E$2:$E$61,0))="Sim",FALSE))</f>
        <v/>
      </c>
      <c r="AB399" s="72">
        <f>IF($J399="",FALSE,LEFT($X399,2)="XX")</f>
        <v/>
      </c>
      <c r="AC399" s="72">
        <f>IF($J399="",FALSE,IFERROR(INDEX(B!$P$2:$P$61,MATCH($J399,B!$E$2:$E$61,0))="Sim",FALSE))</f>
        <v/>
      </c>
      <c r="AD399" s="20" t="n"/>
      <c r="AE399" s="52">
        <f>IF(H399="","",HOUR(H399))</f>
        <v/>
      </c>
      <c r="AF399" s="52" t="n"/>
    </row>
    <row r="400" ht="19.5" customHeight="1" s="58">
      <c r="A400" s="62">
        <f>IF(G400="","",IF(G400=G399,"",COUNTIF($G$3:$G$976,G400)))</f>
        <v/>
      </c>
      <c r="B400" s="20" t="n"/>
      <c r="C400" s="63">
        <f>IF(G400="","",DAY(G400))</f>
        <v/>
      </c>
      <c r="D400" s="63">
        <f>IF(G400="","",MONTH(G400))</f>
        <v/>
      </c>
      <c r="E400" s="63">
        <f>IF(G400="","",YEAR(G400))</f>
        <v/>
      </c>
      <c r="F400" s="33">
        <f>IF(G400="","",CHOOSE(MONTH(G400),"Janeiro","Fevereiro","Março","Abril","Maio","Junho","Julho","Agosto","Setembro","Outubro","Novembro","Dezembro"))</f>
        <v/>
      </c>
      <c r="G400" s="64" t="n">
        <v>46065</v>
      </c>
      <c r="H400" s="65" t="n">
        <v>0.05379629629629629</v>
      </c>
      <c r="I400" s="66" t="inlineStr">
        <is>
          <t>https://docs.google.com/spreadsheets/d/1ZiCGoPjLCjuYvujDTXK9Ixbth3tekiLtFBzBrGjPCr4/edit?gid=0#gid=0</t>
        </is>
      </c>
      <c r="J400" s="67" t="inlineStr">
        <is>
          <t>Viagem Calculada Incorretamente - [VCI]</t>
        </is>
      </c>
      <c r="K400" s="67" t="inlineStr"/>
      <c r="L400" s="68" t="b">
        <v>0</v>
      </c>
      <c r="M400" s="20" t="n"/>
      <c r="N400" s="69">
        <f>IF($J400="","",IFERROR(INDEX(B!$F$2:$F$61,MATCH($J400,B!$E$2:$E$61,0))&amp;"",""))</f>
        <v/>
      </c>
      <c r="O400" s="69">
        <f>IF($J400="","",IFERROR(INDEX(B!$G$2:$G$61,MATCH($J400,B!$E$2:$E$61,0))&amp;"",""))</f>
        <v/>
      </c>
      <c r="P400" s="69">
        <f>IF($J400="","",IFERROR(INDEX(B!$H$2:$H$61,MATCH($J400,B!$E$2:$E$61,0))&amp;"",""))</f>
        <v/>
      </c>
      <c r="Q400" s="69">
        <f>IF($J400="","",IFERROR(INDEX(B!$I$2:$I$61,MATCH($J400,B!$E$2:$E$61,0))&amp;"",""))</f>
        <v/>
      </c>
      <c r="R400" s="69">
        <f>IF($J400="","",IFERROR(INDEX(B!$J$2:$J$61,MATCH($J400,B!$E$2:$E$61,0))&amp;"",""))</f>
        <v/>
      </c>
      <c r="S400" s="69">
        <f>IF($J400="","",IFERROR(INDEX(B!$K$2:$K$61,MATCH($J400,B!$E$2:$E$61,0))&amp;"",""))</f>
        <v/>
      </c>
      <c r="T400" s="69">
        <f>IF($J400="","",IFERROR(INDEX(B!$L$2:$L$61,MATCH($J400,B!$E$2:$E$61,0))&amp;"",""))</f>
        <v/>
      </c>
      <c r="U400" s="20" t="n"/>
      <c r="V400" s="70">
        <f>IF($J400="","",IFERROR(INDEX(B!$M$2:$M$61,MATCH($J400,B!$E$2:$E$61,0))&amp;"",""))</f>
        <v/>
      </c>
      <c r="W400" s="71">
        <f>IF(I400="","",IFERROR(MID(I400,FIND("/d/",I400)+3,FIND("/edit",I400)-FIND("/d/",I400)-3),I400))</f>
        <v/>
      </c>
      <c r="X400" s="71">
        <f>IF($J400="","",IFERROR(INDEX(B!$C$2:$C$61,MATCH($J400,B!$E$2:$E$61,0))&amp;"",""))</f>
        <v/>
      </c>
      <c r="Y400" s="20" t="n"/>
      <c r="Z400" s="72">
        <f>IF($J400="",FALSE,ISNUMBER(SEARCH("scout",$K400)))</f>
        <v/>
      </c>
      <c r="AA400" s="72">
        <f>IF($J400="",FALSE,IFERROR(INDEX(B!$N$2:$N$61,MATCH($J400,B!$E$2:$E$61,0))="Sim",FALSE))</f>
        <v/>
      </c>
      <c r="AB400" s="72">
        <f>IF($J400="",FALSE,LEFT($X400,2)="XX")</f>
        <v/>
      </c>
      <c r="AC400" s="72">
        <f>IF($J400="",FALSE,IFERROR(INDEX(B!$P$2:$P$61,MATCH($J400,B!$E$2:$E$61,0))="Sim",FALSE))</f>
        <v/>
      </c>
      <c r="AD400" s="20" t="n"/>
      <c r="AE400" s="52">
        <f>IF(H400="","",HOUR(H400))</f>
        <v/>
      </c>
      <c r="AF400" s="52" t="n"/>
    </row>
    <row r="401" ht="19.5" customHeight="1" s="58">
      <c r="A401" s="62">
        <f>IF(G401="","",IF(G401=G400,"",COUNTIF($G$3:$G$976,G401)))</f>
        <v/>
      </c>
      <c r="B401" s="20" t="n"/>
      <c r="C401" s="63">
        <f>IF(G401="","",DAY(G401))</f>
        <v/>
      </c>
      <c r="D401" s="63">
        <f>IF(G401="","",MONTH(G401))</f>
        <v/>
      </c>
      <c r="E401" s="63">
        <f>IF(G401="","",YEAR(G401))</f>
        <v/>
      </c>
      <c r="F401" s="33">
        <f>IF(G401="","",CHOOSE(MONTH(G401),"Janeiro","Fevereiro","Março","Abril","Maio","Junho","Julho","Agosto","Setembro","Outubro","Novembro","Dezembro"))</f>
        <v/>
      </c>
      <c r="G401" s="64" t="n">
        <v>46065</v>
      </c>
      <c r="H401" s="65" t="n">
        <v>0.05708333333333333</v>
      </c>
      <c r="I401" s="66" t="inlineStr">
        <is>
          <t>https://docs.google.com/spreadsheets/d/1ZiCGoPjLCjuYvujDTXK9Ixbth3tekiLtFBzBrGjPCr4/edit?gid=0#gid=0</t>
        </is>
      </c>
      <c r="J401" s="67" t="inlineStr">
        <is>
          <t>Taxa de Limpeza, Reembolsado ao cliente - [TXLR]</t>
        </is>
      </c>
      <c r="K401" s="67" t="inlineStr">
        <is>
          <t>Scout</t>
        </is>
      </c>
      <c r="L401" s="68" t="b">
        <v>0</v>
      </c>
      <c r="M401" s="20" t="n"/>
      <c r="N401" s="69">
        <f>IF($J401="","",IFERROR(INDEX(B!$F$2:$F$61,MATCH($J401,B!$E$2:$E$61,0))&amp;"",""))</f>
        <v/>
      </c>
      <c r="O401" s="69">
        <f>IF($J401="","",IFERROR(INDEX(B!$G$2:$G$61,MATCH($J401,B!$E$2:$E$61,0))&amp;"",""))</f>
        <v/>
      </c>
      <c r="P401" s="69">
        <f>IF($J401="","",IFERROR(INDEX(B!$H$2:$H$61,MATCH($J401,B!$E$2:$E$61,0))&amp;"",""))</f>
        <v/>
      </c>
      <c r="Q401" s="69">
        <f>IF($J401="","",IFERROR(INDEX(B!$I$2:$I$61,MATCH($J401,B!$E$2:$E$61,0))&amp;"",""))</f>
        <v/>
      </c>
      <c r="R401" s="69">
        <f>IF($J401="","",IFERROR(INDEX(B!$J$2:$J$61,MATCH($J401,B!$E$2:$E$61,0))&amp;"",""))</f>
        <v/>
      </c>
      <c r="S401" s="69">
        <f>IF($J401="","",IFERROR(INDEX(B!$K$2:$K$61,MATCH($J401,B!$E$2:$E$61,0))&amp;"",""))</f>
        <v/>
      </c>
      <c r="T401" s="69">
        <f>IF($J401="","",IFERROR(INDEX(B!$L$2:$L$61,MATCH($J401,B!$E$2:$E$61,0))&amp;"",""))</f>
        <v/>
      </c>
      <c r="U401" s="20" t="n"/>
      <c r="V401" s="70">
        <f>IF($J401="","",IFERROR(INDEX(B!$M$2:$M$61,MATCH($J401,B!$E$2:$E$61,0))&amp;"",""))</f>
        <v/>
      </c>
      <c r="W401" s="71">
        <f>IF(I401="","",IFERROR(MID(I401,FIND("/d/",I401)+3,FIND("/edit",I401)-FIND("/d/",I401)-3),I401))</f>
        <v/>
      </c>
      <c r="X401" s="71">
        <f>IF($J401="","",IFERROR(INDEX(B!$C$2:$C$61,MATCH($J401,B!$E$2:$E$61,0))&amp;"",""))</f>
        <v/>
      </c>
      <c r="Y401" s="20" t="n"/>
      <c r="Z401" s="72">
        <f>IF($J401="",FALSE,ISNUMBER(SEARCH("scout",$K401)))</f>
        <v/>
      </c>
      <c r="AA401" s="72">
        <f>IF($J401="",FALSE,IFERROR(INDEX(B!$N$2:$N$61,MATCH($J401,B!$E$2:$E$61,0))="Sim",FALSE))</f>
        <v/>
      </c>
      <c r="AB401" s="72">
        <f>IF($J401="",FALSE,LEFT($X401,2)="XX")</f>
        <v/>
      </c>
      <c r="AC401" s="72">
        <f>IF($J401="",FALSE,IFERROR(INDEX(B!$P$2:$P$61,MATCH($J401,B!$E$2:$E$61,0))="Sim",FALSE))</f>
        <v/>
      </c>
      <c r="AD401" s="20" t="n"/>
      <c r="AE401" s="52">
        <f>IF(H401="","",HOUR(H401))</f>
        <v/>
      </c>
      <c r="AF401" s="52" t="n"/>
    </row>
    <row r="402" ht="19.5" customHeight="1" s="58">
      <c r="A402" s="62">
        <f>IF(G402="","",IF(G402=G401,"",COUNTIF($G$3:$G$976,G402)))</f>
        <v/>
      </c>
      <c r="B402" s="20" t="n"/>
      <c r="C402" s="63">
        <f>IF(G402="","",DAY(G402))</f>
        <v/>
      </c>
      <c r="D402" s="63">
        <f>IF(G402="","",MONTH(G402))</f>
        <v/>
      </c>
      <c r="E402" s="63">
        <f>IF(G402="","",YEAR(G402))</f>
        <v/>
      </c>
      <c r="F402" s="33">
        <f>IF(G402="","",CHOOSE(MONTH(G402),"Janeiro","Fevereiro","Março","Abril","Maio","Junho","Julho","Agosto","Setembro","Outubro","Novembro","Dezembro"))</f>
        <v/>
      </c>
      <c r="G402" s="64" t="n">
        <v>46065</v>
      </c>
      <c r="H402" s="65" t="n">
        <v>0.05709490740740741</v>
      </c>
      <c r="I402" s="66" t="inlineStr">
        <is>
          <t>https://docs.google.com/spreadsheets/d/1ZiCGoPjLCjuYvujDTXK9Ixbth3tekiLtFBzBrGjPCr4/edit?gid=0#gid=0</t>
        </is>
      </c>
      <c r="J402" s="67" t="inlineStr">
        <is>
          <t>Não houve Taxa de Cancelamento - [NTX]</t>
        </is>
      </c>
      <c r="K402" s="67" t="inlineStr"/>
      <c r="L402" s="68" t="b">
        <v>0</v>
      </c>
      <c r="M402" s="20" t="n"/>
      <c r="N402" s="69">
        <f>IF($J402="","",IFERROR(INDEX(B!$F$2:$F$61,MATCH($J402,B!$E$2:$E$61,0))&amp;"",""))</f>
        <v/>
      </c>
      <c r="O402" s="69">
        <f>IF($J402="","",IFERROR(INDEX(B!$G$2:$G$61,MATCH($J402,B!$E$2:$E$61,0))&amp;"",""))</f>
        <v/>
      </c>
      <c r="P402" s="69">
        <f>IF($J402="","",IFERROR(INDEX(B!$H$2:$H$61,MATCH($J402,B!$E$2:$E$61,0))&amp;"",""))</f>
        <v/>
      </c>
      <c r="Q402" s="69">
        <f>IF($J402="","",IFERROR(INDEX(B!$I$2:$I$61,MATCH($J402,B!$E$2:$E$61,0))&amp;"",""))</f>
        <v/>
      </c>
      <c r="R402" s="69">
        <f>IF($J402="","",IFERROR(INDEX(B!$J$2:$J$61,MATCH($J402,B!$E$2:$E$61,0))&amp;"",""))</f>
        <v/>
      </c>
      <c r="S402" s="69">
        <f>IF($J402="","",IFERROR(INDEX(B!$K$2:$K$61,MATCH($J402,B!$E$2:$E$61,0))&amp;"",""))</f>
        <v/>
      </c>
      <c r="T402" s="69">
        <f>IF($J402="","",IFERROR(INDEX(B!$L$2:$L$61,MATCH($J402,B!$E$2:$E$61,0))&amp;"",""))</f>
        <v/>
      </c>
      <c r="U402" s="20" t="n"/>
      <c r="V402" s="70">
        <f>IF($J402="","",IFERROR(INDEX(B!$M$2:$M$61,MATCH($J402,B!$E$2:$E$61,0))&amp;"",""))</f>
        <v/>
      </c>
      <c r="W402" s="71">
        <f>IF(I402="","",IFERROR(MID(I402,FIND("/d/",I402)+3,FIND("/edit",I402)-FIND("/d/",I402)-3),I402))</f>
        <v/>
      </c>
      <c r="X402" s="71">
        <f>IF($J402="","",IFERROR(INDEX(B!$C$2:$C$61,MATCH($J402,B!$E$2:$E$61,0))&amp;"",""))</f>
        <v/>
      </c>
      <c r="Y402" s="20" t="n"/>
      <c r="Z402" s="72">
        <f>IF($J402="",FALSE,ISNUMBER(SEARCH("scout",$K402)))</f>
        <v/>
      </c>
      <c r="AA402" s="72">
        <f>IF($J402="",FALSE,IFERROR(INDEX(B!$N$2:$N$61,MATCH($J402,B!$E$2:$E$61,0))="Sim",FALSE))</f>
        <v/>
      </c>
      <c r="AB402" s="72">
        <f>IF($J402="",FALSE,LEFT($X402,2)="XX")</f>
        <v/>
      </c>
      <c r="AC402" s="72">
        <f>IF($J402="",FALSE,IFERROR(INDEX(B!$P$2:$P$61,MATCH($J402,B!$E$2:$E$61,0))="Sim",FALSE))</f>
        <v/>
      </c>
      <c r="AD402" s="20" t="n"/>
      <c r="AE402" s="52">
        <f>IF(H402="","",HOUR(H402))</f>
        <v/>
      </c>
      <c r="AF402" s="52" t="n"/>
    </row>
    <row r="403" ht="19.5" customHeight="1" s="58">
      <c r="A403" s="62">
        <f>IF(G403="","",IF(G403=G402,"",COUNTIF($G$3:$G$976,G403)))</f>
        <v/>
      </c>
      <c r="B403" s="20" t="n"/>
      <c r="C403" s="63">
        <f>IF(G403="","",DAY(G403))</f>
        <v/>
      </c>
      <c r="D403" s="63">
        <f>IF(G403="","",MONTH(G403))</f>
        <v/>
      </c>
      <c r="E403" s="63">
        <f>IF(G403="","",YEAR(G403))</f>
        <v/>
      </c>
      <c r="F403" s="33">
        <f>IF(G403="","",CHOOSE(MONTH(G403),"Janeiro","Fevereiro","Março","Abril","Maio","Junho","Julho","Agosto","Setembro","Outubro","Novembro","Dezembro"))</f>
        <v/>
      </c>
      <c r="G403" s="64" t="n">
        <v>46065</v>
      </c>
      <c r="H403" s="65" t="n">
        <v>0.05793981481481481</v>
      </c>
      <c r="I403" s="66" t="inlineStr">
        <is>
          <t>https://docs.google.com/spreadsheets/d/1ZiCGoPjLCjuYvujDTXK9Ixbth3tekiLtFBzBrGjPCr4/edit?gid=0#gid=0</t>
        </is>
      </c>
      <c r="J403" s="67" t="inlineStr">
        <is>
          <t>Não houve Taxa de Cancelamento - [NTX]</t>
        </is>
      </c>
      <c r="K403" s="67" t="inlineStr"/>
      <c r="L403" s="68" t="b">
        <v>0</v>
      </c>
      <c r="M403" s="20" t="n"/>
      <c r="N403" s="69">
        <f>IF($J403="","",IFERROR(INDEX(B!$F$2:$F$61,MATCH($J403,B!$E$2:$E$61,0))&amp;"",""))</f>
        <v/>
      </c>
      <c r="O403" s="69">
        <f>IF($J403="","",IFERROR(INDEX(B!$G$2:$G$61,MATCH($J403,B!$E$2:$E$61,0))&amp;"",""))</f>
        <v/>
      </c>
      <c r="P403" s="69">
        <f>IF($J403="","",IFERROR(INDEX(B!$H$2:$H$61,MATCH($J403,B!$E$2:$E$61,0))&amp;"",""))</f>
        <v/>
      </c>
      <c r="Q403" s="69">
        <f>IF($J403="","",IFERROR(INDEX(B!$I$2:$I$61,MATCH($J403,B!$E$2:$E$61,0))&amp;"",""))</f>
        <v/>
      </c>
      <c r="R403" s="69">
        <f>IF($J403="","",IFERROR(INDEX(B!$J$2:$J$61,MATCH($J403,B!$E$2:$E$61,0))&amp;"",""))</f>
        <v/>
      </c>
      <c r="S403" s="69">
        <f>IF($J403="","",IFERROR(INDEX(B!$K$2:$K$61,MATCH($J403,B!$E$2:$E$61,0))&amp;"",""))</f>
        <v/>
      </c>
      <c r="T403" s="69">
        <f>IF($J403="","",IFERROR(INDEX(B!$L$2:$L$61,MATCH($J403,B!$E$2:$E$61,0))&amp;"",""))</f>
        <v/>
      </c>
      <c r="U403" s="20" t="n"/>
      <c r="V403" s="70">
        <f>IF($J403="","",IFERROR(INDEX(B!$M$2:$M$61,MATCH($J403,B!$E$2:$E$61,0))&amp;"",""))</f>
        <v/>
      </c>
      <c r="W403" s="71">
        <f>IF(I403="","",IFERROR(MID(I403,FIND("/d/",I403)+3,FIND("/edit",I403)-FIND("/d/",I403)-3),I403))</f>
        <v/>
      </c>
      <c r="X403" s="71">
        <f>IF($J403="","",IFERROR(INDEX(B!$C$2:$C$61,MATCH($J403,B!$E$2:$E$61,0))&amp;"",""))</f>
        <v/>
      </c>
      <c r="Y403" s="20" t="n"/>
      <c r="Z403" s="72">
        <f>IF($J403="",FALSE,ISNUMBER(SEARCH("scout",$K403)))</f>
        <v/>
      </c>
      <c r="AA403" s="72">
        <f>IF($J403="",FALSE,IFERROR(INDEX(B!$N$2:$N$61,MATCH($J403,B!$E$2:$E$61,0))="Sim",FALSE))</f>
        <v/>
      </c>
      <c r="AB403" s="72">
        <f>IF($J403="",FALSE,LEFT($X403,2)="XX")</f>
        <v/>
      </c>
      <c r="AC403" s="72">
        <f>IF($J403="",FALSE,IFERROR(INDEX(B!$P$2:$P$61,MATCH($J403,B!$E$2:$E$61,0))="Sim",FALSE))</f>
        <v/>
      </c>
      <c r="AD403" s="20" t="n"/>
      <c r="AE403" s="52">
        <f>IF(H403="","",HOUR(H403))</f>
        <v/>
      </c>
      <c r="AF403" s="52" t="n"/>
    </row>
    <row r="404" ht="19.5" customHeight="1" s="58">
      <c r="A404" s="62">
        <f>IF(G404="","",IF(G404=G403,"",COUNTIF($G$3:$G$976,G404)))</f>
        <v/>
      </c>
      <c r="B404" s="20" t="n"/>
      <c r="C404" s="63">
        <f>IF(G404="","",DAY(G404))</f>
        <v/>
      </c>
      <c r="D404" s="63">
        <f>IF(G404="","",MONTH(G404))</f>
        <v/>
      </c>
      <c r="E404" s="63">
        <f>IF(G404="","",YEAR(G404))</f>
        <v/>
      </c>
      <c r="F404" s="33">
        <f>IF(G404="","",CHOOSE(MONTH(G404),"Janeiro","Fevereiro","Março","Abril","Maio","Junho","Julho","Agosto","Setembro","Outubro","Novembro","Dezembro"))</f>
        <v/>
      </c>
      <c r="G404" s="64" t="n">
        <v>46065</v>
      </c>
      <c r="H404" s="65" t="n">
        <v>0.06082175925925926</v>
      </c>
      <c r="I404" s="66" t="inlineStr">
        <is>
          <t>https://docs.google.com/spreadsheets/d/1ZiCGoPjLCjuYvujDTXK9Ixbth3tekiLtFBzBrGjPCr4/edit?gid=0#gid=0</t>
        </is>
      </c>
      <c r="J404" s="67" t="inlineStr">
        <is>
          <t>Overpaid, Não excede o limite, Com comprovante - [OPNC]</t>
        </is>
      </c>
      <c r="K404" s="67" t="inlineStr"/>
      <c r="L404" s="68" t="b">
        <v>1</v>
      </c>
      <c r="M404" s="20" t="n"/>
      <c r="N404" s="69">
        <f>IF($J404="","",IFERROR(INDEX(B!$F$2:$F$61,MATCH($J404,B!$E$2:$E$61,0))&amp;"",""))</f>
        <v/>
      </c>
      <c r="O404" s="69">
        <f>IF($J404="","",IFERROR(INDEX(B!$G$2:$G$61,MATCH($J404,B!$E$2:$E$61,0))&amp;"",""))</f>
        <v/>
      </c>
      <c r="P404" s="69">
        <f>IF($J404="","",IFERROR(INDEX(B!$H$2:$H$61,MATCH($J404,B!$E$2:$E$61,0))&amp;"",""))</f>
        <v/>
      </c>
      <c r="Q404" s="69">
        <f>IF($J404="","",IFERROR(INDEX(B!$I$2:$I$61,MATCH($J404,B!$E$2:$E$61,0))&amp;"",""))</f>
        <v/>
      </c>
      <c r="R404" s="69">
        <f>IF($J404="","",IFERROR(INDEX(B!$J$2:$J$61,MATCH($J404,B!$E$2:$E$61,0))&amp;"",""))</f>
        <v/>
      </c>
      <c r="S404" s="69">
        <f>IF($J404="","",IFERROR(INDEX(B!$K$2:$K$61,MATCH($J404,B!$E$2:$E$61,0))&amp;"",""))</f>
        <v/>
      </c>
      <c r="T404" s="69">
        <f>IF($J404="","",IFERROR(INDEX(B!$L$2:$L$61,MATCH($J404,B!$E$2:$E$61,0))&amp;"",""))</f>
        <v/>
      </c>
      <c r="U404" s="20" t="n"/>
      <c r="V404" s="70">
        <f>IF($J404="","",IFERROR(INDEX(B!$M$2:$M$61,MATCH($J404,B!$E$2:$E$61,0))&amp;"",""))</f>
        <v/>
      </c>
      <c r="W404" s="71">
        <f>IF(I404="","",IFERROR(MID(I404,FIND("/d/",I404)+3,FIND("/edit",I404)-FIND("/d/",I404)-3),I404))</f>
        <v/>
      </c>
      <c r="X404" s="71">
        <f>IF($J404="","",IFERROR(INDEX(B!$C$2:$C$61,MATCH($J404,B!$E$2:$E$61,0))&amp;"",""))</f>
        <v/>
      </c>
      <c r="Y404" s="20" t="n"/>
      <c r="Z404" s="72">
        <f>IF($J404="",FALSE,ISNUMBER(SEARCH("scout",$K404)))</f>
        <v/>
      </c>
      <c r="AA404" s="72">
        <f>IF($J404="",FALSE,IFERROR(INDEX(B!$N$2:$N$61,MATCH($J404,B!$E$2:$E$61,0))="Sim",FALSE))</f>
        <v/>
      </c>
      <c r="AB404" s="72">
        <f>IF($J404="",FALSE,LEFT($X404,2)="XX")</f>
        <v/>
      </c>
      <c r="AC404" s="72">
        <f>IF($J404="",FALSE,IFERROR(INDEX(B!$P$2:$P$61,MATCH($J404,B!$E$2:$E$61,0))="Sim",FALSE))</f>
        <v/>
      </c>
      <c r="AD404" s="20" t="n"/>
      <c r="AE404" s="52">
        <f>IF(H404="","",HOUR(H404))</f>
        <v/>
      </c>
      <c r="AF404" s="52" t="n"/>
    </row>
    <row r="405" ht="19.5" customHeight="1" s="58">
      <c r="A405" s="62">
        <f>IF(G405="","",IF(G405=G404,"",COUNTIF($G$3:$G$976,G405)))</f>
        <v/>
      </c>
      <c r="B405" s="20" t="n"/>
      <c r="C405" s="63">
        <f>IF(G405="","",DAY(G405))</f>
        <v/>
      </c>
      <c r="D405" s="63">
        <f>IF(G405="","",MONTH(G405))</f>
        <v/>
      </c>
      <c r="E405" s="63">
        <f>IF(G405="","",YEAR(G405))</f>
        <v/>
      </c>
      <c r="F405" s="33">
        <f>IF(G405="","",CHOOSE(MONTH(G405),"Janeiro","Fevereiro","Março","Abril","Maio","Junho","Julho","Agosto","Setembro","Outubro","Novembro","Dezembro"))</f>
        <v/>
      </c>
      <c r="G405" s="64" t="n">
        <v>46065</v>
      </c>
      <c r="H405" s="65" t="n">
        <v>0.06298611111111112</v>
      </c>
      <c r="I405" s="66" t="inlineStr">
        <is>
          <t>https://docs.google.com/spreadsheets/d/1ZiCGoPjLCjuYvujDTXK9Ixbth3tekiLtFBzBrGjPCr4/edit?gid=0#gid=0</t>
        </is>
      </c>
      <c r="J405" s="67" t="inlineStr">
        <is>
          <t>Evento Raro - [ER]</t>
        </is>
      </c>
      <c r="K405" s="67" t="inlineStr"/>
      <c r="L405" s="68" t="b">
        <v>0</v>
      </c>
      <c r="M405" s="20" t="n"/>
      <c r="N405" s="69">
        <f>IF($J405="","",IFERROR(INDEX(B!$F$2:$F$61,MATCH($J405,B!$E$2:$E$61,0))&amp;"",""))</f>
        <v/>
      </c>
      <c r="O405" s="69">
        <f>IF($J405="","",IFERROR(INDEX(B!$G$2:$G$61,MATCH($J405,B!$E$2:$E$61,0))&amp;"",""))</f>
        <v/>
      </c>
      <c r="P405" s="69">
        <f>IF($J405="","",IFERROR(INDEX(B!$H$2:$H$61,MATCH($J405,B!$E$2:$E$61,0))&amp;"",""))</f>
        <v/>
      </c>
      <c r="Q405" s="69">
        <f>IF($J405="","",IFERROR(INDEX(B!$I$2:$I$61,MATCH($J405,B!$E$2:$E$61,0))&amp;"",""))</f>
        <v/>
      </c>
      <c r="R405" s="69">
        <f>IF($J405="","",IFERROR(INDEX(B!$J$2:$J$61,MATCH($J405,B!$E$2:$E$61,0))&amp;"",""))</f>
        <v/>
      </c>
      <c r="S405" s="69">
        <f>IF($J405="","",IFERROR(INDEX(B!$K$2:$K$61,MATCH($J405,B!$E$2:$E$61,0))&amp;"",""))</f>
        <v/>
      </c>
      <c r="T405" s="69">
        <f>IF($J405="","",IFERROR(INDEX(B!$L$2:$L$61,MATCH($J405,B!$E$2:$E$61,0))&amp;"",""))</f>
        <v/>
      </c>
      <c r="U405" s="20" t="n"/>
      <c r="V405" s="70">
        <f>IF($J405="","",IFERROR(INDEX(B!$M$2:$M$61,MATCH($J405,B!$E$2:$E$61,0))&amp;"",""))</f>
        <v/>
      </c>
      <c r="W405" s="71">
        <f>IF(I405="","",IFERROR(MID(I405,FIND("/d/",I405)+3,FIND("/edit",I405)-FIND("/d/",I405)-3),I405))</f>
        <v/>
      </c>
      <c r="X405" s="71">
        <f>IF($J405="","",IFERROR(INDEX(B!$C$2:$C$61,MATCH($J405,B!$E$2:$E$61,0))&amp;"",""))</f>
        <v/>
      </c>
      <c r="Y405" s="20" t="n"/>
      <c r="Z405" s="72">
        <f>IF($J405="",FALSE,ISNUMBER(SEARCH("scout",$K405)))</f>
        <v/>
      </c>
      <c r="AA405" s="72">
        <f>IF($J405="",FALSE,IFERROR(INDEX(B!$N$2:$N$61,MATCH($J405,B!$E$2:$E$61,0))="Sim",FALSE))</f>
        <v/>
      </c>
      <c r="AB405" s="72">
        <f>IF($J405="",FALSE,LEFT($X405,2)="XX")</f>
        <v/>
      </c>
      <c r="AC405" s="72">
        <f>IF($J405="",FALSE,IFERROR(INDEX(B!$P$2:$P$61,MATCH($J405,B!$E$2:$E$61,0))="Sim",FALSE))</f>
        <v/>
      </c>
      <c r="AD405" s="20" t="n"/>
      <c r="AE405" s="52">
        <f>IF(H405="","",HOUR(H405))</f>
        <v/>
      </c>
      <c r="AF405" s="52" t="n"/>
    </row>
    <row r="406" ht="19.5" customHeight="1" s="58">
      <c r="A406" s="62">
        <f>IF(G406="","",IF(G406=G405,"",COUNTIF($G$3:$G$976,G406)))</f>
        <v/>
      </c>
      <c r="B406" s="20" t="n"/>
      <c r="C406" s="63">
        <f>IF(G406="","",DAY(G406))</f>
        <v/>
      </c>
      <c r="D406" s="63">
        <f>IF(G406="","",MONTH(G406))</f>
        <v/>
      </c>
      <c r="E406" s="63">
        <f>IF(G406="","",YEAR(G406))</f>
        <v/>
      </c>
      <c r="F406" s="33">
        <f>IF(G406="","",CHOOSE(MONTH(G406),"Janeiro","Fevereiro","Março","Abril","Maio","Junho","Julho","Agosto","Setembro","Outubro","Novembro","Dezembro"))</f>
        <v/>
      </c>
      <c r="G406" s="64" t="n">
        <v>46065</v>
      </c>
      <c r="H406" s="65" t="n">
        <v>0.07157407407407407</v>
      </c>
      <c r="I406" s="66" t="inlineStr">
        <is>
          <t>https://docs.google.com/spreadsheets/d/1ZiCGoPjLCjuYvujDTXK9Ixbth3tekiLtFBzBrGjPCr4/edit?gid=0#gid=0</t>
        </is>
      </c>
      <c r="J406" s="67" t="inlineStr">
        <is>
          <t>Transferência de LOB (Geral não especificado) - [TI]</t>
        </is>
      </c>
      <c r="K406" s="67" t="inlineStr"/>
      <c r="L406" s="68" t="b">
        <v>0</v>
      </c>
      <c r="M406" s="20" t="n"/>
      <c r="N406" s="69">
        <f>IF($J406="","",IFERROR(INDEX(B!$F$2:$F$61,MATCH($J406,B!$E$2:$E$61,0))&amp;"",""))</f>
        <v/>
      </c>
      <c r="O406" s="69">
        <f>IF($J406="","",IFERROR(INDEX(B!$G$2:$G$61,MATCH($J406,B!$E$2:$E$61,0))&amp;"",""))</f>
        <v/>
      </c>
      <c r="P406" s="69">
        <f>IF($J406="","",IFERROR(INDEX(B!$H$2:$H$61,MATCH($J406,B!$E$2:$E$61,0))&amp;"",""))</f>
        <v/>
      </c>
      <c r="Q406" s="69">
        <f>IF($J406="","",IFERROR(INDEX(B!$I$2:$I$61,MATCH($J406,B!$E$2:$E$61,0))&amp;"",""))</f>
        <v/>
      </c>
      <c r="R406" s="69">
        <f>IF($J406="","",IFERROR(INDEX(B!$J$2:$J$61,MATCH($J406,B!$E$2:$E$61,0))&amp;"",""))</f>
        <v/>
      </c>
      <c r="S406" s="69">
        <f>IF($J406="","",IFERROR(INDEX(B!$K$2:$K$61,MATCH($J406,B!$E$2:$E$61,0))&amp;"",""))</f>
        <v/>
      </c>
      <c r="T406" s="69">
        <f>IF($J406="","",IFERROR(INDEX(B!$L$2:$L$61,MATCH($J406,B!$E$2:$E$61,0))&amp;"",""))</f>
        <v/>
      </c>
      <c r="U406" s="20" t="n"/>
      <c r="V406" s="70">
        <f>IF($J406="","",IFERROR(INDEX(B!$M$2:$M$61,MATCH($J406,B!$E$2:$E$61,0))&amp;"",""))</f>
        <v/>
      </c>
      <c r="W406" s="71">
        <f>IF(I406="","",IFERROR(MID(I406,FIND("/d/",I406)+3,FIND("/edit",I406)-FIND("/d/",I406)-3),I406))</f>
        <v/>
      </c>
      <c r="X406" s="71">
        <f>IF($J406="","",IFERROR(INDEX(B!$C$2:$C$61,MATCH($J406,B!$E$2:$E$61,0))&amp;"",""))</f>
        <v/>
      </c>
      <c r="Y406" s="20" t="n"/>
      <c r="Z406" s="72">
        <f>IF($J406="",FALSE,ISNUMBER(SEARCH("scout",$K406)))</f>
        <v/>
      </c>
      <c r="AA406" s="72">
        <f>IF($J406="",FALSE,IFERROR(INDEX(B!$N$2:$N$61,MATCH($J406,B!$E$2:$E$61,0))="Sim",FALSE))</f>
        <v/>
      </c>
      <c r="AB406" s="72">
        <f>IF($J406="",FALSE,LEFT($X406,2)="XX")</f>
        <v/>
      </c>
      <c r="AC406" s="72">
        <f>IF($J406="",FALSE,IFERROR(INDEX(B!$P$2:$P$61,MATCH($J406,B!$E$2:$E$61,0))="Sim",FALSE))</f>
        <v/>
      </c>
      <c r="AD406" s="20" t="n"/>
      <c r="AE406" s="52">
        <f>IF(H406="","",HOUR(H406))</f>
        <v/>
      </c>
      <c r="AF406" s="52" t="n"/>
    </row>
    <row r="407" ht="19.5" customHeight="1" s="58">
      <c r="A407" s="62">
        <f>IF(G407="","",IF(G407=G406,"",COUNTIF($G$3:$G$976,G407)))</f>
        <v/>
      </c>
      <c r="B407" s="20" t="n"/>
      <c r="C407" s="63">
        <f>IF(G407="","",DAY(G407))</f>
        <v/>
      </c>
      <c r="D407" s="63">
        <f>IF(G407="","",MONTH(G407))</f>
        <v/>
      </c>
      <c r="E407" s="63">
        <f>IF(G407="","",YEAR(G407))</f>
        <v/>
      </c>
      <c r="F407" s="33">
        <f>IF(G407="","",CHOOSE(MONTH(G407),"Janeiro","Fevereiro","Março","Abril","Maio","Junho","Julho","Agosto","Setembro","Outubro","Novembro","Dezembro"))</f>
        <v/>
      </c>
      <c r="G407" s="64" t="n">
        <v>46065</v>
      </c>
      <c r="H407" s="65" t="n">
        <v>0.07392361111111111</v>
      </c>
      <c r="I407" s="66" t="inlineStr">
        <is>
          <t>https://docs.google.com/spreadsheets/d/1ZiCGoPjLCjuYvujDTXK9Ixbth3tekiLtFBzBrGjPCr4/edit?gid=0#gid=0</t>
        </is>
      </c>
      <c r="J407" s="67" t="inlineStr">
        <is>
          <t>Não houve Taxa de Cancelamento - [NTX]</t>
        </is>
      </c>
      <c r="K407" s="67" t="inlineStr"/>
      <c r="L407" s="68" t="b">
        <v>0</v>
      </c>
      <c r="M407" s="20" t="n"/>
      <c r="N407" s="69">
        <f>IF($J407="","",IFERROR(INDEX(B!$F$2:$F$61,MATCH($J407,B!$E$2:$E$61,0))&amp;"",""))</f>
        <v/>
      </c>
      <c r="O407" s="69">
        <f>IF($J407="","",IFERROR(INDEX(B!$G$2:$G$61,MATCH($J407,B!$E$2:$E$61,0))&amp;"",""))</f>
        <v/>
      </c>
      <c r="P407" s="69">
        <f>IF($J407="","",IFERROR(INDEX(B!$H$2:$H$61,MATCH($J407,B!$E$2:$E$61,0))&amp;"",""))</f>
        <v/>
      </c>
      <c r="Q407" s="69">
        <f>IF($J407="","",IFERROR(INDEX(B!$I$2:$I$61,MATCH($J407,B!$E$2:$E$61,0))&amp;"",""))</f>
        <v/>
      </c>
      <c r="R407" s="69">
        <f>IF($J407="","",IFERROR(INDEX(B!$J$2:$J$61,MATCH($J407,B!$E$2:$E$61,0))&amp;"",""))</f>
        <v/>
      </c>
      <c r="S407" s="69">
        <f>IF($J407="","",IFERROR(INDEX(B!$K$2:$K$61,MATCH($J407,B!$E$2:$E$61,0))&amp;"",""))</f>
        <v/>
      </c>
      <c r="T407" s="69">
        <f>IF($J407="","",IFERROR(INDEX(B!$L$2:$L$61,MATCH($J407,B!$E$2:$E$61,0))&amp;"",""))</f>
        <v/>
      </c>
      <c r="U407" s="20" t="n"/>
      <c r="V407" s="70">
        <f>IF($J407="","",IFERROR(INDEX(B!$M$2:$M$61,MATCH($J407,B!$E$2:$E$61,0))&amp;"",""))</f>
        <v/>
      </c>
      <c r="W407" s="71">
        <f>IF(I407="","",IFERROR(MID(I407,FIND("/d/",I407)+3,FIND("/edit",I407)-FIND("/d/",I407)-3),I407))</f>
        <v/>
      </c>
      <c r="X407" s="71">
        <f>IF($J407="","",IFERROR(INDEX(B!$C$2:$C$61,MATCH($J407,B!$E$2:$E$61,0))&amp;"",""))</f>
        <v/>
      </c>
      <c r="Y407" s="20" t="n"/>
      <c r="Z407" s="72">
        <f>IF($J407="",FALSE,ISNUMBER(SEARCH("scout",$K407)))</f>
        <v/>
      </c>
      <c r="AA407" s="72">
        <f>IF($J407="",FALSE,IFERROR(INDEX(B!$N$2:$N$61,MATCH($J407,B!$E$2:$E$61,0))="Sim",FALSE))</f>
        <v/>
      </c>
      <c r="AB407" s="72">
        <f>IF($J407="",FALSE,LEFT($X407,2)="XX")</f>
        <v/>
      </c>
      <c r="AC407" s="72">
        <f>IF($J407="",FALSE,IFERROR(INDEX(B!$P$2:$P$61,MATCH($J407,B!$E$2:$E$61,0))="Sim",FALSE))</f>
        <v/>
      </c>
      <c r="AD407" s="20" t="n"/>
      <c r="AE407" s="52">
        <f>IF(H407="","",HOUR(H407))</f>
        <v/>
      </c>
      <c r="AF407" s="52" t="n"/>
    </row>
    <row r="408" ht="19.5" customHeight="1" s="58">
      <c r="A408" s="62">
        <f>IF(G408="","",IF(G408=G407,"",COUNTIF($G$3:$G$976,G408)))</f>
        <v/>
      </c>
      <c r="B408" s="20" t="n"/>
      <c r="C408" s="63">
        <f>IF(G408="","",DAY(G408))</f>
        <v/>
      </c>
      <c r="D408" s="63">
        <f>IF(G408="","",MONTH(G408))</f>
        <v/>
      </c>
      <c r="E408" s="63">
        <f>IF(G408="","",YEAR(G408))</f>
        <v/>
      </c>
      <c r="F408" s="33">
        <f>IF(G408="","",CHOOSE(MONTH(G408),"Janeiro","Fevereiro","Março","Abril","Maio","Junho","Julho","Agosto","Setembro","Outubro","Novembro","Dezembro"))</f>
        <v/>
      </c>
      <c r="G408" s="64" t="n">
        <v>46065</v>
      </c>
      <c r="H408" s="65" t="n">
        <v>0.0739699074074074</v>
      </c>
      <c r="I408" s="66" t="inlineStr">
        <is>
          <t>https://docs.google.com/spreadsheets/d/1ZiCGoPjLCjuYvujDTXK9Ixbth3tekiLtFBzBrGjPCr4/edit?gid=0#gid=0</t>
        </is>
      </c>
      <c r="J408" s="67" t="inlineStr">
        <is>
          <t>Trajeto Ruim - [TR]</t>
        </is>
      </c>
      <c r="K408" s="67" t="inlineStr"/>
      <c r="L408" s="68" t="b">
        <v>1</v>
      </c>
      <c r="M408" s="20" t="n"/>
      <c r="N408" s="69">
        <f>IF($J408="","",IFERROR(INDEX(B!$F$2:$F$61,MATCH($J408,B!$E$2:$E$61,0))&amp;"",""))</f>
        <v/>
      </c>
      <c r="O408" s="69">
        <f>IF($J408="","",IFERROR(INDEX(B!$G$2:$G$61,MATCH($J408,B!$E$2:$E$61,0))&amp;"",""))</f>
        <v/>
      </c>
      <c r="P408" s="69">
        <f>IF($J408="","",IFERROR(INDEX(B!$H$2:$H$61,MATCH($J408,B!$E$2:$E$61,0))&amp;"",""))</f>
        <v/>
      </c>
      <c r="Q408" s="69">
        <f>IF($J408="","",IFERROR(INDEX(B!$I$2:$I$61,MATCH($J408,B!$E$2:$E$61,0))&amp;"",""))</f>
        <v/>
      </c>
      <c r="R408" s="69">
        <f>IF($J408="","",IFERROR(INDEX(B!$J$2:$J$61,MATCH($J408,B!$E$2:$E$61,0))&amp;"",""))</f>
        <v/>
      </c>
      <c r="S408" s="69">
        <f>IF($J408="","",IFERROR(INDEX(B!$K$2:$K$61,MATCH($J408,B!$E$2:$E$61,0))&amp;"",""))</f>
        <v/>
      </c>
      <c r="T408" s="69">
        <f>IF($J408="","",IFERROR(INDEX(B!$L$2:$L$61,MATCH($J408,B!$E$2:$E$61,0))&amp;"",""))</f>
        <v/>
      </c>
      <c r="U408" s="20" t="n"/>
      <c r="V408" s="70">
        <f>IF($J408="","",IFERROR(INDEX(B!$M$2:$M$61,MATCH($J408,B!$E$2:$E$61,0))&amp;"",""))</f>
        <v/>
      </c>
      <c r="W408" s="71">
        <f>IF(I408="","",IFERROR(MID(I408,FIND("/d/",I408)+3,FIND("/edit",I408)-FIND("/d/",I408)-3),I408))</f>
        <v/>
      </c>
      <c r="X408" s="71">
        <f>IF($J408="","",IFERROR(INDEX(B!$C$2:$C$61,MATCH($J408,B!$E$2:$E$61,0))&amp;"",""))</f>
        <v/>
      </c>
      <c r="Y408" s="20" t="n"/>
      <c r="Z408" s="72">
        <f>IF($J408="",FALSE,ISNUMBER(SEARCH("scout",$K408)))</f>
        <v/>
      </c>
      <c r="AA408" s="72">
        <f>IF($J408="",FALSE,IFERROR(INDEX(B!$N$2:$N$61,MATCH($J408,B!$E$2:$E$61,0))="Sim",FALSE))</f>
        <v/>
      </c>
      <c r="AB408" s="72">
        <f>IF($J408="",FALSE,LEFT($X408,2)="XX")</f>
        <v/>
      </c>
      <c r="AC408" s="72">
        <f>IF($J408="",FALSE,IFERROR(INDEX(B!$P$2:$P$61,MATCH($J408,B!$E$2:$E$61,0))="Sim",FALSE))</f>
        <v/>
      </c>
      <c r="AD408" s="20" t="n"/>
      <c r="AE408" s="52">
        <f>IF(H408="","",HOUR(H408))</f>
        <v/>
      </c>
      <c r="AF408" s="52" t="n"/>
    </row>
    <row r="409" ht="19.5" customHeight="1" s="58">
      <c r="A409" s="62">
        <f>IF(G409="","",IF(G409=G408,"",COUNTIF($G$3:$G$976,G409)))</f>
        <v/>
      </c>
      <c r="B409" s="20" t="n"/>
      <c r="C409" s="63">
        <f>IF(G409="","",DAY(G409))</f>
        <v/>
      </c>
      <c r="D409" s="63">
        <f>IF(G409="","",MONTH(G409))</f>
        <v/>
      </c>
      <c r="E409" s="63">
        <f>IF(G409="","",YEAR(G409))</f>
        <v/>
      </c>
      <c r="F409" s="33">
        <f>IF(G409="","",CHOOSE(MONTH(G409),"Janeiro","Fevereiro","Março","Abril","Maio","Junho","Julho","Agosto","Setembro","Outubro","Novembro","Dezembro"))</f>
        <v/>
      </c>
      <c r="G409" s="64" t="n">
        <v>46065</v>
      </c>
      <c r="H409" s="65" t="n">
        <v>0.07552083333333333</v>
      </c>
      <c r="I409" s="66" t="inlineStr">
        <is>
          <t>https://docs.google.com/spreadsheets/d/1ZiCGoPjLCjuYvujDTXK9Ixbth3tekiLtFBzBrGjPCr4/edit?gid=0#gid=0</t>
        </is>
      </c>
      <c r="J409" s="67" t="inlineStr">
        <is>
          <t>Erro de Gps (Problema Técnico) - [GPS]</t>
        </is>
      </c>
      <c r="K409" s="67" t="inlineStr"/>
      <c r="L409" s="68" t="b">
        <v>1</v>
      </c>
      <c r="M409" s="20" t="n"/>
      <c r="N409" s="69">
        <f>IF($J409="","",IFERROR(INDEX(B!$F$2:$F$61,MATCH($J409,B!$E$2:$E$61,0))&amp;"",""))</f>
        <v/>
      </c>
      <c r="O409" s="69">
        <f>IF($J409="","",IFERROR(INDEX(B!$G$2:$G$61,MATCH($J409,B!$E$2:$E$61,0))&amp;"",""))</f>
        <v/>
      </c>
      <c r="P409" s="69">
        <f>IF($J409="","",IFERROR(INDEX(B!$H$2:$H$61,MATCH($J409,B!$E$2:$E$61,0))&amp;"",""))</f>
        <v/>
      </c>
      <c r="Q409" s="69">
        <f>IF($J409="","",IFERROR(INDEX(B!$I$2:$I$61,MATCH($J409,B!$E$2:$E$61,0))&amp;"",""))</f>
        <v/>
      </c>
      <c r="R409" s="69">
        <f>IF($J409="","",IFERROR(INDEX(B!$J$2:$J$61,MATCH($J409,B!$E$2:$E$61,0))&amp;"",""))</f>
        <v/>
      </c>
      <c r="S409" s="69">
        <f>IF($J409="","",IFERROR(INDEX(B!$K$2:$K$61,MATCH($J409,B!$E$2:$E$61,0))&amp;"",""))</f>
        <v/>
      </c>
      <c r="T409" s="69">
        <f>IF($J409="","",IFERROR(INDEX(B!$L$2:$L$61,MATCH($J409,B!$E$2:$E$61,0))&amp;"",""))</f>
        <v/>
      </c>
      <c r="U409" s="20" t="n"/>
      <c r="V409" s="70">
        <f>IF($J409="","",IFERROR(INDEX(B!$M$2:$M$61,MATCH($J409,B!$E$2:$E$61,0))&amp;"",""))</f>
        <v/>
      </c>
      <c r="W409" s="71">
        <f>IF(I409="","",IFERROR(MID(I409,FIND("/d/",I409)+3,FIND("/edit",I409)-FIND("/d/",I409)-3),I409))</f>
        <v/>
      </c>
      <c r="X409" s="71">
        <f>IF($J409="","",IFERROR(INDEX(B!$C$2:$C$61,MATCH($J409,B!$E$2:$E$61,0))&amp;"",""))</f>
        <v/>
      </c>
      <c r="Y409" s="20" t="n"/>
      <c r="Z409" s="72">
        <f>IF($J409="",FALSE,ISNUMBER(SEARCH("scout",$K409)))</f>
        <v/>
      </c>
      <c r="AA409" s="72">
        <f>IF($J409="",FALSE,IFERROR(INDEX(B!$N$2:$N$61,MATCH($J409,B!$E$2:$E$61,0))="Sim",FALSE))</f>
        <v/>
      </c>
      <c r="AB409" s="72">
        <f>IF($J409="",FALSE,LEFT($X409,2)="XX")</f>
        <v/>
      </c>
      <c r="AC409" s="72">
        <f>IF($J409="",FALSE,IFERROR(INDEX(B!$P$2:$P$61,MATCH($J409,B!$E$2:$E$61,0))="Sim",FALSE))</f>
        <v/>
      </c>
      <c r="AD409" s="20" t="n"/>
      <c r="AE409" s="52">
        <f>IF(H409="","",HOUR(H409))</f>
        <v/>
      </c>
      <c r="AF409" s="52" t="n"/>
    </row>
    <row r="410" ht="19.5" customHeight="1" s="58">
      <c r="A410" s="62">
        <f>IF(G410="","",IF(G410=G409,"",COUNTIF($G$3:$G$976,G410)))</f>
        <v/>
      </c>
      <c r="B410" s="20" t="n"/>
      <c r="C410" s="63">
        <f>IF(G410="","",DAY(G410))</f>
        <v/>
      </c>
      <c r="D410" s="63">
        <f>IF(G410="","",MONTH(G410))</f>
        <v/>
      </c>
      <c r="E410" s="63">
        <f>IF(G410="","",YEAR(G410))</f>
        <v/>
      </c>
      <c r="F410" s="33">
        <f>IF(G410="","",CHOOSE(MONTH(G410),"Janeiro","Fevereiro","Março","Abril","Maio","Junho","Julho","Agosto","Setembro","Outubro","Novembro","Dezembro"))</f>
        <v/>
      </c>
      <c r="G410" s="64" t="n">
        <v>46065</v>
      </c>
      <c r="H410" s="65" t="n">
        <v>0.07570601851851852</v>
      </c>
      <c r="I410" s="66" t="inlineStr">
        <is>
          <t>https://docs.google.com/spreadsheets/d/1ZiCGoPjLCjuYvujDTXK9Ixbth3tekiLtFBzBrGjPCr4/edit?gid=0#gid=0</t>
        </is>
      </c>
      <c r="J410" s="67" t="inlineStr">
        <is>
          <t>Transferência de LOB (Geral não especificado) - [TI]</t>
        </is>
      </c>
      <c r="K410" s="67" t="inlineStr"/>
      <c r="L410" s="68" t="b">
        <v>0</v>
      </c>
      <c r="M410" s="20" t="n"/>
      <c r="N410" s="69">
        <f>IF($J410="","",IFERROR(INDEX(B!$F$2:$F$61,MATCH($J410,B!$E$2:$E$61,0))&amp;"",""))</f>
        <v/>
      </c>
      <c r="O410" s="69">
        <f>IF($J410="","",IFERROR(INDEX(B!$G$2:$G$61,MATCH($J410,B!$E$2:$E$61,0))&amp;"",""))</f>
        <v/>
      </c>
      <c r="P410" s="69">
        <f>IF($J410="","",IFERROR(INDEX(B!$H$2:$H$61,MATCH($J410,B!$E$2:$E$61,0))&amp;"",""))</f>
        <v/>
      </c>
      <c r="Q410" s="69">
        <f>IF($J410="","",IFERROR(INDEX(B!$I$2:$I$61,MATCH($J410,B!$E$2:$E$61,0))&amp;"",""))</f>
        <v/>
      </c>
      <c r="R410" s="69">
        <f>IF($J410="","",IFERROR(INDEX(B!$J$2:$J$61,MATCH($J410,B!$E$2:$E$61,0))&amp;"",""))</f>
        <v/>
      </c>
      <c r="S410" s="69">
        <f>IF($J410="","",IFERROR(INDEX(B!$K$2:$K$61,MATCH($J410,B!$E$2:$E$61,0))&amp;"",""))</f>
        <v/>
      </c>
      <c r="T410" s="69">
        <f>IF($J410="","",IFERROR(INDEX(B!$L$2:$L$61,MATCH($J410,B!$E$2:$E$61,0))&amp;"",""))</f>
        <v/>
      </c>
      <c r="U410" s="20" t="n"/>
      <c r="V410" s="70">
        <f>IF($J410="","",IFERROR(INDEX(B!$M$2:$M$61,MATCH($J410,B!$E$2:$E$61,0))&amp;"",""))</f>
        <v/>
      </c>
      <c r="W410" s="71">
        <f>IF(I410="","",IFERROR(MID(I410,FIND("/d/",I410)+3,FIND("/edit",I410)-FIND("/d/",I410)-3),I410))</f>
        <v/>
      </c>
      <c r="X410" s="71">
        <f>IF($J410="","",IFERROR(INDEX(B!$C$2:$C$61,MATCH($J410,B!$E$2:$E$61,0))&amp;"",""))</f>
        <v/>
      </c>
      <c r="Y410" s="20" t="n"/>
      <c r="Z410" s="72">
        <f>IF($J410="",FALSE,ISNUMBER(SEARCH("scout",$K410)))</f>
        <v/>
      </c>
      <c r="AA410" s="72">
        <f>IF($J410="",FALSE,IFERROR(INDEX(B!$N$2:$N$61,MATCH($J410,B!$E$2:$E$61,0))="Sim",FALSE))</f>
        <v/>
      </c>
      <c r="AB410" s="72">
        <f>IF($J410="",FALSE,LEFT($X410,2)="XX")</f>
        <v/>
      </c>
      <c r="AC410" s="72">
        <f>IF($J410="",FALSE,IFERROR(INDEX(B!$P$2:$P$61,MATCH($J410,B!$E$2:$E$61,0))="Sim",FALSE))</f>
        <v/>
      </c>
      <c r="AD410" s="20" t="n"/>
      <c r="AE410" s="52">
        <f>IF(H410="","",HOUR(H410))</f>
        <v/>
      </c>
      <c r="AF410" s="52" t="n"/>
    </row>
    <row r="411" ht="19.5" customHeight="1" s="58">
      <c r="A411" s="62">
        <f>IF(G411="","",IF(G411=G410,"",COUNTIF($G$3:$G$976,G411)))</f>
        <v/>
      </c>
      <c r="B411" s="20" t="n"/>
      <c r="C411" s="63">
        <f>IF(G411="","",DAY(G411))</f>
        <v/>
      </c>
      <c r="D411" s="63">
        <f>IF(G411="","",MONTH(G411))</f>
        <v/>
      </c>
      <c r="E411" s="63">
        <f>IF(G411="","",YEAR(G411))</f>
        <v/>
      </c>
      <c r="F411" s="33">
        <f>IF(G411="","",CHOOSE(MONTH(G411),"Janeiro","Fevereiro","Março","Abril","Maio","Junho","Julho","Agosto","Setembro","Outubro","Novembro","Dezembro"))</f>
        <v/>
      </c>
      <c r="G411" s="64" t="n">
        <v>46065</v>
      </c>
      <c r="H411" s="65" t="n">
        <v>0.08133101851851852</v>
      </c>
      <c r="I411" s="66" t="inlineStr">
        <is>
          <t>https://docs.google.com/spreadsheets/d/1ZiCGoPjLCjuYvujDTXK9Ixbth3tekiLtFBzBrGjPCr4/edit?gid=0#gid=0</t>
        </is>
      </c>
      <c r="J411" s="67" t="inlineStr">
        <is>
          <t>Overpaid, Excede o limite Com comprovante - [OPEC]</t>
        </is>
      </c>
      <c r="K411" s="67" t="inlineStr"/>
      <c r="L411" s="68" t="b">
        <v>0</v>
      </c>
      <c r="M411" s="20" t="n"/>
      <c r="N411" s="69">
        <f>IF($J411="","",IFERROR(INDEX(B!$F$2:$F$61,MATCH($J411,B!$E$2:$E$61,0))&amp;"",""))</f>
        <v/>
      </c>
      <c r="O411" s="69">
        <f>IF($J411="","",IFERROR(INDEX(B!$G$2:$G$61,MATCH($J411,B!$E$2:$E$61,0))&amp;"",""))</f>
        <v/>
      </c>
      <c r="P411" s="69">
        <f>IF($J411="","",IFERROR(INDEX(B!$H$2:$H$61,MATCH($J411,B!$E$2:$E$61,0))&amp;"",""))</f>
        <v/>
      </c>
      <c r="Q411" s="69">
        <f>IF($J411="","",IFERROR(INDEX(B!$I$2:$I$61,MATCH($J411,B!$E$2:$E$61,0))&amp;"",""))</f>
        <v/>
      </c>
      <c r="R411" s="69">
        <f>IF($J411="","",IFERROR(INDEX(B!$J$2:$J$61,MATCH($J411,B!$E$2:$E$61,0))&amp;"",""))</f>
        <v/>
      </c>
      <c r="S411" s="69">
        <f>IF($J411="","",IFERROR(INDEX(B!$K$2:$K$61,MATCH($J411,B!$E$2:$E$61,0))&amp;"",""))</f>
        <v/>
      </c>
      <c r="T411" s="69">
        <f>IF($J411="","",IFERROR(INDEX(B!$L$2:$L$61,MATCH($J411,B!$E$2:$E$61,0))&amp;"",""))</f>
        <v/>
      </c>
      <c r="U411" s="20" t="n"/>
      <c r="V411" s="70">
        <f>IF($J411="","",IFERROR(INDEX(B!$M$2:$M$61,MATCH($J411,B!$E$2:$E$61,0))&amp;"",""))</f>
        <v/>
      </c>
      <c r="W411" s="71">
        <f>IF(I411="","",IFERROR(MID(I411,FIND("/d/",I411)+3,FIND("/edit",I411)-FIND("/d/",I411)-3),I411))</f>
        <v/>
      </c>
      <c r="X411" s="71">
        <f>IF($J411="","",IFERROR(INDEX(B!$C$2:$C$61,MATCH($J411,B!$E$2:$E$61,0))&amp;"",""))</f>
        <v/>
      </c>
      <c r="Y411" s="20" t="n"/>
      <c r="Z411" s="72">
        <f>IF($J411="",FALSE,ISNUMBER(SEARCH("scout",$K411)))</f>
        <v/>
      </c>
      <c r="AA411" s="72">
        <f>IF($J411="",FALSE,IFERROR(INDEX(B!$N$2:$N$61,MATCH($J411,B!$E$2:$E$61,0))="Sim",FALSE))</f>
        <v/>
      </c>
      <c r="AB411" s="72">
        <f>IF($J411="",FALSE,LEFT($X411,2)="XX")</f>
        <v/>
      </c>
      <c r="AC411" s="72">
        <f>IF($J411="",FALSE,IFERROR(INDEX(B!$P$2:$P$61,MATCH($J411,B!$E$2:$E$61,0))="Sim",FALSE))</f>
        <v/>
      </c>
      <c r="AD411" s="20" t="n"/>
      <c r="AE411" s="52">
        <f>IF(H411="","",HOUR(H411))</f>
        <v/>
      </c>
      <c r="AF411" s="52" t="n"/>
    </row>
    <row r="412" ht="19.5" customHeight="1" s="58">
      <c r="A412" s="62">
        <f>IF(G412="","",IF(G412=G411,"",COUNTIF($G$3:$G$976,G412)))</f>
        <v/>
      </c>
      <c r="B412" s="20" t="n"/>
      <c r="C412" s="63">
        <f>IF(G412="","",DAY(G412))</f>
        <v/>
      </c>
      <c r="D412" s="63">
        <f>IF(G412="","",MONTH(G412))</f>
        <v/>
      </c>
      <c r="E412" s="63">
        <f>IF(G412="","",YEAR(G412))</f>
        <v/>
      </c>
      <c r="F412" s="33">
        <f>IF(G412="","",CHOOSE(MONTH(G412),"Janeiro","Fevereiro","Março","Abril","Maio","Junho","Julho","Agosto","Setembro","Outubro","Novembro","Dezembro"))</f>
        <v/>
      </c>
      <c r="G412" s="64" t="n">
        <v>46065</v>
      </c>
      <c r="H412" s="65" t="n">
        <v>0.08199074074074074</v>
      </c>
      <c r="I412" s="66" t="inlineStr">
        <is>
          <t>https://docs.google.com/spreadsheets/d/1ZiCGoPjLCjuYvujDTXK9Ixbth3tekiLtFBzBrGjPCr4/edit?gid=0#gid=0</t>
        </is>
      </c>
      <c r="J412" s="67" t="inlineStr">
        <is>
          <t>Transferência de LOB (Lost Items) - [TILI]</t>
        </is>
      </c>
      <c r="K412" s="67" t="inlineStr"/>
      <c r="L412" s="68" t="b">
        <v>0</v>
      </c>
      <c r="M412" s="20" t="n"/>
      <c r="N412" s="69">
        <f>IF($J412="","",IFERROR(INDEX(B!$F$2:$F$61,MATCH($J412,B!$E$2:$E$61,0))&amp;"",""))</f>
        <v/>
      </c>
      <c r="O412" s="69">
        <f>IF($J412="","",IFERROR(INDEX(B!$G$2:$G$61,MATCH($J412,B!$E$2:$E$61,0))&amp;"",""))</f>
        <v/>
      </c>
      <c r="P412" s="69">
        <f>IF($J412="","",IFERROR(INDEX(B!$H$2:$H$61,MATCH($J412,B!$E$2:$E$61,0))&amp;"",""))</f>
        <v/>
      </c>
      <c r="Q412" s="69">
        <f>IF($J412="","",IFERROR(INDEX(B!$I$2:$I$61,MATCH($J412,B!$E$2:$E$61,0))&amp;"",""))</f>
        <v/>
      </c>
      <c r="R412" s="69">
        <f>IF($J412="","",IFERROR(INDEX(B!$J$2:$J$61,MATCH($J412,B!$E$2:$E$61,0))&amp;"",""))</f>
        <v/>
      </c>
      <c r="S412" s="69">
        <f>IF($J412="","",IFERROR(INDEX(B!$K$2:$K$61,MATCH($J412,B!$E$2:$E$61,0))&amp;"",""))</f>
        <v/>
      </c>
      <c r="T412" s="69">
        <f>IF($J412="","",IFERROR(INDEX(B!$L$2:$L$61,MATCH($J412,B!$E$2:$E$61,0))&amp;"",""))</f>
        <v/>
      </c>
      <c r="U412" s="20" t="n"/>
      <c r="V412" s="70">
        <f>IF($J412="","",IFERROR(INDEX(B!$M$2:$M$61,MATCH($J412,B!$E$2:$E$61,0))&amp;"",""))</f>
        <v/>
      </c>
      <c r="W412" s="71">
        <f>IF(I412="","",IFERROR(MID(I412,FIND("/d/",I412)+3,FIND("/edit",I412)-FIND("/d/",I412)-3),I412))</f>
        <v/>
      </c>
      <c r="X412" s="71">
        <f>IF($J412="","",IFERROR(INDEX(B!$C$2:$C$61,MATCH($J412,B!$E$2:$E$61,0))&amp;"",""))</f>
        <v/>
      </c>
      <c r="Y412" s="20" t="n"/>
      <c r="Z412" s="72">
        <f>IF($J412="",FALSE,ISNUMBER(SEARCH("scout",$K412)))</f>
        <v/>
      </c>
      <c r="AA412" s="72">
        <f>IF($J412="",FALSE,IFERROR(INDEX(B!$N$2:$N$61,MATCH($J412,B!$E$2:$E$61,0))="Sim",FALSE))</f>
        <v/>
      </c>
      <c r="AB412" s="72">
        <f>IF($J412="",FALSE,LEFT($X412,2)="XX")</f>
        <v/>
      </c>
      <c r="AC412" s="72">
        <f>IF($J412="",FALSE,IFERROR(INDEX(B!$P$2:$P$61,MATCH($J412,B!$E$2:$E$61,0))="Sim",FALSE))</f>
        <v/>
      </c>
      <c r="AD412" s="20" t="n"/>
      <c r="AE412" s="52">
        <f>IF(H412="","",HOUR(H412))</f>
        <v/>
      </c>
      <c r="AF412" s="52" t="n"/>
    </row>
    <row r="413" ht="19.5" customHeight="1" s="58">
      <c r="A413" s="62">
        <f>IF(G413="","",IF(G413=G412,"",COUNTIF($G$3:$G$976,G413)))</f>
        <v/>
      </c>
      <c r="B413" s="20" t="n"/>
      <c r="C413" s="63">
        <f>IF(G413="","",DAY(G413))</f>
        <v/>
      </c>
      <c r="D413" s="63">
        <f>IF(G413="","",MONTH(G413))</f>
        <v/>
      </c>
      <c r="E413" s="63">
        <f>IF(G413="","",YEAR(G413))</f>
        <v/>
      </c>
      <c r="F413" s="33">
        <f>IF(G413="","",CHOOSE(MONTH(G413),"Janeiro","Fevereiro","Março","Abril","Maio","Junho","Julho","Agosto","Setembro","Outubro","Novembro","Dezembro"))</f>
        <v/>
      </c>
      <c r="G413" s="64" t="n">
        <v>46065</v>
      </c>
      <c r="H413" s="65" t="n">
        <v>0.09015046296296296</v>
      </c>
      <c r="I413" s="66" t="inlineStr">
        <is>
          <t>https://docs.google.com/spreadsheets/d/1ZiCGoPjLCjuYvujDTXK9Ixbth3tekiLtFBzBrGjPCr4/edit?gid=0#gid=0</t>
        </is>
      </c>
      <c r="J413" s="67" t="inlineStr">
        <is>
          <t>Taxa de Limpeza, Reembolsado ao cliente - [TXLR]</t>
        </is>
      </c>
      <c r="K413" s="67" t="inlineStr"/>
      <c r="L413" s="68" t="b">
        <v>0</v>
      </c>
      <c r="M413" s="20" t="n"/>
      <c r="N413" s="69">
        <f>IF($J413="","",IFERROR(INDEX(B!$F$2:$F$61,MATCH($J413,B!$E$2:$E$61,0))&amp;"",""))</f>
        <v/>
      </c>
      <c r="O413" s="69">
        <f>IF($J413="","",IFERROR(INDEX(B!$G$2:$G$61,MATCH($J413,B!$E$2:$E$61,0))&amp;"",""))</f>
        <v/>
      </c>
      <c r="P413" s="69">
        <f>IF($J413="","",IFERROR(INDEX(B!$H$2:$H$61,MATCH($J413,B!$E$2:$E$61,0))&amp;"",""))</f>
        <v/>
      </c>
      <c r="Q413" s="69">
        <f>IF($J413="","",IFERROR(INDEX(B!$I$2:$I$61,MATCH($J413,B!$E$2:$E$61,0))&amp;"",""))</f>
        <v/>
      </c>
      <c r="R413" s="69">
        <f>IF($J413="","",IFERROR(INDEX(B!$J$2:$J$61,MATCH($J413,B!$E$2:$E$61,0))&amp;"",""))</f>
        <v/>
      </c>
      <c r="S413" s="69">
        <f>IF($J413="","",IFERROR(INDEX(B!$K$2:$K$61,MATCH($J413,B!$E$2:$E$61,0))&amp;"",""))</f>
        <v/>
      </c>
      <c r="T413" s="69">
        <f>IF($J413="","",IFERROR(INDEX(B!$L$2:$L$61,MATCH($J413,B!$E$2:$E$61,0))&amp;"",""))</f>
        <v/>
      </c>
      <c r="U413" s="20" t="n"/>
      <c r="V413" s="70">
        <f>IF($J413="","",IFERROR(INDEX(B!$M$2:$M$61,MATCH($J413,B!$E$2:$E$61,0))&amp;"",""))</f>
        <v/>
      </c>
      <c r="W413" s="71">
        <f>IF(I413="","",IFERROR(MID(I413,FIND("/d/",I413)+3,FIND("/edit",I413)-FIND("/d/",I413)-3),I413))</f>
        <v/>
      </c>
      <c r="X413" s="71">
        <f>IF($J413="","",IFERROR(INDEX(B!$C$2:$C$61,MATCH($J413,B!$E$2:$E$61,0))&amp;"",""))</f>
        <v/>
      </c>
      <c r="Y413" s="20" t="n"/>
      <c r="Z413" s="72">
        <f>IF($J413="",FALSE,ISNUMBER(SEARCH("scout",$K413)))</f>
        <v/>
      </c>
      <c r="AA413" s="72">
        <f>IF($J413="",FALSE,IFERROR(INDEX(B!$N$2:$N$61,MATCH($J413,B!$E$2:$E$61,0))="Sim",FALSE))</f>
        <v/>
      </c>
      <c r="AB413" s="72">
        <f>IF($J413="",FALSE,LEFT($X413,2)="XX")</f>
        <v/>
      </c>
      <c r="AC413" s="72">
        <f>IF($J413="",FALSE,IFERROR(INDEX(B!$P$2:$P$61,MATCH($J413,B!$E$2:$E$61,0))="Sim",FALSE))</f>
        <v/>
      </c>
      <c r="AD413" s="20" t="n"/>
      <c r="AE413" s="52">
        <f>IF(H413="","",HOUR(H413))</f>
        <v/>
      </c>
      <c r="AF413" s="52" t="n"/>
    </row>
    <row r="414" ht="19.5" customHeight="1" s="58">
      <c r="A414" s="62">
        <f>IF(G414="","",IF(G414=G413,"",COUNTIF($G$3:$G$976,G414)))</f>
        <v/>
      </c>
      <c r="B414" s="20" t="n"/>
      <c r="C414" s="63">
        <f>IF(G414="","",DAY(G414))</f>
        <v/>
      </c>
      <c r="D414" s="63">
        <f>IF(G414="","",MONTH(G414))</f>
        <v/>
      </c>
      <c r="E414" s="63">
        <f>IF(G414="","",YEAR(G414))</f>
        <v/>
      </c>
      <c r="F414" s="33">
        <f>IF(G414="","",CHOOSE(MONTH(G414),"Janeiro","Fevereiro","Março","Abril","Maio","Junho","Julho","Agosto","Setembro","Outubro","Novembro","Dezembro"))</f>
        <v/>
      </c>
      <c r="G414" s="64" t="n">
        <v>46065</v>
      </c>
      <c r="H414" s="65" t="n">
        <v>0.09247685185185185</v>
      </c>
      <c r="I414" s="66" t="inlineStr">
        <is>
          <t>https://docs.google.com/spreadsheets/d/1ZiCGoPjLCjuYvujDTXK9Ixbth3tekiLtFBzBrGjPCr4/edit?gid=0#gid=0</t>
        </is>
      </c>
      <c r="J414" s="67" t="inlineStr">
        <is>
          <t>Taxa de Cancelamento Cobrada Corretamente - [TXCO]</t>
        </is>
      </c>
      <c r="K414" s="67" t="inlineStr"/>
      <c r="L414" s="68" t="b">
        <v>0</v>
      </c>
      <c r="M414" s="20" t="n"/>
      <c r="N414" s="69">
        <f>IF($J414="","",IFERROR(INDEX(B!$F$2:$F$61,MATCH($J414,B!$E$2:$E$61,0))&amp;"",""))</f>
        <v/>
      </c>
      <c r="O414" s="69">
        <f>IF($J414="","",IFERROR(INDEX(B!$G$2:$G$61,MATCH($J414,B!$E$2:$E$61,0))&amp;"",""))</f>
        <v/>
      </c>
      <c r="P414" s="69">
        <f>IF($J414="","",IFERROR(INDEX(B!$H$2:$H$61,MATCH($J414,B!$E$2:$E$61,0))&amp;"",""))</f>
        <v/>
      </c>
      <c r="Q414" s="69">
        <f>IF($J414="","",IFERROR(INDEX(B!$I$2:$I$61,MATCH($J414,B!$E$2:$E$61,0))&amp;"",""))</f>
        <v/>
      </c>
      <c r="R414" s="69">
        <f>IF($J414="","",IFERROR(INDEX(B!$J$2:$J$61,MATCH($J414,B!$E$2:$E$61,0))&amp;"",""))</f>
        <v/>
      </c>
      <c r="S414" s="69">
        <f>IF($J414="","",IFERROR(INDEX(B!$K$2:$K$61,MATCH($J414,B!$E$2:$E$61,0))&amp;"",""))</f>
        <v/>
      </c>
      <c r="T414" s="69">
        <f>IF($J414="","",IFERROR(INDEX(B!$L$2:$L$61,MATCH($J414,B!$E$2:$E$61,0))&amp;"",""))</f>
        <v/>
      </c>
      <c r="U414" s="20" t="n"/>
      <c r="V414" s="70">
        <f>IF($J414="","",IFERROR(INDEX(B!$M$2:$M$61,MATCH($J414,B!$E$2:$E$61,0))&amp;"",""))</f>
        <v/>
      </c>
      <c r="W414" s="71">
        <f>IF(I414="","",IFERROR(MID(I414,FIND("/d/",I414)+3,FIND("/edit",I414)-FIND("/d/",I414)-3),I414))</f>
        <v/>
      </c>
      <c r="X414" s="71">
        <f>IF($J414="","",IFERROR(INDEX(B!$C$2:$C$61,MATCH($J414,B!$E$2:$E$61,0))&amp;"",""))</f>
        <v/>
      </c>
      <c r="Y414" s="20" t="n"/>
      <c r="Z414" s="72">
        <f>IF($J414="",FALSE,ISNUMBER(SEARCH("scout",$K414)))</f>
        <v/>
      </c>
      <c r="AA414" s="72">
        <f>IF($J414="",FALSE,IFERROR(INDEX(B!$N$2:$N$61,MATCH($J414,B!$E$2:$E$61,0))="Sim",FALSE))</f>
        <v/>
      </c>
      <c r="AB414" s="72">
        <f>IF($J414="",FALSE,LEFT($X414,2)="XX")</f>
        <v/>
      </c>
      <c r="AC414" s="72">
        <f>IF($J414="",FALSE,IFERROR(INDEX(B!$P$2:$P$61,MATCH($J414,B!$E$2:$E$61,0))="Sim",FALSE))</f>
        <v/>
      </c>
      <c r="AD414" s="20" t="n"/>
      <c r="AE414" s="52">
        <f>IF(H414="","",HOUR(H414))</f>
        <v/>
      </c>
      <c r="AF414" s="52" t="n"/>
    </row>
    <row r="415" ht="19.5" customHeight="1" s="58">
      <c r="A415" s="62">
        <f>IF(G415="","",IF(G415=G414,"",COUNTIF($G$3:$G$976,G415)))</f>
        <v/>
      </c>
      <c r="B415" s="20" t="n"/>
      <c r="C415" s="63">
        <f>IF(G415="","",DAY(G415))</f>
        <v/>
      </c>
      <c r="D415" s="63">
        <f>IF(G415="","",MONTH(G415))</f>
        <v/>
      </c>
      <c r="E415" s="63">
        <f>IF(G415="","",YEAR(G415))</f>
        <v/>
      </c>
      <c r="F415" s="33">
        <f>IF(G415="","",CHOOSE(MONTH(G415),"Janeiro","Fevereiro","Março","Abril","Maio","Junho","Julho","Agosto","Setembro","Outubro","Novembro","Dezembro"))</f>
        <v/>
      </c>
      <c r="G415" s="64" t="n">
        <v>46065</v>
      </c>
      <c r="H415" s="65" t="n">
        <v>0.09620370370370371</v>
      </c>
      <c r="I415" s="66" t="inlineStr">
        <is>
          <t>https://docs.google.com/spreadsheets/d/1ZiCGoPjLCjuYvujDTXK9Ixbth3tekiLtFBzBrGjPCr4/edit?gid=0#gid=0</t>
        </is>
      </c>
      <c r="J415" s="67" t="inlineStr">
        <is>
          <t>Evento Raro - [ER]</t>
        </is>
      </c>
      <c r="K415" s="67" t="inlineStr"/>
      <c r="L415" s="68" t="b">
        <v>0</v>
      </c>
      <c r="M415" s="20" t="n"/>
      <c r="N415" s="69">
        <f>IF($J415="","",IFERROR(INDEX(B!$F$2:$F$61,MATCH($J415,B!$E$2:$E$61,0))&amp;"",""))</f>
        <v/>
      </c>
      <c r="O415" s="69">
        <f>IF($J415="","",IFERROR(INDEX(B!$G$2:$G$61,MATCH($J415,B!$E$2:$E$61,0))&amp;"",""))</f>
        <v/>
      </c>
      <c r="P415" s="69">
        <f>IF($J415="","",IFERROR(INDEX(B!$H$2:$H$61,MATCH($J415,B!$E$2:$E$61,0))&amp;"",""))</f>
        <v/>
      </c>
      <c r="Q415" s="69">
        <f>IF($J415="","",IFERROR(INDEX(B!$I$2:$I$61,MATCH($J415,B!$E$2:$E$61,0))&amp;"",""))</f>
        <v/>
      </c>
      <c r="R415" s="69">
        <f>IF($J415="","",IFERROR(INDEX(B!$J$2:$J$61,MATCH($J415,B!$E$2:$E$61,0))&amp;"",""))</f>
        <v/>
      </c>
      <c r="S415" s="69">
        <f>IF($J415="","",IFERROR(INDEX(B!$K$2:$K$61,MATCH($J415,B!$E$2:$E$61,0))&amp;"",""))</f>
        <v/>
      </c>
      <c r="T415" s="69">
        <f>IF($J415="","",IFERROR(INDEX(B!$L$2:$L$61,MATCH($J415,B!$E$2:$E$61,0))&amp;"",""))</f>
        <v/>
      </c>
      <c r="U415" s="20" t="n"/>
      <c r="V415" s="70">
        <f>IF($J415="","",IFERROR(INDEX(B!$M$2:$M$61,MATCH($J415,B!$E$2:$E$61,0))&amp;"",""))</f>
        <v/>
      </c>
      <c r="W415" s="71">
        <f>IF(I415="","",IFERROR(MID(I415,FIND("/d/",I415)+3,FIND("/edit",I415)-FIND("/d/",I415)-3),I415))</f>
        <v/>
      </c>
      <c r="X415" s="71">
        <f>IF($J415="","",IFERROR(INDEX(B!$C$2:$C$61,MATCH($J415,B!$E$2:$E$61,0))&amp;"",""))</f>
        <v/>
      </c>
      <c r="Y415" s="20" t="n"/>
      <c r="Z415" s="72">
        <f>IF($J415="",FALSE,ISNUMBER(SEARCH("scout",$K415)))</f>
        <v/>
      </c>
      <c r="AA415" s="72">
        <f>IF($J415="",FALSE,IFERROR(INDEX(B!$N$2:$N$61,MATCH($J415,B!$E$2:$E$61,0))="Sim",FALSE))</f>
        <v/>
      </c>
      <c r="AB415" s="72">
        <f>IF($J415="",FALSE,LEFT($X415,2)="XX")</f>
        <v/>
      </c>
      <c r="AC415" s="72">
        <f>IF($J415="",FALSE,IFERROR(INDEX(B!$P$2:$P$61,MATCH($J415,B!$E$2:$E$61,0))="Sim",FALSE))</f>
        <v/>
      </c>
      <c r="AD415" s="20" t="n"/>
      <c r="AE415" s="52">
        <f>IF(H415="","",HOUR(H415))</f>
        <v/>
      </c>
      <c r="AF415" s="52" t="n"/>
    </row>
    <row r="416" ht="19.5" customHeight="1" s="58">
      <c r="A416" s="62">
        <f>IF(G416="","",IF(G416=G415,"",COUNTIF($G$3:$G$976,G416)))</f>
        <v/>
      </c>
      <c r="B416" s="20" t="n"/>
      <c r="C416" s="63">
        <f>IF(G416="","",DAY(G416))</f>
        <v/>
      </c>
      <c r="D416" s="63">
        <f>IF(G416="","",MONTH(G416))</f>
        <v/>
      </c>
      <c r="E416" s="63">
        <f>IF(G416="","",YEAR(G416))</f>
        <v/>
      </c>
      <c r="F416" s="33">
        <f>IF(G416="","",CHOOSE(MONTH(G416),"Janeiro","Fevereiro","Março","Abril","Maio","Junho","Julho","Agosto","Setembro","Outubro","Novembro","Dezembro"))</f>
        <v/>
      </c>
      <c r="G416" s="64" t="n">
        <v>46065</v>
      </c>
      <c r="H416" s="65" t="n">
        <v>0.09777777777777778</v>
      </c>
      <c r="I416" s="66" t="inlineStr">
        <is>
          <t>https://docs.google.com/spreadsheets/d/1ZiCGoPjLCjuYvujDTXK9Ixbth3tekiLtFBzBrGjPCr4/edit?gid=0#gid=0</t>
        </is>
      </c>
      <c r="J416" s="67" t="inlineStr">
        <is>
          <t>Mais informações Gerais - [AA]</t>
        </is>
      </c>
      <c r="K416" s="67" t="inlineStr">
        <is>
          <t>Scout</t>
        </is>
      </c>
      <c r="L416" s="68" t="b">
        <v>1</v>
      </c>
      <c r="M416" s="20" t="n"/>
      <c r="N416" s="69">
        <f>IF($J416="","",IFERROR(INDEX(B!$F$2:$F$61,MATCH($J416,B!$E$2:$E$61,0))&amp;"",""))</f>
        <v/>
      </c>
      <c r="O416" s="69">
        <f>IF($J416="","",IFERROR(INDEX(B!$G$2:$G$61,MATCH($J416,B!$E$2:$E$61,0))&amp;"",""))</f>
        <v/>
      </c>
      <c r="P416" s="69">
        <f>IF($J416="","",IFERROR(INDEX(B!$H$2:$H$61,MATCH($J416,B!$E$2:$E$61,0))&amp;"",""))</f>
        <v/>
      </c>
      <c r="Q416" s="69">
        <f>IF($J416="","",IFERROR(INDEX(B!$I$2:$I$61,MATCH($J416,B!$E$2:$E$61,0))&amp;"",""))</f>
        <v/>
      </c>
      <c r="R416" s="69">
        <f>IF($J416="","",IFERROR(INDEX(B!$J$2:$J$61,MATCH($J416,B!$E$2:$E$61,0))&amp;"",""))</f>
        <v/>
      </c>
      <c r="S416" s="69">
        <f>IF($J416="","",IFERROR(INDEX(B!$K$2:$K$61,MATCH($J416,B!$E$2:$E$61,0))&amp;"",""))</f>
        <v/>
      </c>
      <c r="T416" s="69">
        <f>IF($J416="","",IFERROR(INDEX(B!$L$2:$L$61,MATCH($J416,B!$E$2:$E$61,0))&amp;"",""))</f>
        <v/>
      </c>
      <c r="U416" s="20" t="n"/>
      <c r="V416" s="70">
        <f>IF($J416="","",IFERROR(INDEX(B!$M$2:$M$61,MATCH($J416,B!$E$2:$E$61,0))&amp;"",""))</f>
        <v/>
      </c>
      <c r="W416" s="71">
        <f>IF(I416="","",IFERROR(MID(I416,FIND("/d/",I416)+3,FIND("/edit",I416)-FIND("/d/",I416)-3),I416))</f>
        <v/>
      </c>
      <c r="X416" s="71">
        <f>IF($J416="","",IFERROR(INDEX(B!$C$2:$C$61,MATCH($J416,B!$E$2:$E$61,0))&amp;"",""))</f>
        <v/>
      </c>
      <c r="Y416" s="20" t="n"/>
      <c r="Z416" s="72">
        <f>IF($J416="",FALSE,ISNUMBER(SEARCH("scout",$K416)))</f>
        <v/>
      </c>
      <c r="AA416" s="72">
        <f>IF($J416="",FALSE,IFERROR(INDEX(B!$N$2:$N$61,MATCH($J416,B!$E$2:$E$61,0))="Sim",FALSE))</f>
        <v/>
      </c>
      <c r="AB416" s="72">
        <f>IF($J416="",FALSE,LEFT($X416,2)="XX")</f>
        <v/>
      </c>
      <c r="AC416" s="72">
        <f>IF($J416="",FALSE,IFERROR(INDEX(B!$P$2:$P$61,MATCH($J416,B!$E$2:$E$61,0))="Sim",FALSE))</f>
        <v/>
      </c>
      <c r="AD416" s="20" t="n"/>
      <c r="AE416" s="52">
        <f>IF(H416="","",HOUR(H416))</f>
        <v/>
      </c>
      <c r="AF416" s="52" t="n"/>
    </row>
    <row r="417" ht="19.5" customHeight="1" s="58">
      <c r="A417" s="62">
        <f>IF(G417="","",IF(G417=G416,"",COUNTIF($G$3:$G$976,G417)))</f>
        <v/>
      </c>
      <c r="B417" s="20" t="n"/>
      <c r="C417" s="63">
        <f>IF(G417="","",DAY(G417))</f>
        <v/>
      </c>
      <c r="D417" s="63">
        <f>IF(G417="","",MONTH(G417))</f>
        <v/>
      </c>
      <c r="E417" s="63">
        <f>IF(G417="","",YEAR(G417))</f>
        <v/>
      </c>
      <c r="F417" s="33">
        <f>IF(G417="","",CHOOSE(MONTH(G417),"Janeiro","Fevereiro","Março","Abril","Maio","Junho","Julho","Agosto","Setembro","Outubro","Novembro","Dezembro"))</f>
        <v/>
      </c>
      <c r="G417" s="64" t="n">
        <v>46065</v>
      </c>
      <c r="H417" s="65" t="n">
        <v>0.1024189814814815</v>
      </c>
      <c r="I417" s="66" t="inlineStr">
        <is>
          <t>https://docs.google.com/spreadsheets/d/1ZiCGoPjLCjuYvujDTXK9Ixbth3tekiLtFBzBrGjPCr4/edit?gid=0#gid=0</t>
        </is>
      </c>
      <c r="J417" s="67" t="inlineStr">
        <is>
          <t>Mais informações (Quanto Pagou?) - [AAV]</t>
        </is>
      </c>
      <c r="K417" s="67" t="inlineStr">
        <is>
          <t>Scout</t>
        </is>
      </c>
      <c r="L417" s="68" t="b">
        <v>0</v>
      </c>
      <c r="M417" s="20" t="n"/>
      <c r="N417" s="69">
        <f>IF($J417="","",IFERROR(INDEX(B!$F$2:$F$61,MATCH($J417,B!$E$2:$E$61,0))&amp;"",""))</f>
        <v/>
      </c>
      <c r="O417" s="69">
        <f>IF($J417="","",IFERROR(INDEX(B!$G$2:$G$61,MATCH($J417,B!$E$2:$E$61,0))&amp;"",""))</f>
        <v/>
      </c>
      <c r="P417" s="69">
        <f>IF($J417="","",IFERROR(INDEX(B!$H$2:$H$61,MATCH($J417,B!$E$2:$E$61,0))&amp;"",""))</f>
        <v/>
      </c>
      <c r="Q417" s="69">
        <f>IF($J417="","",IFERROR(INDEX(B!$I$2:$I$61,MATCH($J417,B!$E$2:$E$61,0))&amp;"",""))</f>
        <v/>
      </c>
      <c r="R417" s="69">
        <f>IF($J417="","",IFERROR(INDEX(B!$J$2:$J$61,MATCH($J417,B!$E$2:$E$61,0))&amp;"",""))</f>
        <v/>
      </c>
      <c r="S417" s="69">
        <f>IF($J417="","",IFERROR(INDEX(B!$K$2:$K$61,MATCH($J417,B!$E$2:$E$61,0))&amp;"",""))</f>
        <v/>
      </c>
      <c r="T417" s="69">
        <f>IF($J417="","",IFERROR(INDEX(B!$L$2:$L$61,MATCH($J417,B!$E$2:$E$61,0))&amp;"",""))</f>
        <v/>
      </c>
      <c r="U417" s="20" t="n"/>
      <c r="V417" s="70">
        <f>IF($J417="","",IFERROR(INDEX(B!$M$2:$M$61,MATCH($J417,B!$E$2:$E$61,0))&amp;"",""))</f>
        <v/>
      </c>
      <c r="W417" s="71">
        <f>IF(I417="","",IFERROR(MID(I417,FIND("/d/",I417)+3,FIND("/edit",I417)-FIND("/d/",I417)-3),I417))</f>
        <v/>
      </c>
      <c r="X417" s="71">
        <f>IF($J417="","",IFERROR(INDEX(B!$C$2:$C$61,MATCH($J417,B!$E$2:$E$61,0))&amp;"",""))</f>
        <v/>
      </c>
      <c r="Y417" s="20" t="n"/>
      <c r="Z417" s="72">
        <f>IF($J417="",FALSE,ISNUMBER(SEARCH("scout",$K417)))</f>
        <v/>
      </c>
      <c r="AA417" s="72">
        <f>IF($J417="",FALSE,IFERROR(INDEX(B!$N$2:$N$61,MATCH($J417,B!$E$2:$E$61,0))="Sim",FALSE))</f>
        <v/>
      </c>
      <c r="AB417" s="72">
        <f>IF($J417="",FALSE,LEFT($X417,2)="XX")</f>
        <v/>
      </c>
      <c r="AC417" s="72">
        <f>IF($J417="",FALSE,IFERROR(INDEX(B!$P$2:$P$61,MATCH($J417,B!$E$2:$E$61,0))="Sim",FALSE))</f>
        <v/>
      </c>
      <c r="AD417" s="20" t="n"/>
      <c r="AE417" s="52">
        <f>IF(H417="","",HOUR(H417))</f>
        <v/>
      </c>
      <c r="AF417" s="52" t="n"/>
    </row>
    <row r="418" ht="19.5" customHeight="1" s="58">
      <c r="A418" s="62">
        <f>IF(G418="","",IF(G418=G417,"",COUNTIF($G$3:$G$976,G418)))</f>
        <v/>
      </c>
      <c r="B418" s="20" t="n"/>
      <c r="C418" s="63">
        <f>IF(G418="","",DAY(G418))</f>
        <v/>
      </c>
      <c r="D418" s="63">
        <f>IF(G418="","",MONTH(G418))</f>
        <v/>
      </c>
      <c r="E418" s="63">
        <f>IF(G418="","",YEAR(G418))</f>
        <v/>
      </c>
      <c r="F418" s="33">
        <f>IF(G418="","",CHOOSE(MONTH(G418),"Janeiro","Fevereiro","Março","Abril","Maio","Junho","Julho","Agosto","Setembro","Outubro","Novembro","Dezembro"))</f>
        <v/>
      </c>
      <c r="G418" s="64" t="n">
        <v>46065</v>
      </c>
      <c r="H418" s="65" t="n">
        <v>0.1026967592592593</v>
      </c>
      <c r="I418" s="66" t="inlineStr">
        <is>
          <t>https://docs.google.com/spreadsheets/d/1ZiCGoPjLCjuYvujDTXK9Ixbth3tekiLtFBzBrGjPCr4/edit?gid=0#gid=0</t>
        </is>
      </c>
      <c r="J418" s="67" t="inlineStr">
        <is>
          <t>Taxa de Cancelamento Cobrada Corretamente - [TXCO]</t>
        </is>
      </c>
      <c r="K418" s="67" t="inlineStr"/>
      <c r="L418" s="68" t="b">
        <v>1</v>
      </c>
      <c r="M418" s="20" t="n"/>
      <c r="N418" s="69">
        <f>IF($J418="","",IFERROR(INDEX(B!$F$2:$F$61,MATCH($J418,B!$E$2:$E$61,0))&amp;"",""))</f>
        <v/>
      </c>
      <c r="O418" s="69">
        <f>IF($J418="","",IFERROR(INDEX(B!$G$2:$G$61,MATCH($J418,B!$E$2:$E$61,0))&amp;"",""))</f>
        <v/>
      </c>
      <c r="P418" s="69">
        <f>IF($J418="","",IFERROR(INDEX(B!$H$2:$H$61,MATCH($J418,B!$E$2:$E$61,0))&amp;"",""))</f>
        <v/>
      </c>
      <c r="Q418" s="69">
        <f>IF($J418="","",IFERROR(INDEX(B!$I$2:$I$61,MATCH($J418,B!$E$2:$E$61,0))&amp;"",""))</f>
        <v/>
      </c>
      <c r="R418" s="69">
        <f>IF($J418="","",IFERROR(INDEX(B!$J$2:$J$61,MATCH($J418,B!$E$2:$E$61,0))&amp;"",""))</f>
        <v/>
      </c>
      <c r="S418" s="69">
        <f>IF($J418="","",IFERROR(INDEX(B!$K$2:$K$61,MATCH($J418,B!$E$2:$E$61,0))&amp;"",""))</f>
        <v/>
      </c>
      <c r="T418" s="69">
        <f>IF($J418="","",IFERROR(INDEX(B!$L$2:$L$61,MATCH($J418,B!$E$2:$E$61,0))&amp;"",""))</f>
        <v/>
      </c>
      <c r="U418" s="20" t="n"/>
      <c r="V418" s="70">
        <f>IF($J418="","",IFERROR(INDEX(B!$M$2:$M$61,MATCH($J418,B!$E$2:$E$61,0))&amp;"",""))</f>
        <v/>
      </c>
      <c r="W418" s="71">
        <f>IF(I418="","",IFERROR(MID(I418,FIND("/d/",I418)+3,FIND("/edit",I418)-FIND("/d/",I418)-3),I418))</f>
        <v/>
      </c>
      <c r="X418" s="71">
        <f>IF($J418="","",IFERROR(INDEX(B!$C$2:$C$61,MATCH($J418,B!$E$2:$E$61,0))&amp;"",""))</f>
        <v/>
      </c>
      <c r="Y418" s="20" t="n"/>
      <c r="Z418" s="72">
        <f>IF($J418="",FALSE,ISNUMBER(SEARCH("scout",$K418)))</f>
        <v/>
      </c>
      <c r="AA418" s="72">
        <f>IF($J418="",FALSE,IFERROR(INDEX(B!$N$2:$N$61,MATCH($J418,B!$E$2:$E$61,0))="Sim",FALSE))</f>
        <v/>
      </c>
      <c r="AB418" s="72">
        <f>IF($J418="",FALSE,LEFT($X418,2)="XX")</f>
        <v/>
      </c>
      <c r="AC418" s="72">
        <f>IF($J418="",FALSE,IFERROR(INDEX(B!$P$2:$P$61,MATCH($J418,B!$E$2:$E$61,0))="Sim",FALSE))</f>
        <v/>
      </c>
      <c r="AD418" s="20" t="n"/>
      <c r="AE418" s="52">
        <f>IF(H418="","",HOUR(H418))</f>
        <v/>
      </c>
      <c r="AF418" s="52" t="n"/>
    </row>
    <row r="419" ht="19.5" customHeight="1" s="58">
      <c r="A419" s="62">
        <f>IF(G419="","",IF(G419=G418,"",COUNTIF($G$3:$G$976,G419)))</f>
        <v/>
      </c>
      <c r="B419" s="20" t="n"/>
      <c r="C419" s="63">
        <f>IF(G419="","",DAY(G419))</f>
        <v/>
      </c>
      <c r="D419" s="63">
        <f>IF(G419="","",MONTH(G419))</f>
        <v/>
      </c>
      <c r="E419" s="63">
        <f>IF(G419="","",YEAR(G419))</f>
        <v/>
      </c>
      <c r="F419" s="33">
        <f>IF(G419="","",CHOOSE(MONTH(G419),"Janeiro","Fevereiro","Março","Abril","Maio","Junho","Julho","Agosto","Setembro","Outubro","Novembro","Dezembro"))</f>
        <v/>
      </c>
      <c r="G419" s="64" t="n">
        <v>46065</v>
      </c>
      <c r="H419" s="65" t="n">
        <v>0.1096296296296296</v>
      </c>
      <c r="I419" s="66" t="inlineStr">
        <is>
          <t>https://docs.google.com/spreadsheets/d/1ZiCGoPjLCjuYvujDTXK9Ixbth3tekiLtFBzBrGjPCr4/edit?gid=0#gid=0</t>
        </is>
      </c>
      <c r="J419" s="67" t="inlineStr">
        <is>
          <t>Taxa de Limpeza, Sem ajustes - [TXLO]</t>
        </is>
      </c>
      <c r="K419" s="67" t="inlineStr">
        <is>
          <t>Scout</t>
        </is>
      </c>
      <c r="L419" s="68" t="b">
        <v>0</v>
      </c>
      <c r="M419" s="20" t="n"/>
      <c r="N419" s="69">
        <f>IF($J419="","",IFERROR(INDEX(B!$F$2:$F$61,MATCH($J419,B!$E$2:$E$61,0))&amp;"",""))</f>
        <v/>
      </c>
      <c r="O419" s="69">
        <f>IF($J419="","",IFERROR(INDEX(B!$G$2:$G$61,MATCH($J419,B!$E$2:$E$61,0))&amp;"",""))</f>
        <v/>
      </c>
      <c r="P419" s="69">
        <f>IF($J419="","",IFERROR(INDEX(B!$H$2:$H$61,MATCH($J419,B!$E$2:$E$61,0))&amp;"",""))</f>
        <v/>
      </c>
      <c r="Q419" s="69">
        <f>IF($J419="","",IFERROR(INDEX(B!$I$2:$I$61,MATCH($J419,B!$E$2:$E$61,0))&amp;"",""))</f>
        <v/>
      </c>
      <c r="R419" s="69">
        <f>IF($J419="","",IFERROR(INDEX(B!$J$2:$J$61,MATCH($J419,B!$E$2:$E$61,0))&amp;"",""))</f>
        <v/>
      </c>
      <c r="S419" s="69">
        <f>IF($J419="","",IFERROR(INDEX(B!$K$2:$K$61,MATCH($J419,B!$E$2:$E$61,0))&amp;"",""))</f>
        <v/>
      </c>
      <c r="T419" s="69">
        <f>IF($J419="","",IFERROR(INDEX(B!$L$2:$L$61,MATCH($J419,B!$E$2:$E$61,0))&amp;"",""))</f>
        <v/>
      </c>
      <c r="U419" s="20" t="n"/>
      <c r="V419" s="70">
        <f>IF($J419="","",IFERROR(INDEX(B!$M$2:$M$61,MATCH($J419,B!$E$2:$E$61,0))&amp;"",""))</f>
        <v/>
      </c>
      <c r="W419" s="71">
        <f>IF(I419="","",IFERROR(MID(I419,FIND("/d/",I419)+3,FIND("/edit",I419)-FIND("/d/",I419)-3),I419))</f>
        <v/>
      </c>
      <c r="X419" s="71">
        <f>IF($J419="","",IFERROR(INDEX(B!$C$2:$C$61,MATCH($J419,B!$E$2:$E$61,0))&amp;"",""))</f>
        <v/>
      </c>
      <c r="Y419" s="20" t="n"/>
      <c r="Z419" s="72">
        <f>IF($J419="",FALSE,ISNUMBER(SEARCH("scout",$K419)))</f>
        <v/>
      </c>
      <c r="AA419" s="72">
        <f>IF($J419="",FALSE,IFERROR(INDEX(B!$N$2:$N$61,MATCH($J419,B!$E$2:$E$61,0))="Sim",FALSE))</f>
        <v/>
      </c>
      <c r="AB419" s="72">
        <f>IF($J419="",FALSE,LEFT($X419,2)="XX")</f>
        <v/>
      </c>
      <c r="AC419" s="72">
        <f>IF($J419="",FALSE,IFERROR(INDEX(B!$P$2:$P$61,MATCH($J419,B!$E$2:$E$61,0))="Sim",FALSE))</f>
        <v/>
      </c>
      <c r="AD419" s="20" t="n"/>
      <c r="AE419" s="52">
        <f>IF(H419="","",HOUR(H419))</f>
        <v/>
      </c>
      <c r="AF419" s="52" t="n"/>
    </row>
    <row r="420" ht="19.5" customHeight="1" s="58">
      <c r="A420" s="62">
        <f>IF(G420="","",IF(G420=G419,"",COUNTIF($G$3:$G$976,G420)))</f>
        <v/>
      </c>
      <c r="B420" s="20" t="n"/>
      <c r="C420" s="63">
        <f>IF(G420="","",DAY(G420))</f>
        <v/>
      </c>
      <c r="D420" s="63">
        <f>IF(G420="","",MONTH(G420))</f>
        <v/>
      </c>
      <c r="E420" s="63">
        <f>IF(G420="","",YEAR(G420))</f>
        <v/>
      </c>
      <c r="F420" s="33">
        <f>IF(G420="","",CHOOSE(MONTH(G420),"Janeiro","Fevereiro","Março","Abril","Maio","Junho","Julho","Agosto","Setembro","Outubro","Novembro","Dezembro"))</f>
        <v/>
      </c>
      <c r="G420" s="64" t="n">
        <v>46065</v>
      </c>
      <c r="H420" s="65" t="n">
        <v>0.1142013888888889</v>
      </c>
      <c r="I420" s="66" t="inlineStr">
        <is>
          <t>https://docs.google.com/spreadsheets/d/1ZiCGoPjLCjuYvujDTXK9Ixbth3tekiLtFBzBrGjPCr4/edit?gid=0#gid=0</t>
        </is>
      </c>
      <c r="J420" s="67" t="inlineStr">
        <is>
          <t>Transferência de LOB (Lost Items) - [TILI]</t>
        </is>
      </c>
      <c r="K420" s="67" t="inlineStr"/>
      <c r="L420" s="68" t="b">
        <v>0</v>
      </c>
      <c r="M420" s="20" t="n"/>
      <c r="N420" s="69">
        <f>IF($J420="","",IFERROR(INDEX(B!$F$2:$F$61,MATCH($J420,B!$E$2:$E$61,0))&amp;"",""))</f>
        <v/>
      </c>
      <c r="O420" s="69">
        <f>IF($J420="","",IFERROR(INDEX(B!$G$2:$G$61,MATCH($J420,B!$E$2:$E$61,0))&amp;"",""))</f>
        <v/>
      </c>
      <c r="P420" s="69">
        <f>IF($J420="","",IFERROR(INDEX(B!$H$2:$H$61,MATCH($J420,B!$E$2:$E$61,0))&amp;"",""))</f>
        <v/>
      </c>
      <c r="Q420" s="69">
        <f>IF($J420="","",IFERROR(INDEX(B!$I$2:$I$61,MATCH($J420,B!$E$2:$E$61,0))&amp;"",""))</f>
        <v/>
      </c>
      <c r="R420" s="69">
        <f>IF($J420="","",IFERROR(INDEX(B!$J$2:$J$61,MATCH($J420,B!$E$2:$E$61,0))&amp;"",""))</f>
        <v/>
      </c>
      <c r="S420" s="69">
        <f>IF($J420="","",IFERROR(INDEX(B!$K$2:$K$61,MATCH($J420,B!$E$2:$E$61,0))&amp;"",""))</f>
        <v/>
      </c>
      <c r="T420" s="69">
        <f>IF($J420="","",IFERROR(INDEX(B!$L$2:$L$61,MATCH($J420,B!$E$2:$E$61,0))&amp;"",""))</f>
        <v/>
      </c>
      <c r="U420" s="20" t="n"/>
      <c r="V420" s="70">
        <f>IF($J420="","",IFERROR(INDEX(B!$M$2:$M$61,MATCH($J420,B!$E$2:$E$61,0))&amp;"",""))</f>
        <v/>
      </c>
      <c r="W420" s="71">
        <f>IF(I420="","",IFERROR(MID(I420,FIND("/d/",I420)+3,FIND("/edit",I420)-FIND("/d/",I420)-3),I420))</f>
        <v/>
      </c>
      <c r="X420" s="71">
        <f>IF($J420="","",IFERROR(INDEX(B!$C$2:$C$61,MATCH($J420,B!$E$2:$E$61,0))&amp;"",""))</f>
        <v/>
      </c>
      <c r="Y420" s="20" t="n"/>
      <c r="Z420" s="72">
        <f>IF($J420="",FALSE,ISNUMBER(SEARCH("scout",$K420)))</f>
        <v/>
      </c>
      <c r="AA420" s="72">
        <f>IF($J420="",FALSE,IFERROR(INDEX(B!$N$2:$N$61,MATCH($J420,B!$E$2:$E$61,0))="Sim",FALSE))</f>
        <v/>
      </c>
      <c r="AB420" s="72">
        <f>IF($J420="",FALSE,LEFT($X420,2)="XX")</f>
        <v/>
      </c>
      <c r="AC420" s="72">
        <f>IF($J420="",FALSE,IFERROR(INDEX(B!$P$2:$P$61,MATCH($J420,B!$E$2:$E$61,0))="Sim",FALSE))</f>
        <v/>
      </c>
      <c r="AD420" s="20" t="n"/>
      <c r="AE420" s="52">
        <f>IF(H420="","",HOUR(H420))</f>
        <v/>
      </c>
      <c r="AF420" s="52" t="n"/>
    </row>
    <row r="421" ht="19.5" customHeight="1" s="58">
      <c r="A421" s="62">
        <f>IF(G421="","",IF(G421=G420,"",COUNTIF($G$3:$G$976,G421)))</f>
        <v/>
      </c>
      <c r="B421" s="20" t="n"/>
      <c r="C421" s="63">
        <f>IF(G421="","",DAY(G421))</f>
        <v/>
      </c>
      <c r="D421" s="63">
        <f>IF(G421="","",MONTH(G421))</f>
        <v/>
      </c>
      <c r="E421" s="63">
        <f>IF(G421="","",YEAR(G421))</f>
        <v/>
      </c>
      <c r="F421" s="33">
        <f>IF(G421="","",CHOOSE(MONTH(G421),"Janeiro","Fevereiro","Março","Abril","Maio","Junho","Julho","Agosto","Setembro","Outubro","Novembro","Dezembro"))</f>
        <v/>
      </c>
      <c r="G421" s="64" t="n">
        <v>46065</v>
      </c>
      <c r="H421" s="65" t="n">
        <v>0.1153356481481481</v>
      </c>
      <c r="I421" s="66" t="inlineStr">
        <is>
          <t>https://docs.google.com/spreadsheets/d/1ZiCGoPjLCjuYvujDTXK9Ixbth3tekiLtFBzBrGjPCr4/edit?gid=0#gid=0</t>
        </is>
      </c>
      <c r="J421" s="67" t="inlineStr">
        <is>
          <t>Não houve Taxa de Cancelamento - [NTX]</t>
        </is>
      </c>
      <c r="K421" s="67" t="inlineStr"/>
      <c r="L421" s="68" t="b">
        <v>0</v>
      </c>
      <c r="M421" s="20" t="n"/>
      <c r="N421" s="69">
        <f>IF($J421="","",IFERROR(INDEX(B!$F$2:$F$61,MATCH($J421,B!$E$2:$E$61,0))&amp;"",""))</f>
        <v/>
      </c>
      <c r="O421" s="69">
        <f>IF($J421="","",IFERROR(INDEX(B!$G$2:$G$61,MATCH($J421,B!$E$2:$E$61,0))&amp;"",""))</f>
        <v/>
      </c>
      <c r="P421" s="69">
        <f>IF($J421="","",IFERROR(INDEX(B!$H$2:$H$61,MATCH($J421,B!$E$2:$E$61,0))&amp;"",""))</f>
        <v/>
      </c>
      <c r="Q421" s="69">
        <f>IF($J421="","",IFERROR(INDEX(B!$I$2:$I$61,MATCH($J421,B!$E$2:$E$61,0))&amp;"",""))</f>
        <v/>
      </c>
      <c r="R421" s="69">
        <f>IF($J421="","",IFERROR(INDEX(B!$J$2:$J$61,MATCH($J421,B!$E$2:$E$61,0))&amp;"",""))</f>
        <v/>
      </c>
      <c r="S421" s="69">
        <f>IF($J421="","",IFERROR(INDEX(B!$K$2:$K$61,MATCH($J421,B!$E$2:$E$61,0))&amp;"",""))</f>
        <v/>
      </c>
      <c r="T421" s="69">
        <f>IF($J421="","",IFERROR(INDEX(B!$L$2:$L$61,MATCH($J421,B!$E$2:$E$61,0))&amp;"",""))</f>
        <v/>
      </c>
      <c r="U421" s="20" t="n"/>
      <c r="V421" s="70">
        <f>IF($J421="","",IFERROR(INDEX(B!$M$2:$M$61,MATCH($J421,B!$E$2:$E$61,0))&amp;"",""))</f>
        <v/>
      </c>
      <c r="W421" s="71">
        <f>IF(I421="","",IFERROR(MID(I421,FIND("/d/",I421)+3,FIND("/edit",I421)-FIND("/d/",I421)-3),I421))</f>
        <v/>
      </c>
      <c r="X421" s="71">
        <f>IF($J421="","",IFERROR(INDEX(B!$C$2:$C$61,MATCH($J421,B!$E$2:$E$61,0))&amp;"",""))</f>
        <v/>
      </c>
      <c r="Y421" s="20" t="n"/>
      <c r="Z421" s="72">
        <f>IF($J421="",FALSE,ISNUMBER(SEARCH("scout",$K421)))</f>
        <v/>
      </c>
      <c r="AA421" s="72">
        <f>IF($J421="",FALSE,IFERROR(INDEX(B!$N$2:$N$61,MATCH($J421,B!$E$2:$E$61,0))="Sim",FALSE))</f>
        <v/>
      </c>
      <c r="AB421" s="72">
        <f>IF($J421="",FALSE,LEFT($X421,2)="XX")</f>
        <v/>
      </c>
      <c r="AC421" s="72">
        <f>IF($J421="",FALSE,IFERROR(INDEX(B!$P$2:$P$61,MATCH($J421,B!$E$2:$E$61,0))="Sim",FALSE))</f>
        <v/>
      </c>
      <c r="AD421" s="20" t="n"/>
      <c r="AE421" s="52">
        <f>IF(H421="","",HOUR(H421))</f>
        <v/>
      </c>
      <c r="AF421" s="52" t="n"/>
    </row>
    <row r="422" ht="19.5" customHeight="1" s="58">
      <c r="A422" s="62">
        <f>IF(G422="","",IF(G422=G421,"",COUNTIF($G$3:$G$976,G422)))</f>
        <v/>
      </c>
      <c r="B422" s="20" t="n"/>
      <c r="C422" s="63">
        <f>IF(G422="","",DAY(G422))</f>
        <v/>
      </c>
      <c r="D422" s="63">
        <f>IF(G422="","",MONTH(G422))</f>
        <v/>
      </c>
      <c r="E422" s="63">
        <f>IF(G422="","",YEAR(G422))</f>
        <v/>
      </c>
      <c r="F422" s="33">
        <f>IF(G422="","",CHOOSE(MONTH(G422),"Janeiro","Fevereiro","Março","Abril","Maio","Junho","Julho","Agosto","Setembro","Outubro","Novembro","Dezembro"))</f>
        <v/>
      </c>
      <c r="G422" s="64" t="n">
        <v>46065</v>
      </c>
      <c r="H422" s="65" t="n">
        <v>0.1348842592592593</v>
      </c>
      <c r="I422" s="66" t="inlineStr">
        <is>
          <t>https://docs.google.com/spreadsheets/d/1ZiCGoPjLCjuYvujDTXK9Ixbth3tekiLtFBzBrGjPCr4/edit?gid=0#gid=0</t>
        </is>
      </c>
      <c r="J422" s="67" t="inlineStr">
        <is>
          <t>Taxa de Cancelamento Cobrada Corretamente - [TXCO]</t>
        </is>
      </c>
      <c r="K422" s="67" t="inlineStr"/>
      <c r="L422" s="68" t="b">
        <v>0</v>
      </c>
      <c r="M422" s="20" t="n"/>
      <c r="N422" s="69">
        <f>IF($J422="","",IFERROR(INDEX(B!$F$2:$F$61,MATCH($J422,B!$E$2:$E$61,0))&amp;"",""))</f>
        <v/>
      </c>
      <c r="O422" s="69">
        <f>IF($J422="","",IFERROR(INDEX(B!$G$2:$G$61,MATCH($J422,B!$E$2:$E$61,0))&amp;"",""))</f>
        <v/>
      </c>
      <c r="P422" s="69">
        <f>IF($J422="","",IFERROR(INDEX(B!$H$2:$H$61,MATCH($J422,B!$E$2:$E$61,0))&amp;"",""))</f>
        <v/>
      </c>
      <c r="Q422" s="69">
        <f>IF($J422="","",IFERROR(INDEX(B!$I$2:$I$61,MATCH($J422,B!$E$2:$E$61,0))&amp;"",""))</f>
        <v/>
      </c>
      <c r="R422" s="69">
        <f>IF($J422="","",IFERROR(INDEX(B!$J$2:$J$61,MATCH($J422,B!$E$2:$E$61,0))&amp;"",""))</f>
        <v/>
      </c>
      <c r="S422" s="69">
        <f>IF($J422="","",IFERROR(INDEX(B!$K$2:$K$61,MATCH($J422,B!$E$2:$E$61,0))&amp;"",""))</f>
        <v/>
      </c>
      <c r="T422" s="69">
        <f>IF($J422="","",IFERROR(INDEX(B!$L$2:$L$61,MATCH($J422,B!$E$2:$E$61,0))&amp;"",""))</f>
        <v/>
      </c>
      <c r="U422" s="20" t="n"/>
      <c r="V422" s="70">
        <f>IF($J422="","",IFERROR(INDEX(B!$M$2:$M$61,MATCH($J422,B!$E$2:$E$61,0))&amp;"",""))</f>
        <v/>
      </c>
      <c r="W422" s="71">
        <f>IF(I422="","",IFERROR(MID(I422,FIND("/d/",I422)+3,FIND("/edit",I422)-FIND("/d/",I422)-3),I422))</f>
        <v/>
      </c>
      <c r="X422" s="71">
        <f>IF($J422="","",IFERROR(INDEX(B!$C$2:$C$61,MATCH($J422,B!$E$2:$E$61,0))&amp;"",""))</f>
        <v/>
      </c>
      <c r="Y422" s="20" t="n"/>
      <c r="Z422" s="72">
        <f>IF($J422="",FALSE,ISNUMBER(SEARCH("scout",$K422)))</f>
        <v/>
      </c>
      <c r="AA422" s="72">
        <f>IF($J422="",FALSE,IFERROR(INDEX(B!$N$2:$N$61,MATCH($J422,B!$E$2:$E$61,0))="Sim",FALSE))</f>
        <v/>
      </c>
      <c r="AB422" s="72">
        <f>IF($J422="",FALSE,LEFT($X422,2)="XX")</f>
        <v/>
      </c>
      <c r="AC422" s="72">
        <f>IF($J422="",FALSE,IFERROR(INDEX(B!$P$2:$P$61,MATCH($J422,B!$E$2:$E$61,0))="Sim",FALSE))</f>
        <v/>
      </c>
      <c r="AD422" s="20" t="n"/>
      <c r="AE422" s="52">
        <f>IF(H422="","",HOUR(H422))</f>
        <v/>
      </c>
      <c r="AF422" s="52" t="n"/>
    </row>
    <row r="423" ht="19.5" customHeight="1" s="58">
      <c r="A423" s="62">
        <f>IF(G423="","",IF(G423=G422,"",COUNTIF($G$3:$G$976,G423)))</f>
        <v/>
      </c>
      <c r="B423" s="20" t="n"/>
      <c r="C423" s="63">
        <f>IF(G423="","",DAY(G423))</f>
        <v/>
      </c>
      <c r="D423" s="63">
        <f>IF(G423="","",MONTH(G423))</f>
        <v/>
      </c>
      <c r="E423" s="63">
        <f>IF(G423="","",YEAR(G423))</f>
        <v/>
      </c>
      <c r="F423" s="33">
        <f>IF(G423="","",CHOOSE(MONTH(G423),"Janeiro","Fevereiro","Março","Abril","Maio","Junho","Julho","Agosto","Setembro","Outubro","Novembro","Dezembro"))</f>
        <v/>
      </c>
      <c r="G423" s="64" t="n">
        <v>46065</v>
      </c>
      <c r="H423" s="65" t="n">
        <v>0.1350810185185185</v>
      </c>
      <c r="I423" s="66" t="inlineStr">
        <is>
          <t>https://docs.google.com/spreadsheets/d/1ZiCGoPjLCjuYvujDTXK9Ixbth3tekiLtFBzBrGjPCr4/edit?gid=0#gid=0</t>
        </is>
      </c>
      <c r="J423" s="67" t="inlineStr">
        <is>
          <t>Erro de Gps (Problema Técnico) - [GPS]</t>
        </is>
      </c>
      <c r="K423" s="67" t="inlineStr"/>
      <c r="L423" s="68" t="b">
        <v>0</v>
      </c>
      <c r="M423" s="20" t="n"/>
      <c r="N423" s="69">
        <f>IF($J423="","",IFERROR(INDEX(B!$F$2:$F$61,MATCH($J423,B!$E$2:$E$61,0))&amp;"",""))</f>
        <v/>
      </c>
      <c r="O423" s="69">
        <f>IF($J423="","",IFERROR(INDEX(B!$G$2:$G$61,MATCH($J423,B!$E$2:$E$61,0))&amp;"",""))</f>
        <v/>
      </c>
      <c r="P423" s="69">
        <f>IF($J423="","",IFERROR(INDEX(B!$H$2:$H$61,MATCH($J423,B!$E$2:$E$61,0))&amp;"",""))</f>
        <v/>
      </c>
      <c r="Q423" s="69">
        <f>IF($J423="","",IFERROR(INDEX(B!$I$2:$I$61,MATCH($J423,B!$E$2:$E$61,0))&amp;"",""))</f>
        <v/>
      </c>
      <c r="R423" s="69">
        <f>IF($J423="","",IFERROR(INDEX(B!$J$2:$J$61,MATCH($J423,B!$E$2:$E$61,0))&amp;"",""))</f>
        <v/>
      </c>
      <c r="S423" s="69">
        <f>IF($J423="","",IFERROR(INDEX(B!$K$2:$K$61,MATCH($J423,B!$E$2:$E$61,0))&amp;"",""))</f>
        <v/>
      </c>
      <c r="T423" s="69">
        <f>IF($J423="","",IFERROR(INDEX(B!$L$2:$L$61,MATCH($J423,B!$E$2:$E$61,0))&amp;"",""))</f>
        <v/>
      </c>
      <c r="U423" s="20" t="n"/>
      <c r="V423" s="70">
        <f>IF($J423="","",IFERROR(INDEX(B!$M$2:$M$61,MATCH($J423,B!$E$2:$E$61,0))&amp;"",""))</f>
        <v/>
      </c>
      <c r="W423" s="71">
        <f>IF(I423="","",IFERROR(MID(I423,FIND("/d/",I423)+3,FIND("/edit",I423)-FIND("/d/",I423)-3),I423))</f>
        <v/>
      </c>
      <c r="X423" s="71">
        <f>IF($J423="","",IFERROR(INDEX(B!$C$2:$C$61,MATCH($J423,B!$E$2:$E$61,0))&amp;"",""))</f>
        <v/>
      </c>
      <c r="Y423" s="20" t="n"/>
      <c r="Z423" s="72">
        <f>IF($J423="",FALSE,ISNUMBER(SEARCH("scout",$K423)))</f>
        <v/>
      </c>
      <c r="AA423" s="72">
        <f>IF($J423="",FALSE,IFERROR(INDEX(B!$N$2:$N$61,MATCH($J423,B!$E$2:$E$61,0))="Sim",FALSE))</f>
        <v/>
      </c>
      <c r="AB423" s="72">
        <f>IF($J423="",FALSE,LEFT($X423,2)="XX")</f>
        <v/>
      </c>
      <c r="AC423" s="72">
        <f>IF($J423="",FALSE,IFERROR(INDEX(B!$P$2:$P$61,MATCH($J423,B!$E$2:$E$61,0))="Sim",FALSE))</f>
        <v/>
      </c>
      <c r="AD423" s="20" t="n"/>
      <c r="AE423" s="52">
        <f>IF(H423="","",HOUR(H423))</f>
        <v/>
      </c>
      <c r="AF423" s="52" t="n"/>
    </row>
    <row r="424" ht="19.5" customHeight="1" s="58">
      <c r="A424" s="62">
        <f>IF(G424="","",IF(G424=G423,"",COUNTIF($G$3:$G$976,G424)))</f>
        <v/>
      </c>
      <c r="B424" s="20" t="n"/>
      <c r="C424" s="63">
        <f>IF(G424="","",DAY(G424))</f>
        <v/>
      </c>
      <c r="D424" s="63">
        <f>IF(G424="","",MONTH(G424))</f>
        <v/>
      </c>
      <c r="E424" s="63">
        <f>IF(G424="","",YEAR(G424))</f>
        <v/>
      </c>
      <c r="F424" s="33">
        <f>IF(G424="","",CHOOSE(MONTH(G424),"Janeiro","Fevereiro","Março","Abril","Maio","Junho","Julho","Agosto","Setembro","Outubro","Novembro","Dezembro"))</f>
        <v/>
      </c>
      <c r="G424" s="64" t="n">
        <v>46065</v>
      </c>
      <c r="H424" s="65" t="n">
        <v>0.1411805555555556</v>
      </c>
      <c r="I424" s="66" t="inlineStr">
        <is>
          <t>https://docs.google.com/spreadsheets/d/1ZiCGoPjLCjuYvujDTXK9Ixbth3tekiLtFBzBrGjPCr4/edit?gid=0#gid=0</t>
        </is>
      </c>
      <c r="J424" s="67" t="inlineStr">
        <is>
          <t>Transferência de LOB (Lost Items) - [TILI]</t>
        </is>
      </c>
      <c r="K424" s="67" t="inlineStr"/>
      <c r="L424" s="68" t="b">
        <v>0</v>
      </c>
      <c r="M424" s="20" t="n"/>
      <c r="N424" s="69">
        <f>IF($J424="","",IFERROR(INDEX(B!$F$2:$F$61,MATCH($J424,B!$E$2:$E$61,0))&amp;"",""))</f>
        <v/>
      </c>
      <c r="O424" s="69">
        <f>IF($J424="","",IFERROR(INDEX(B!$G$2:$G$61,MATCH($J424,B!$E$2:$E$61,0))&amp;"",""))</f>
        <v/>
      </c>
      <c r="P424" s="69">
        <f>IF($J424="","",IFERROR(INDEX(B!$H$2:$H$61,MATCH($J424,B!$E$2:$E$61,0))&amp;"",""))</f>
        <v/>
      </c>
      <c r="Q424" s="69">
        <f>IF($J424="","",IFERROR(INDEX(B!$I$2:$I$61,MATCH($J424,B!$E$2:$E$61,0))&amp;"",""))</f>
        <v/>
      </c>
      <c r="R424" s="69">
        <f>IF($J424="","",IFERROR(INDEX(B!$J$2:$J$61,MATCH($J424,B!$E$2:$E$61,0))&amp;"",""))</f>
        <v/>
      </c>
      <c r="S424" s="69">
        <f>IF($J424="","",IFERROR(INDEX(B!$K$2:$K$61,MATCH($J424,B!$E$2:$E$61,0))&amp;"",""))</f>
        <v/>
      </c>
      <c r="T424" s="69">
        <f>IF($J424="","",IFERROR(INDEX(B!$L$2:$L$61,MATCH($J424,B!$E$2:$E$61,0))&amp;"",""))</f>
        <v/>
      </c>
      <c r="U424" s="20" t="n"/>
      <c r="V424" s="70">
        <f>IF($J424="","",IFERROR(INDEX(B!$M$2:$M$61,MATCH($J424,B!$E$2:$E$61,0))&amp;"",""))</f>
        <v/>
      </c>
      <c r="W424" s="71">
        <f>IF(I424="","",IFERROR(MID(I424,FIND("/d/",I424)+3,FIND("/edit",I424)-FIND("/d/",I424)-3),I424))</f>
        <v/>
      </c>
      <c r="X424" s="71">
        <f>IF($J424="","",IFERROR(INDEX(B!$C$2:$C$61,MATCH($J424,B!$E$2:$E$61,0))&amp;"",""))</f>
        <v/>
      </c>
      <c r="Y424" s="20" t="n"/>
      <c r="Z424" s="72">
        <f>IF($J424="",FALSE,ISNUMBER(SEARCH("scout",$K424)))</f>
        <v/>
      </c>
      <c r="AA424" s="72">
        <f>IF($J424="",FALSE,IFERROR(INDEX(B!$N$2:$N$61,MATCH($J424,B!$E$2:$E$61,0))="Sim",FALSE))</f>
        <v/>
      </c>
      <c r="AB424" s="72">
        <f>IF($J424="",FALSE,LEFT($X424,2)="XX")</f>
        <v/>
      </c>
      <c r="AC424" s="72">
        <f>IF($J424="",FALSE,IFERROR(INDEX(B!$P$2:$P$61,MATCH($J424,B!$E$2:$E$61,0))="Sim",FALSE))</f>
        <v/>
      </c>
      <c r="AD424" s="20" t="n"/>
      <c r="AE424" s="52">
        <f>IF(H424="","",HOUR(H424))</f>
        <v/>
      </c>
      <c r="AF424" s="52" t="n"/>
    </row>
    <row r="425" ht="19.5" customHeight="1" s="58">
      <c r="A425" s="62">
        <f>IF(G425="","",IF(G425=G424,"",COUNTIF($G$3:$G$976,G425)))</f>
        <v/>
      </c>
      <c r="B425" s="20" t="n"/>
      <c r="C425" s="63">
        <f>IF(G425="","",DAY(G425))</f>
        <v/>
      </c>
      <c r="D425" s="63">
        <f>IF(G425="","",MONTH(G425))</f>
        <v/>
      </c>
      <c r="E425" s="63">
        <f>IF(G425="","",YEAR(G425))</f>
        <v/>
      </c>
      <c r="F425" s="33">
        <f>IF(G425="","",CHOOSE(MONTH(G425),"Janeiro","Fevereiro","Março","Abril","Maio","Junho","Julho","Agosto","Setembro","Outubro","Novembro","Dezembro"))</f>
        <v/>
      </c>
      <c r="G425" s="64" t="n">
        <v>46066</v>
      </c>
      <c r="H425" s="65" t="n">
        <v>0.01385416666666667</v>
      </c>
      <c r="I425" s="66" t="inlineStr">
        <is>
          <t>https://docs.google.com/spreadsheets/d/1ZiCGoPjLCjuYvujDTXK9Ixbth3tekiLtFBzBrGjPCr4/edit?gid=0#gid=0</t>
        </is>
      </c>
      <c r="J425" s="67" t="inlineStr">
        <is>
          <t>Overpaid, Excede o limite Com comprovante - [OPEC]</t>
        </is>
      </c>
      <c r="K425" s="67" t="inlineStr"/>
      <c r="L425" s="68" t="b">
        <v>0</v>
      </c>
      <c r="M425" s="20" t="n"/>
      <c r="N425" s="69">
        <f>IF($J425="","",IFERROR(INDEX(B!$F$2:$F$61,MATCH($J425,B!$E$2:$E$61,0))&amp;"",""))</f>
        <v/>
      </c>
      <c r="O425" s="69">
        <f>IF($J425="","",IFERROR(INDEX(B!$G$2:$G$61,MATCH($J425,B!$E$2:$E$61,0))&amp;"",""))</f>
        <v/>
      </c>
      <c r="P425" s="69">
        <f>IF($J425="","",IFERROR(INDEX(B!$H$2:$H$61,MATCH($J425,B!$E$2:$E$61,0))&amp;"",""))</f>
        <v/>
      </c>
      <c r="Q425" s="69">
        <f>IF($J425="","",IFERROR(INDEX(B!$I$2:$I$61,MATCH($J425,B!$E$2:$E$61,0))&amp;"",""))</f>
        <v/>
      </c>
      <c r="R425" s="69">
        <f>IF($J425="","",IFERROR(INDEX(B!$J$2:$J$61,MATCH($J425,B!$E$2:$E$61,0))&amp;"",""))</f>
        <v/>
      </c>
      <c r="S425" s="69">
        <f>IF($J425="","",IFERROR(INDEX(B!$K$2:$K$61,MATCH($J425,B!$E$2:$E$61,0))&amp;"",""))</f>
        <v/>
      </c>
      <c r="T425" s="69">
        <f>IF($J425="","",IFERROR(INDEX(B!$L$2:$L$61,MATCH($J425,B!$E$2:$E$61,0))&amp;"",""))</f>
        <v/>
      </c>
      <c r="U425" s="20" t="n"/>
      <c r="V425" s="70">
        <f>IF($J425="","",IFERROR(INDEX(B!$M$2:$M$61,MATCH($J425,B!$E$2:$E$61,0))&amp;"",""))</f>
        <v/>
      </c>
      <c r="W425" s="71">
        <f>IF(I425="","",IFERROR(MID(I425,FIND("/d/",I425)+3,FIND("/edit",I425)-FIND("/d/",I425)-3),I425))</f>
        <v/>
      </c>
      <c r="X425" s="71">
        <f>IF($J425="","",IFERROR(INDEX(B!$C$2:$C$61,MATCH($J425,B!$E$2:$E$61,0))&amp;"",""))</f>
        <v/>
      </c>
      <c r="Y425" s="20" t="n"/>
      <c r="Z425" s="72">
        <f>IF($J425="",FALSE,ISNUMBER(SEARCH("scout",$K425)))</f>
        <v/>
      </c>
      <c r="AA425" s="72">
        <f>IF($J425="",FALSE,IFERROR(INDEX(B!$N$2:$N$61,MATCH($J425,B!$E$2:$E$61,0))="Sim",FALSE))</f>
        <v/>
      </c>
      <c r="AB425" s="72">
        <f>IF($J425="",FALSE,LEFT($X425,2)="XX")</f>
        <v/>
      </c>
      <c r="AC425" s="72">
        <f>IF($J425="",FALSE,IFERROR(INDEX(B!$P$2:$P$61,MATCH($J425,B!$E$2:$E$61,0))="Sim",FALSE))</f>
        <v/>
      </c>
      <c r="AD425" s="20" t="n"/>
      <c r="AE425" s="52">
        <f>IF(H425="","",HOUR(H425))</f>
        <v/>
      </c>
      <c r="AF425" s="52" t="n"/>
    </row>
    <row r="426" ht="19.5" customHeight="1" s="58">
      <c r="A426" s="62">
        <f>IF(G426="","",IF(G426=G425,"",COUNTIF($G$3:$G$976,G426)))</f>
        <v/>
      </c>
      <c r="B426" s="20" t="n"/>
      <c r="C426" s="63">
        <f>IF(G426="","",DAY(G426))</f>
        <v/>
      </c>
      <c r="D426" s="63">
        <f>IF(G426="","",MONTH(G426))</f>
        <v/>
      </c>
      <c r="E426" s="63">
        <f>IF(G426="","",YEAR(G426))</f>
        <v/>
      </c>
      <c r="F426" s="33">
        <f>IF(G426="","",CHOOSE(MONTH(G426),"Janeiro","Fevereiro","Março","Abril","Maio","Junho","Julho","Agosto","Setembro","Outubro","Novembro","Dezembro"))</f>
        <v/>
      </c>
      <c r="G426" s="64" t="n">
        <v>46066</v>
      </c>
      <c r="H426" s="65" t="n">
        <v>0.01439814814814815</v>
      </c>
      <c r="I426" s="66" t="inlineStr">
        <is>
          <t>https://docs.google.com/spreadsheets/d/1ZiCGoPjLCjuYvujDTXK9Ixbth3tekiLtFBzBrGjPCr4/edit?gid=0#gid=0</t>
        </is>
      </c>
      <c r="J426" s="67" t="inlineStr">
        <is>
          <t>No Need Response (Não precisa de resposta) - [NRN]</t>
        </is>
      </c>
      <c r="K426" s="67" t="inlineStr"/>
      <c r="L426" s="68" t="b">
        <v>1</v>
      </c>
      <c r="M426" s="20" t="n"/>
      <c r="N426" s="69">
        <f>IF($J426="","",IFERROR(INDEX(B!$F$2:$F$61,MATCH($J426,B!$E$2:$E$61,0))&amp;"",""))</f>
        <v/>
      </c>
      <c r="O426" s="69">
        <f>IF($J426="","",IFERROR(INDEX(B!$G$2:$G$61,MATCH($J426,B!$E$2:$E$61,0))&amp;"",""))</f>
        <v/>
      </c>
      <c r="P426" s="69">
        <f>IF($J426="","",IFERROR(INDEX(B!$H$2:$H$61,MATCH($J426,B!$E$2:$E$61,0))&amp;"",""))</f>
        <v/>
      </c>
      <c r="Q426" s="69">
        <f>IF($J426="","",IFERROR(INDEX(B!$I$2:$I$61,MATCH($J426,B!$E$2:$E$61,0))&amp;"",""))</f>
        <v/>
      </c>
      <c r="R426" s="69">
        <f>IF($J426="","",IFERROR(INDEX(B!$J$2:$J$61,MATCH($J426,B!$E$2:$E$61,0))&amp;"",""))</f>
        <v/>
      </c>
      <c r="S426" s="69">
        <f>IF($J426="","",IFERROR(INDEX(B!$K$2:$K$61,MATCH($J426,B!$E$2:$E$61,0))&amp;"",""))</f>
        <v/>
      </c>
      <c r="T426" s="69">
        <f>IF($J426="","",IFERROR(INDEX(B!$L$2:$L$61,MATCH($J426,B!$E$2:$E$61,0))&amp;"",""))</f>
        <v/>
      </c>
      <c r="U426" s="20" t="n"/>
      <c r="V426" s="70">
        <f>IF($J426="","",IFERROR(INDEX(B!$M$2:$M$61,MATCH($J426,B!$E$2:$E$61,0))&amp;"",""))</f>
        <v/>
      </c>
      <c r="W426" s="71">
        <f>IF(I426="","",IFERROR(MID(I426,FIND("/d/",I426)+3,FIND("/edit",I426)-FIND("/d/",I426)-3),I426))</f>
        <v/>
      </c>
      <c r="X426" s="71">
        <f>IF($J426="","",IFERROR(INDEX(B!$C$2:$C$61,MATCH($J426,B!$E$2:$E$61,0))&amp;"",""))</f>
        <v/>
      </c>
      <c r="Y426" s="20" t="n"/>
      <c r="Z426" s="72">
        <f>IF($J426="",FALSE,ISNUMBER(SEARCH("scout",$K426)))</f>
        <v/>
      </c>
      <c r="AA426" s="72">
        <f>IF($J426="",FALSE,IFERROR(INDEX(B!$N$2:$N$61,MATCH($J426,B!$E$2:$E$61,0))="Sim",FALSE))</f>
        <v/>
      </c>
      <c r="AB426" s="72">
        <f>IF($J426="",FALSE,LEFT($X426,2)="XX")</f>
        <v/>
      </c>
      <c r="AC426" s="72">
        <f>IF($J426="",FALSE,IFERROR(INDEX(B!$P$2:$P$61,MATCH($J426,B!$E$2:$E$61,0))="Sim",FALSE))</f>
        <v/>
      </c>
      <c r="AD426" s="20" t="n"/>
      <c r="AE426" s="52">
        <f>IF(H426="","",HOUR(H426))</f>
        <v/>
      </c>
      <c r="AF426" s="52" t="n"/>
    </row>
    <row r="427" ht="19.5" customHeight="1" s="58">
      <c r="A427" s="62">
        <f>IF(G427="","",IF(G427=G426,"",COUNTIF($G$3:$G$976,G427)))</f>
        <v/>
      </c>
      <c r="B427" s="20" t="n"/>
      <c r="C427" s="63">
        <f>IF(G427="","",DAY(G427))</f>
        <v/>
      </c>
      <c r="D427" s="63">
        <f>IF(G427="","",MONTH(G427))</f>
        <v/>
      </c>
      <c r="E427" s="63">
        <f>IF(G427="","",YEAR(G427))</f>
        <v/>
      </c>
      <c r="F427" s="33">
        <f>IF(G427="","",CHOOSE(MONTH(G427),"Janeiro","Fevereiro","Março","Abril","Maio","Junho","Julho","Agosto","Setembro","Outubro","Novembro","Dezembro"))</f>
        <v/>
      </c>
      <c r="G427" s="64" t="n">
        <v>46066</v>
      </c>
      <c r="H427" s="65" t="n">
        <v>0.01469907407407407</v>
      </c>
      <c r="I427" s="66" t="inlineStr">
        <is>
          <t>https://docs.google.com/spreadsheets/d/1ZiCGoPjLCjuYvujDTXK9Ixbth3tekiLtFBzBrGjPCr4/edit?gid=0#gid=0</t>
        </is>
      </c>
      <c r="J427" s="67" t="inlineStr">
        <is>
          <t>Transferência de LOB (Safety) - [TIST]</t>
        </is>
      </c>
      <c r="K427" s="67" t="inlineStr"/>
      <c r="L427" s="68" t="b">
        <v>0</v>
      </c>
      <c r="M427" s="20" t="n"/>
      <c r="N427" s="69">
        <f>IF($J427="","",IFERROR(INDEX(B!$F$2:$F$61,MATCH($J427,B!$E$2:$E$61,0))&amp;"",""))</f>
        <v/>
      </c>
      <c r="O427" s="69">
        <f>IF($J427="","",IFERROR(INDEX(B!$G$2:$G$61,MATCH($J427,B!$E$2:$E$61,0))&amp;"",""))</f>
        <v/>
      </c>
      <c r="P427" s="69">
        <f>IF($J427="","",IFERROR(INDEX(B!$H$2:$H$61,MATCH($J427,B!$E$2:$E$61,0))&amp;"",""))</f>
        <v/>
      </c>
      <c r="Q427" s="69">
        <f>IF($J427="","",IFERROR(INDEX(B!$I$2:$I$61,MATCH($J427,B!$E$2:$E$61,0))&amp;"",""))</f>
        <v/>
      </c>
      <c r="R427" s="69">
        <f>IF($J427="","",IFERROR(INDEX(B!$J$2:$J$61,MATCH($J427,B!$E$2:$E$61,0))&amp;"",""))</f>
        <v/>
      </c>
      <c r="S427" s="69">
        <f>IF($J427="","",IFERROR(INDEX(B!$K$2:$K$61,MATCH($J427,B!$E$2:$E$61,0))&amp;"",""))</f>
        <v/>
      </c>
      <c r="T427" s="69">
        <f>IF($J427="","",IFERROR(INDEX(B!$L$2:$L$61,MATCH($J427,B!$E$2:$E$61,0))&amp;"",""))</f>
        <v/>
      </c>
      <c r="U427" s="20" t="n"/>
      <c r="V427" s="70">
        <f>IF($J427="","",IFERROR(INDEX(B!$M$2:$M$61,MATCH($J427,B!$E$2:$E$61,0))&amp;"",""))</f>
        <v/>
      </c>
      <c r="W427" s="71">
        <f>IF(I427="","",IFERROR(MID(I427,FIND("/d/",I427)+3,FIND("/edit",I427)-FIND("/d/",I427)-3),I427))</f>
        <v/>
      </c>
      <c r="X427" s="71">
        <f>IF($J427="","",IFERROR(INDEX(B!$C$2:$C$61,MATCH($J427,B!$E$2:$E$61,0))&amp;"",""))</f>
        <v/>
      </c>
      <c r="Y427" s="20" t="n"/>
      <c r="Z427" s="72">
        <f>IF($J427="",FALSE,ISNUMBER(SEARCH("scout",$K427)))</f>
        <v/>
      </c>
      <c r="AA427" s="72">
        <f>IF($J427="",FALSE,IFERROR(INDEX(B!$N$2:$N$61,MATCH($J427,B!$E$2:$E$61,0))="Sim",FALSE))</f>
        <v/>
      </c>
      <c r="AB427" s="72">
        <f>IF($J427="",FALSE,LEFT($X427,2)="XX")</f>
        <v/>
      </c>
      <c r="AC427" s="72">
        <f>IF($J427="",FALSE,IFERROR(INDEX(B!$P$2:$P$61,MATCH($J427,B!$E$2:$E$61,0))="Sim",FALSE))</f>
        <v/>
      </c>
      <c r="AD427" s="20" t="n"/>
      <c r="AE427" s="52">
        <f>IF(H427="","",HOUR(H427))</f>
        <v/>
      </c>
      <c r="AF427" s="52" t="n"/>
    </row>
    <row r="428" ht="19.5" customHeight="1" s="58">
      <c r="A428" s="62">
        <f>IF(G428="","",IF(G428=G427,"",COUNTIF($G$3:$G$976,G428)))</f>
        <v/>
      </c>
      <c r="B428" s="20" t="n"/>
      <c r="C428" s="63">
        <f>IF(G428="","",DAY(G428))</f>
        <v/>
      </c>
      <c r="D428" s="63">
        <f>IF(G428="","",MONTH(G428))</f>
        <v/>
      </c>
      <c r="E428" s="63">
        <f>IF(G428="","",YEAR(G428))</f>
        <v/>
      </c>
      <c r="F428" s="33">
        <f>IF(G428="","",CHOOSE(MONTH(G428),"Janeiro","Fevereiro","Março","Abril","Maio","Junho","Julho","Agosto","Setembro","Outubro","Novembro","Dezembro"))</f>
        <v/>
      </c>
      <c r="G428" s="64" t="n">
        <v>46066</v>
      </c>
      <c r="H428" s="65" t="n">
        <v>0.01586805555555556</v>
      </c>
      <c r="I428" s="66" t="inlineStr">
        <is>
          <t>https://docs.google.com/spreadsheets/d/1ZiCGoPjLCjuYvujDTXK9Ixbth3tekiLtFBzBrGjPCr4/edit?gid=0#gid=0</t>
        </is>
      </c>
      <c r="J428" s="67" t="inlineStr">
        <is>
          <t>No Need Response (Não precisa de resposta) - [NRN]</t>
        </is>
      </c>
      <c r="K428" s="67" t="inlineStr"/>
      <c r="L428" s="68" t="b">
        <v>0</v>
      </c>
      <c r="M428" s="20" t="n"/>
      <c r="N428" s="69">
        <f>IF($J428="","",IFERROR(INDEX(B!$F$2:$F$61,MATCH($J428,B!$E$2:$E$61,0))&amp;"",""))</f>
        <v/>
      </c>
      <c r="O428" s="69">
        <f>IF($J428="","",IFERROR(INDEX(B!$G$2:$G$61,MATCH($J428,B!$E$2:$E$61,0))&amp;"",""))</f>
        <v/>
      </c>
      <c r="P428" s="69">
        <f>IF($J428="","",IFERROR(INDEX(B!$H$2:$H$61,MATCH($J428,B!$E$2:$E$61,0))&amp;"",""))</f>
        <v/>
      </c>
      <c r="Q428" s="69">
        <f>IF($J428="","",IFERROR(INDEX(B!$I$2:$I$61,MATCH($J428,B!$E$2:$E$61,0))&amp;"",""))</f>
        <v/>
      </c>
      <c r="R428" s="69">
        <f>IF($J428="","",IFERROR(INDEX(B!$J$2:$J$61,MATCH($J428,B!$E$2:$E$61,0))&amp;"",""))</f>
        <v/>
      </c>
      <c r="S428" s="69">
        <f>IF($J428="","",IFERROR(INDEX(B!$K$2:$K$61,MATCH($J428,B!$E$2:$E$61,0))&amp;"",""))</f>
        <v/>
      </c>
      <c r="T428" s="69">
        <f>IF($J428="","",IFERROR(INDEX(B!$L$2:$L$61,MATCH($J428,B!$E$2:$E$61,0))&amp;"",""))</f>
        <v/>
      </c>
      <c r="U428" s="20" t="n"/>
      <c r="V428" s="70">
        <f>IF($J428="","",IFERROR(INDEX(B!$M$2:$M$61,MATCH($J428,B!$E$2:$E$61,0))&amp;"",""))</f>
        <v/>
      </c>
      <c r="W428" s="71">
        <f>IF(I428="","",IFERROR(MID(I428,FIND("/d/",I428)+3,FIND("/edit",I428)-FIND("/d/",I428)-3),I428))</f>
        <v/>
      </c>
      <c r="X428" s="71">
        <f>IF($J428="","",IFERROR(INDEX(B!$C$2:$C$61,MATCH($J428,B!$E$2:$E$61,0))&amp;"",""))</f>
        <v/>
      </c>
      <c r="Y428" s="20" t="n"/>
      <c r="Z428" s="72">
        <f>IF($J428="",FALSE,ISNUMBER(SEARCH("scout",$K428)))</f>
        <v/>
      </c>
      <c r="AA428" s="72">
        <f>IF($J428="",FALSE,IFERROR(INDEX(B!$N$2:$N$61,MATCH($J428,B!$E$2:$E$61,0))="Sim",FALSE))</f>
        <v/>
      </c>
      <c r="AB428" s="72">
        <f>IF($J428="",FALSE,LEFT($X428,2)="XX")</f>
        <v/>
      </c>
      <c r="AC428" s="72">
        <f>IF($J428="",FALSE,IFERROR(INDEX(B!$P$2:$P$61,MATCH($J428,B!$E$2:$E$61,0))="Sim",FALSE))</f>
        <v/>
      </c>
      <c r="AD428" s="20" t="n"/>
      <c r="AE428" s="52">
        <f>IF(H428="","",HOUR(H428))</f>
        <v/>
      </c>
      <c r="AF428" s="52" t="n"/>
    </row>
    <row r="429" ht="19.5" customHeight="1" s="58">
      <c r="A429" s="62">
        <f>IF(G429="","",IF(G429=G428,"",COUNTIF($G$3:$G$976,G429)))</f>
        <v/>
      </c>
      <c r="B429" s="20" t="n"/>
      <c r="C429" s="63">
        <f>IF(G429="","",DAY(G429))</f>
        <v/>
      </c>
      <c r="D429" s="63">
        <f>IF(G429="","",MONTH(G429))</f>
        <v/>
      </c>
      <c r="E429" s="63">
        <f>IF(G429="","",YEAR(G429))</f>
        <v/>
      </c>
      <c r="F429" s="33">
        <f>IF(G429="","",CHOOSE(MONTH(G429),"Janeiro","Fevereiro","Março","Abril","Maio","Junho","Julho","Agosto","Setembro","Outubro","Novembro","Dezembro"))</f>
        <v/>
      </c>
      <c r="G429" s="64" t="n">
        <v>46066</v>
      </c>
      <c r="H429" s="65" t="n">
        <v>0.01684027777777778</v>
      </c>
      <c r="I429" s="66" t="inlineStr">
        <is>
          <t>https://docs.google.com/spreadsheets/d/1ZiCGoPjLCjuYvujDTXK9Ixbth3tekiLtFBzBrGjPCr4/edit?gid=0#gid=0</t>
        </is>
      </c>
      <c r="J429" s="67" t="inlineStr">
        <is>
          <t>Comprovante de Pagamento - [CP]</t>
        </is>
      </c>
      <c r="K429" s="67" t="inlineStr"/>
      <c r="L429" s="68" t="b">
        <v>0</v>
      </c>
      <c r="M429" s="20" t="n"/>
      <c r="N429" s="69">
        <f>IF($J429="","",IFERROR(INDEX(B!$F$2:$F$61,MATCH($J429,B!$E$2:$E$61,0))&amp;"",""))</f>
        <v/>
      </c>
      <c r="O429" s="69">
        <f>IF($J429="","",IFERROR(INDEX(B!$G$2:$G$61,MATCH($J429,B!$E$2:$E$61,0))&amp;"",""))</f>
        <v/>
      </c>
      <c r="P429" s="69">
        <f>IF($J429="","",IFERROR(INDEX(B!$H$2:$H$61,MATCH($J429,B!$E$2:$E$61,0))&amp;"",""))</f>
        <v/>
      </c>
      <c r="Q429" s="69">
        <f>IF($J429="","",IFERROR(INDEX(B!$I$2:$I$61,MATCH($J429,B!$E$2:$E$61,0))&amp;"",""))</f>
        <v/>
      </c>
      <c r="R429" s="69">
        <f>IF($J429="","",IFERROR(INDEX(B!$J$2:$J$61,MATCH($J429,B!$E$2:$E$61,0))&amp;"",""))</f>
        <v/>
      </c>
      <c r="S429" s="69">
        <f>IF($J429="","",IFERROR(INDEX(B!$K$2:$K$61,MATCH($J429,B!$E$2:$E$61,0))&amp;"",""))</f>
        <v/>
      </c>
      <c r="T429" s="69">
        <f>IF($J429="","",IFERROR(INDEX(B!$L$2:$L$61,MATCH($J429,B!$E$2:$E$61,0))&amp;"",""))</f>
        <v/>
      </c>
      <c r="U429" s="20" t="n"/>
      <c r="V429" s="70">
        <f>IF($J429="","",IFERROR(INDEX(B!$M$2:$M$61,MATCH($J429,B!$E$2:$E$61,0))&amp;"",""))</f>
        <v/>
      </c>
      <c r="W429" s="71">
        <f>IF(I429="","",IFERROR(MID(I429,FIND("/d/",I429)+3,FIND("/edit",I429)-FIND("/d/",I429)-3),I429))</f>
        <v/>
      </c>
      <c r="X429" s="71">
        <f>IF($J429="","",IFERROR(INDEX(B!$C$2:$C$61,MATCH($J429,B!$E$2:$E$61,0))&amp;"",""))</f>
        <v/>
      </c>
      <c r="Y429" s="20" t="n"/>
      <c r="Z429" s="72">
        <f>IF($J429="",FALSE,ISNUMBER(SEARCH("scout",$K429)))</f>
        <v/>
      </c>
      <c r="AA429" s="72">
        <f>IF($J429="",FALSE,IFERROR(INDEX(B!$N$2:$N$61,MATCH($J429,B!$E$2:$E$61,0))="Sim",FALSE))</f>
        <v/>
      </c>
      <c r="AB429" s="72">
        <f>IF($J429="",FALSE,LEFT($X429,2)="XX")</f>
        <v/>
      </c>
      <c r="AC429" s="72">
        <f>IF($J429="",FALSE,IFERROR(INDEX(B!$P$2:$P$61,MATCH($J429,B!$E$2:$E$61,0))="Sim",FALSE))</f>
        <v/>
      </c>
      <c r="AD429" s="20" t="n"/>
      <c r="AE429" s="52">
        <f>IF(H429="","",HOUR(H429))</f>
        <v/>
      </c>
      <c r="AF429" s="52" t="n"/>
    </row>
    <row r="430" ht="19.5" customHeight="1" s="58">
      <c r="A430" s="62">
        <f>IF(G430="","",IF(G430=G429,"",COUNTIF($G$3:$G$976,G430)))</f>
        <v/>
      </c>
      <c r="B430" s="20" t="n"/>
      <c r="C430" s="63">
        <f>IF(G430="","",DAY(G430))</f>
        <v/>
      </c>
      <c r="D430" s="63">
        <f>IF(G430="","",MONTH(G430))</f>
        <v/>
      </c>
      <c r="E430" s="63">
        <f>IF(G430="","",YEAR(G430))</f>
        <v/>
      </c>
      <c r="F430" s="33">
        <f>IF(G430="","",CHOOSE(MONTH(G430),"Janeiro","Fevereiro","Março","Abril","Maio","Junho","Julho","Agosto","Setembro","Outubro","Novembro","Dezembro"))</f>
        <v/>
      </c>
      <c r="G430" s="64" t="n">
        <v>46066</v>
      </c>
      <c r="H430" s="65" t="n">
        <v>0.01832175925925926</v>
      </c>
      <c r="I430" s="66" t="inlineStr">
        <is>
          <t>https://docs.google.com/spreadsheets/d/1ZiCGoPjLCjuYvujDTXK9Ixbth3tekiLtFBzBrGjPCr4/edit?gid=0#gid=0</t>
        </is>
      </c>
      <c r="J430" s="67" t="inlineStr">
        <is>
          <t>Taxa de Limpeza, Reembolsado ao cliente - [TXLR]</t>
        </is>
      </c>
      <c r="K430" s="67" t="inlineStr"/>
      <c r="L430" s="68" t="b">
        <v>0</v>
      </c>
      <c r="M430" s="20" t="n"/>
      <c r="N430" s="69">
        <f>IF($J430="","",IFERROR(INDEX(B!$F$2:$F$61,MATCH($J430,B!$E$2:$E$61,0))&amp;"",""))</f>
        <v/>
      </c>
      <c r="O430" s="69">
        <f>IF($J430="","",IFERROR(INDEX(B!$G$2:$G$61,MATCH($J430,B!$E$2:$E$61,0))&amp;"",""))</f>
        <v/>
      </c>
      <c r="P430" s="69">
        <f>IF($J430="","",IFERROR(INDEX(B!$H$2:$H$61,MATCH($J430,B!$E$2:$E$61,0))&amp;"",""))</f>
        <v/>
      </c>
      <c r="Q430" s="69">
        <f>IF($J430="","",IFERROR(INDEX(B!$I$2:$I$61,MATCH($J430,B!$E$2:$E$61,0))&amp;"",""))</f>
        <v/>
      </c>
      <c r="R430" s="69">
        <f>IF($J430="","",IFERROR(INDEX(B!$J$2:$J$61,MATCH($J430,B!$E$2:$E$61,0))&amp;"",""))</f>
        <v/>
      </c>
      <c r="S430" s="69">
        <f>IF($J430="","",IFERROR(INDEX(B!$K$2:$K$61,MATCH($J430,B!$E$2:$E$61,0))&amp;"",""))</f>
        <v/>
      </c>
      <c r="T430" s="69">
        <f>IF($J430="","",IFERROR(INDEX(B!$L$2:$L$61,MATCH($J430,B!$E$2:$E$61,0))&amp;"",""))</f>
        <v/>
      </c>
      <c r="U430" s="20" t="n"/>
      <c r="V430" s="70">
        <f>IF($J430="","",IFERROR(INDEX(B!$M$2:$M$61,MATCH($J430,B!$E$2:$E$61,0))&amp;"",""))</f>
        <v/>
      </c>
      <c r="W430" s="71">
        <f>IF(I430="","",IFERROR(MID(I430,FIND("/d/",I430)+3,FIND("/edit",I430)-FIND("/d/",I430)-3),I430))</f>
        <v/>
      </c>
      <c r="X430" s="71">
        <f>IF($J430="","",IFERROR(INDEX(B!$C$2:$C$61,MATCH($J430,B!$E$2:$E$61,0))&amp;"",""))</f>
        <v/>
      </c>
      <c r="Y430" s="20" t="n"/>
      <c r="Z430" s="72">
        <f>IF($J430="",FALSE,ISNUMBER(SEARCH("scout",$K430)))</f>
        <v/>
      </c>
      <c r="AA430" s="72">
        <f>IF($J430="",FALSE,IFERROR(INDEX(B!$N$2:$N$61,MATCH($J430,B!$E$2:$E$61,0))="Sim",FALSE))</f>
        <v/>
      </c>
      <c r="AB430" s="72">
        <f>IF($J430="",FALSE,LEFT($X430,2)="XX")</f>
        <v/>
      </c>
      <c r="AC430" s="72">
        <f>IF($J430="",FALSE,IFERROR(INDEX(B!$P$2:$P$61,MATCH($J430,B!$E$2:$E$61,0))="Sim",FALSE))</f>
        <v/>
      </c>
      <c r="AD430" s="20" t="n"/>
      <c r="AE430" s="52">
        <f>IF(H430="","",HOUR(H430))</f>
        <v/>
      </c>
      <c r="AF430" s="52" t="n"/>
    </row>
    <row r="431" ht="19.5" customHeight="1" s="58">
      <c r="A431" s="62">
        <f>IF(G431="","",IF(G431=G430,"",COUNTIF($G$3:$G$976,G431)))</f>
        <v/>
      </c>
      <c r="B431" s="20" t="n"/>
      <c r="C431" s="63">
        <f>IF(G431="","",DAY(G431))</f>
        <v/>
      </c>
      <c r="D431" s="63">
        <f>IF(G431="","",MONTH(G431))</f>
        <v/>
      </c>
      <c r="E431" s="63">
        <f>IF(G431="","",YEAR(G431))</f>
        <v/>
      </c>
      <c r="F431" s="33">
        <f>IF(G431="","",CHOOSE(MONTH(G431),"Janeiro","Fevereiro","Março","Abril","Maio","Junho","Julho","Agosto","Setembro","Outubro","Novembro","Dezembro"))</f>
        <v/>
      </c>
      <c r="G431" s="64" t="n">
        <v>46066</v>
      </c>
      <c r="H431" s="65" t="n">
        <v>0.01850694444444444</v>
      </c>
      <c r="I431" s="66" t="inlineStr">
        <is>
          <t>https://docs.google.com/spreadsheets/d/1ZiCGoPjLCjuYvujDTXK9Ixbth3tekiLtFBzBrGjPCr4/edit?gid=0#gid=0</t>
        </is>
      </c>
      <c r="J431" s="67" t="inlineStr">
        <is>
          <t>Transferência de LOB (Geral não especificado) - [TI]</t>
        </is>
      </c>
      <c r="K431" s="67" t="inlineStr">
        <is>
          <t>Scout</t>
        </is>
      </c>
      <c r="L431" s="68" t="b">
        <v>0</v>
      </c>
      <c r="M431" s="20" t="n"/>
      <c r="N431" s="69">
        <f>IF($J431="","",IFERROR(INDEX(B!$F$2:$F$61,MATCH($J431,B!$E$2:$E$61,0))&amp;"",""))</f>
        <v/>
      </c>
      <c r="O431" s="69">
        <f>IF($J431="","",IFERROR(INDEX(B!$G$2:$G$61,MATCH($J431,B!$E$2:$E$61,0))&amp;"",""))</f>
        <v/>
      </c>
      <c r="P431" s="69">
        <f>IF($J431="","",IFERROR(INDEX(B!$H$2:$H$61,MATCH($J431,B!$E$2:$E$61,0))&amp;"",""))</f>
        <v/>
      </c>
      <c r="Q431" s="69">
        <f>IF($J431="","",IFERROR(INDEX(B!$I$2:$I$61,MATCH($J431,B!$E$2:$E$61,0))&amp;"",""))</f>
        <v/>
      </c>
      <c r="R431" s="69">
        <f>IF($J431="","",IFERROR(INDEX(B!$J$2:$J$61,MATCH($J431,B!$E$2:$E$61,0))&amp;"",""))</f>
        <v/>
      </c>
      <c r="S431" s="69">
        <f>IF($J431="","",IFERROR(INDEX(B!$K$2:$K$61,MATCH($J431,B!$E$2:$E$61,0))&amp;"",""))</f>
        <v/>
      </c>
      <c r="T431" s="69">
        <f>IF($J431="","",IFERROR(INDEX(B!$L$2:$L$61,MATCH($J431,B!$E$2:$E$61,0))&amp;"",""))</f>
        <v/>
      </c>
      <c r="U431" s="20" t="n"/>
      <c r="V431" s="70">
        <f>IF($J431="","",IFERROR(INDEX(B!$M$2:$M$61,MATCH($J431,B!$E$2:$E$61,0))&amp;"",""))</f>
        <v/>
      </c>
      <c r="W431" s="71">
        <f>IF(I431="","",IFERROR(MID(I431,FIND("/d/",I431)+3,FIND("/edit",I431)-FIND("/d/",I431)-3),I431))</f>
        <v/>
      </c>
      <c r="X431" s="71">
        <f>IF($J431="","",IFERROR(INDEX(B!$C$2:$C$61,MATCH($J431,B!$E$2:$E$61,0))&amp;"",""))</f>
        <v/>
      </c>
      <c r="Y431" s="20" t="n"/>
      <c r="Z431" s="72">
        <f>IF($J431="",FALSE,ISNUMBER(SEARCH("scout",$K431)))</f>
        <v/>
      </c>
      <c r="AA431" s="72">
        <f>IF($J431="",FALSE,IFERROR(INDEX(B!$N$2:$N$61,MATCH($J431,B!$E$2:$E$61,0))="Sim",FALSE))</f>
        <v/>
      </c>
      <c r="AB431" s="72">
        <f>IF($J431="",FALSE,LEFT($X431,2)="XX")</f>
        <v/>
      </c>
      <c r="AC431" s="72">
        <f>IF($J431="",FALSE,IFERROR(INDEX(B!$P$2:$P$61,MATCH($J431,B!$E$2:$E$61,0))="Sim",FALSE))</f>
        <v/>
      </c>
      <c r="AD431" s="20" t="n"/>
      <c r="AE431" s="52">
        <f>IF(H431="","",HOUR(H431))</f>
        <v/>
      </c>
      <c r="AF431" s="52" t="n"/>
    </row>
    <row r="432" ht="19.5" customHeight="1" s="58">
      <c r="A432" s="62">
        <f>IF(G432="","",IF(G432=G431,"",COUNTIF($G$3:$G$976,G432)))</f>
        <v/>
      </c>
      <c r="B432" s="20" t="n"/>
      <c r="C432" s="63">
        <f>IF(G432="","",DAY(G432))</f>
        <v/>
      </c>
      <c r="D432" s="63">
        <f>IF(G432="","",MONTH(G432))</f>
        <v/>
      </c>
      <c r="E432" s="63">
        <f>IF(G432="","",YEAR(G432))</f>
        <v/>
      </c>
      <c r="F432" s="33">
        <f>IF(G432="","",CHOOSE(MONTH(G432),"Janeiro","Fevereiro","Março","Abril","Maio","Junho","Julho","Agosto","Setembro","Outubro","Novembro","Dezembro"))</f>
        <v/>
      </c>
      <c r="G432" s="64" t="n">
        <v>46066</v>
      </c>
      <c r="H432" s="65" t="n">
        <v>0.03483796296296297</v>
      </c>
      <c r="I432" s="66" t="inlineStr">
        <is>
          <t>https://docs.google.com/spreadsheets/d/1ZiCGoPjLCjuYvujDTXK9Ixbth3tekiLtFBzBrGjPCr4/edit?gid=0#gid=0</t>
        </is>
      </c>
      <c r="J432" s="67" t="inlineStr">
        <is>
          <t>Mais informações (Quanto Pagou?) - [AAV]</t>
        </is>
      </c>
      <c r="K432" s="67" t="inlineStr"/>
      <c r="L432" s="68" t="b">
        <v>0</v>
      </c>
      <c r="M432" s="20" t="n"/>
      <c r="N432" s="69">
        <f>IF($J432="","",IFERROR(INDEX(B!$F$2:$F$61,MATCH($J432,B!$E$2:$E$61,0))&amp;"",""))</f>
        <v/>
      </c>
      <c r="O432" s="69">
        <f>IF($J432="","",IFERROR(INDEX(B!$G$2:$G$61,MATCH($J432,B!$E$2:$E$61,0))&amp;"",""))</f>
        <v/>
      </c>
      <c r="P432" s="69">
        <f>IF($J432="","",IFERROR(INDEX(B!$H$2:$H$61,MATCH($J432,B!$E$2:$E$61,0))&amp;"",""))</f>
        <v/>
      </c>
      <c r="Q432" s="69">
        <f>IF($J432="","",IFERROR(INDEX(B!$I$2:$I$61,MATCH($J432,B!$E$2:$E$61,0))&amp;"",""))</f>
        <v/>
      </c>
      <c r="R432" s="69">
        <f>IF($J432="","",IFERROR(INDEX(B!$J$2:$J$61,MATCH($J432,B!$E$2:$E$61,0))&amp;"",""))</f>
        <v/>
      </c>
      <c r="S432" s="69">
        <f>IF($J432="","",IFERROR(INDEX(B!$K$2:$K$61,MATCH($J432,B!$E$2:$E$61,0))&amp;"",""))</f>
        <v/>
      </c>
      <c r="T432" s="69">
        <f>IF($J432="","",IFERROR(INDEX(B!$L$2:$L$61,MATCH($J432,B!$E$2:$E$61,0))&amp;"",""))</f>
        <v/>
      </c>
      <c r="U432" s="20" t="n"/>
      <c r="V432" s="70">
        <f>IF($J432="","",IFERROR(INDEX(B!$M$2:$M$61,MATCH($J432,B!$E$2:$E$61,0))&amp;"",""))</f>
        <v/>
      </c>
      <c r="W432" s="71">
        <f>IF(I432="","",IFERROR(MID(I432,FIND("/d/",I432)+3,FIND("/edit",I432)-FIND("/d/",I432)-3),I432))</f>
        <v/>
      </c>
      <c r="X432" s="71">
        <f>IF($J432="","",IFERROR(INDEX(B!$C$2:$C$61,MATCH($J432,B!$E$2:$E$61,0))&amp;"",""))</f>
        <v/>
      </c>
      <c r="Y432" s="20" t="n"/>
      <c r="Z432" s="72">
        <f>IF($J432="",FALSE,ISNUMBER(SEARCH("scout",$K432)))</f>
        <v/>
      </c>
      <c r="AA432" s="72">
        <f>IF($J432="",FALSE,IFERROR(INDEX(B!$N$2:$N$61,MATCH($J432,B!$E$2:$E$61,0))="Sim",FALSE))</f>
        <v/>
      </c>
      <c r="AB432" s="72">
        <f>IF($J432="",FALSE,LEFT($X432,2)="XX")</f>
        <v/>
      </c>
      <c r="AC432" s="72">
        <f>IF($J432="",FALSE,IFERROR(INDEX(B!$P$2:$P$61,MATCH($J432,B!$E$2:$E$61,0))="Sim",FALSE))</f>
        <v/>
      </c>
      <c r="AD432" s="20" t="n"/>
      <c r="AE432" s="52">
        <f>IF(H432="","",HOUR(H432))</f>
        <v/>
      </c>
      <c r="AF432" s="52" t="n"/>
    </row>
    <row r="433" ht="19.5" customHeight="1" s="58">
      <c r="A433" s="62">
        <f>IF(G433="","",IF(G433=G432,"",COUNTIF($G$3:$G$976,G433)))</f>
        <v/>
      </c>
      <c r="B433" s="20" t="n"/>
      <c r="C433" s="63">
        <f>IF(G433="","",DAY(G433))</f>
        <v/>
      </c>
      <c r="D433" s="63">
        <f>IF(G433="","",MONTH(G433))</f>
        <v/>
      </c>
      <c r="E433" s="63">
        <f>IF(G433="","",YEAR(G433))</f>
        <v/>
      </c>
      <c r="F433" s="33">
        <f>IF(G433="","",CHOOSE(MONTH(G433),"Janeiro","Fevereiro","Março","Abril","Maio","Junho","Julho","Agosto","Setembro","Outubro","Novembro","Dezembro"))</f>
        <v/>
      </c>
      <c r="G433" s="64" t="n">
        <v>46066</v>
      </c>
      <c r="H433" s="65" t="n">
        <v>0.0353587962962963</v>
      </c>
      <c r="I433" s="66" t="inlineStr">
        <is>
          <t>https://docs.google.com/spreadsheets/d/1ZiCGoPjLCjuYvujDTXK9Ixbth3tekiLtFBzBrGjPCr4/edit?gid=0#gid=0</t>
        </is>
      </c>
      <c r="J433" s="67" t="inlineStr">
        <is>
          <t>Transferência de LOB (Profissionalismo) - [TIPR]</t>
        </is>
      </c>
      <c r="K433" s="67" t="inlineStr"/>
      <c r="L433" s="68" t="b">
        <v>0</v>
      </c>
      <c r="M433" s="20" t="n"/>
      <c r="N433" s="69">
        <f>IF($J433="","",IFERROR(INDEX(B!$F$2:$F$61,MATCH($J433,B!$E$2:$E$61,0))&amp;"",""))</f>
        <v/>
      </c>
      <c r="O433" s="69">
        <f>IF($J433="","",IFERROR(INDEX(B!$G$2:$G$61,MATCH($J433,B!$E$2:$E$61,0))&amp;"",""))</f>
        <v/>
      </c>
      <c r="P433" s="69">
        <f>IF($J433="","",IFERROR(INDEX(B!$H$2:$H$61,MATCH($J433,B!$E$2:$E$61,0))&amp;"",""))</f>
        <v/>
      </c>
      <c r="Q433" s="69">
        <f>IF($J433="","",IFERROR(INDEX(B!$I$2:$I$61,MATCH($J433,B!$E$2:$E$61,0))&amp;"",""))</f>
        <v/>
      </c>
      <c r="R433" s="69">
        <f>IF($J433="","",IFERROR(INDEX(B!$J$2:$J$61,MATCH($J433,B!$E$2:$E$61,0))&amp;"",""))</f>
        <v/>
      </c>
      <c r="S433" s="69">
        <f>IF($J433="","",IFERROR(INDEX(B!$K$2:$K$61,MATCH($J433,B!$E$2:$E$61,0))&amp;"",""))</f>
        <v/>
      </c>
      <c r="T433" s="69">
        <f>IF($J433="","",IFERROR(INDEX(B!$L$2:$L$61,MATCH($J433,B!$E$2:$E$61,0))&amp;"",""))</f>
        <v/>
      </c>
      <c r="U433" s="20" t="n"/>
      <c r="V433" s="70">
        <f>IF($J433="","",IFERROR(INDEX(B!$M$2:$M$61,MATCH($J433,B!$E$2:$E$61,0))&amp;"",""))</f>
        <v/>
      </c>
      <c r="W433" s="71">
        <f>IF(I433="","",IFERROR(MID(I433,FIND("/d/",I433)+3,FIND("/edit",I433)-FIND("/d/",I433)-3),I433))</f>
        <v/>
      </c>
      <c r="X433" s="71">
        <f>IF($J433="","",IFERROR(INDEX(B!$C$2:$C$61,MATCH($J433,B!$E$2:$E$61,0))&amp;"",""))</f>
        <v/>
      </c>
      <c r="Y433" s="20" t="n"/>
      <c r="Z433" s="72">
        <f>IF($J433="",FALSE,ISNUMBER(SEARCH("scout",$K433)))</f>
        <v/>
      </c>
      <c r="AA433" s="72">
        <f>IF($J433="",FALSE,IFERROR(INDEX(B!$N$2:$N$61,MATCH($J433,B!$E$2:$E$61,0))="Sim",FALSE))</f>
        <v/>
      </c>
      <c r="AB433" s="72">
        <f>IF($J433="",FALSE,LEFT($X433,2)="XX")</f>
        <v/>
      </c>
      <c r="AC433" s="72">
        <f>IF($J433="",FALSE,IFERROR(INDEX(B!$P$2:$P$61,MATCH($J433,B!$E$2:$E$61,0))="Sim",FALSE))</f>
        <v/>
      </c>
      <c r="AD433" s="20" t="n"/>
      <c r="AE433" s="52">
        <f>IF(H433="","",HOUR(H433))</f>
        <v/>
      </c>
      <c r="AF433" s="52" t="n"/>
    </row>
    <row r="434" ht="19.5" customHeight="1" s="58">
      <c r="A434" s="62">
        <f>IF(G434="","",IF(G434=G433,"",COUNTIF($G$3:$G$976,G434)))</f>
        <v/>
      </c>
      <c r="B434" s="20" t="n"/>
      <c r="C434" s="63">
        <f>IF(G434="","",DAY(G434))</f>
        <v/>
      </c>
      <c r="D434" s="63">
        <f>IF(G434="","",MONTH(G434))</f>
        <v/>
      </c>
      <c r="E434" s="63">
        <f>IF(G434="","",YEAR(G434))</f>
        <v/>
      </c>
      <c r="F434" s="33">
        <f>IF(G434="","",CHOOSE(MONTH(G434),"Janeiro","Fevereiro","Março","Abril","Maio","Junho","Julho","Agosto","Setembro","Outubro","Novembro","Dezembro"))</f>
        <v/>
      </c>
      <c r="G434" s="64" t="n">
        <v>46066</v>
      </c>
      <c r="H434" s="65" t="n">
        <v>0.03550925925925926</v>
      </c>
      <c r="I434" s="66" t="inlineStr">
        <is>
          <t>https://docs.google.com/spreadsheets/d/1ZiCGoPjLCjuYvujDTXK9Ixbth3tekiLtFBzBrGjPCr4/edit?gid=0#gid=0</t>
        </is>
      </c>
      <c r="J434" s="67" t="inlineStr">
        <is>
          <t>Trajeto Ruim - [TR]</t>
        </is>
      </c>
      <c r="K434" s="67" t="inlineStr">
        <is>
          <t>Scout</t>
        </is>
      </c>
      <c r="L434" s="68" t="b">
        <v>0</v>
      </c>
      <c r="M434" s="20" t="n"/>
      <c r="N434" s="69">
        <f>IF($J434="","",IFERROR(INDEX(B!$F$2:$F$61,MATCH($J434,B!$E$2:$E$61,0))&amp;"",""))</f>
        <v/>
      </c>
      <c r="O434" s="69">
        <f>IF($J434="","",IFERROR(INDEX(B!$G$2:$G$61,MATCH($J434,B!$E$2:$E$61,0))&amp;"",""))</f>
        <v/>
      </c>
      <c r="P434" s="69">
        <f>IF($J434="","",IFERROR(INDEX(B!$H$2:$H$61,MATCH($J434,B!$E$2:$E$61,0))&amp;"",""))</f>
        <v/>
      </c>
      <c r="Q434" s="69">
        <f>IF($J434="","",IFERROR(INDEX(B!$I$2:$I$61,MATCH($J434,B!$E$2:$E$61,0))&amp;"",""))</f>
        <v/>
      </c>
      <c r="R434" s="69">
        <f>IF($J434="","",IFERROR(INDEX(B!$J$2:$J$61,MATCH($J434,B!$E$2:$E$61,0))&amp;"",""))</f>
        <v/>
      </c>
      <c r="S434" s="69">
        <f>IF($J434="","",IFERROR(INDEX(B!$K$2:$K$61,MATCH($J434,B!$E$2:$E$61,0))&amp;"",""))</f>
        <v/>
      </c>
      <c r="T434" s="69">
        <f>IF($J434="","",IFERROR(INDEX(B!$L$2:$L$61,MATCH($J434,B!$E$2:$E$61,0))&amp;"",""))</f>
        <v/>
      </c>
      <c r="U434" s="20" t="n"/>
      <c r="V434" s="70">
        <f>IF($J434="","",IFERROR(INDEX(B!$M$2:$M$61,MATCH($J434,B!$E$2:$E$61,0))&amp;"",""))</f>
        <v/>
      </c>
      <c r="W434" s="71">
        <f>IF(I434="","",IFERROR(MID(I434,FIND("/d/",I434)+3,FIND("/edit",I434)-FIND("/d/",I434)-3),I434))</f>
        <v/>
      </c>
      <c r="X434" s="71">
        <f>IF($J434="","",IFERROR(INDEX(B!$C$2:$C$61,MATCH($J434,B!$E$2:$E$61,0))&amp;"",""))</f>
        <v/>
      </c>
      <c r="Y434" s="20" t="n"/>
      <c r="Z434" s="72">
        <f>IF($J434="",FALSE,ISNUMBER(SEARCH("scout",$K434)))</f>
        <v/>
      </c>
      <c r="AA434" s="72">
        <f>IF($J434="",FALSE,IFERROR(INDEX(B!$N$2:$N$61,MATCH($J434,B!$E$2:$E$61,0))="Sim",FALSE))</f>
        <v/>
      </c>
      <c r="AB434" s="72">
        <f>IF($J434="",FALSE,LEFT($X434,2)="XX")</f>
        <v/>
      </c>
      <c r="AC434" s="72">
        <f>IF($J434="",FALSE,IFERROR(INDEX(B!$P$2:$P$61,MATCH($J434,B!$E$2:$E$61,0))="Sim",FALSE))</f>
        <v/>
      </c>
      <c r="AD434" s="20" t="n"/>
      <c r="AE434" s="52">
        <f>IF(H434="","",HOUR(H434))</f>
        <v/>
      </c>
      <c r="AF434" s="52" t="n"/>
    </row>
    <row r="435" ht="19.5" customHeight="1" s="58">
      <c r="A435" s="62">
        <f>IF(G435="","",IF(G435=G434,"",COUNTIF($G$3:$G$976,G435)))</f>
        <v/>
      </c>
      <c r="B435" s="20" t="n"/>
      <c r="C435" s="63">
        <f>IF(G435="","",DAY(G435))</f>
        <v/>
      </c>
      <c r="D435" s="63">
        <f>IF(G435="","",MONTH(G435))</f>
        <v/>
      </c>
      <c r="E435" s="63">
        <f>IF(G435="","",YEAR(G435))</f>
        <v/>
      </c>
      <c r="F435" s="33">
        <f>IF(G435="","",CHOOSE(MONTH(G435),"Janeiro","Fevereiro","Março","Abril","Maio","Junho","Julho","Agosto","Setembro","Outubro","Novembro","Dezembro"))</f>
        <v/>
      </c>
      <c r="G435" s="64" t="n">
        <v>46066</v>
      </c>
      <c r="H435" s="65" t="n">
        <v>0.03898148148148148</v>
      </c>
      <c r="I435" s="66" t="inlineStr">
        <is>
          <t>https://docs.google.com/spreadsheets/d/1ZiCGoPjLCjuYvujDTXK9Ixbth3tekiLtFBzBrGjPCr4/edit?gid=0#gid=0</t>
        </is>
      </c>
      <c r="J435" s="67" t="inlineStr">
        <is>
          <t>Viagem Calculada Incorretamente - [VCI]</t>
        </is>
      </c>
      <c r="K435" s="67" t="inlineStr">
        <is>
          <t>Scout</t>
        </is>
      </c>
      <c r="L435" s="68" t="b">
        <v>0</v>
      </c>
      <c r="M435" s="20" t="n"/>
      <c r="N435" s="69">
        <f>IF($J435="","",IFERROR(INDEX(B!$F$2:$F$61,MATCH($J435,B!$E$2:$E$61,0))&amp;"",""))</f>
        <v/>
      </c>
      <c r="O435" s="69">
        <f>IF($J435="","",IFERROR(INDEX(B!$G$2:$G$61,MATCH($J435,B!$E$2:$E$61,0))&amp;"",""))</f>
        <v/>
      </c>
      <c r="P435" s="69">
        <f>IF($J435="","",IFERROR(INDEX(B!$H$2:$H$61,MATCH($J435,B!$E$2:$E$61,0))&amp;"",""))</f>
        <v/>
      </c>
      <c r="Q435" s="69">
        <f>IF($J435="","",IFERROR(INDEX(B!$I$2:$I$61,MATCH($J435,B!$E$2:$E$61,0))&amp;"",""))</f>
        <v/>
      </c>
      <c r="R435" s="69">
        <f>IF($J435="","",IFERROR(INDEX(B!$J$2:$J$61,MATCH($J435,B!$E$2:$E$61,0))&amp;"",""))</f>
        <v/>
      </c>
      <c r="S435" s="69">
        <f>IF($J435="","",IFERROR(INDEX(B!$K$2:$K$61,MATCH($J435,B!$E$2:$E$61,0))&amp;"",""))</f>
        <v/>
      </c>
      <c r="T435" s="69">
        <f>IF($J435="","",IFERROR(INDEX(B!$L$2:$L$61,MATCH($J435,B!$E$2:$E$61,0))&amp;"",""))</f>
        <v/>
      </c>
      <c r="U435" s="20" t="n"/>
      <c r="V435" s="70">
        <f>IF($J435="","",IFERROR(INDEX(B!$M$2:$M$61,MATCH($J435,B!$E$2:$E$61,0))&amp;"",""))</f>
        <v/>
      </c>
      <c r="W435" s="71">
        <f>IF(I435="","",IFERROR(MID(I435,FIND("/d/",I435)+3,FIND("/edit",I435)-FIND("/d/",I435)-3),I435))</f>
        <v/>
      </c>
      <c r="X435" s="71">
        <f>IF($J435="","",IFERROR(INDEX(B!$C$2:$C$61,MATCH($J435,B!$E$2:$E$61,0))&amp;"",""))</f>
        <v/>
      </c>
      <c r="Y435" s="20" t="n"/>
      <c r="Z435" s="72">
        <f>IF($J435="",FALSE,ISNUMBER(SEARCH("scout",$K435)))</f>
        <v/>
      </c>
      <c r="AA435" s="72">
        <f>IF($J435="",FALSE,IFERROR(INDEX(B!$N$2:$N$61,MATCH($J435,B!$E$2:$E$61,0))="Sim",FALSE))</f>
        <v/>
      </c>
      <c r="AB435" s="72">
        <f>IF($J435="",FALSE,LEFT($X435,2)="XX")</f>
        <v/>
      </c>
      <c r="AC435" s="72">
        <f>IF($J435="",FALSE,IFERROR(INDEX(B!$P$2:$P$61,MATCH($J435,B!$E$2:$E$61,0))="Sim",FALSE))</f>
        <v/>
      </c>
      <c r="AD435" s="20" t="n"/>
      <c r="AE435" s="52">
        <f>IF(H435="","",HOUR(H435))</f>
        <v/>
      </c>
      <c r="AF435" s="52" t="n"/>
    </row>
    <row r="436" ht="19.5" customHeight="1" s="58">
      <c r="A436" s="62">
        <f>IF(G436="","",IF(G436=G435,"",COUNTIF($G$3:$G$976,G436)))</f>
        <v/>
      </c>
      <c r="B436" s="20" t="n"/>
      <c r="C436" s="63">
        <f>IF(G436="","",DAY(G436))</f>
        <v/>
      </c>
      <c r="D436" s="63">
        <f>IF(G436="","",MONTH(G436))</f>
        <v/>
      </c>
      <c r="E436" s="63">
        <f>IF(G436="","",YEAR(G436))</f>
        <v/>
      </c>
      <c r="F436" s="33">
        <f>IF(G436="","",CHOOSE(MONTH(G436),"Janeiro","Fevereiro","Março","Abril","Maio","Junho","Julho","Agosto","Setembro","Outubro","Novembro","Dezembro"))</f>
        <v/>
      </c>
      <c r="G436" s="64" t="n">
        <v>46066</v>
      </c>
      <c r="H436" s="65" t="n">
        <v>0.04210648148148148</v>
      </c>
      <c r="I436" s="66" t="inlineStr">
        <is>
          <t>https://docs.google.com/spreadsheets/d/1ZiCGoPjLCjuYvujDTXK9Ixbth3tekiLtFBzBrGjPCr4/edit?gid=0#gid=0</t>
        </is>
      </c>
      <c r="J436" s="67" t="inlineStr">
        <is>
          <t>Transferência de LOB (Driver) - [TIDV]</t>
        </is>
      </c>
      <c r="K436" s="67" t="inlineStr"/>
      <c r="L436" s="68" t="b">
        <v>0</v>
      </c>
      <c r="M436" s="20" t="n"/>
      <c r="N436" s="69">
        <f>IF($J436="","",IFERROR(INDEX(B!$F$2:$F$61,MATCH($J436,B!$E$2:$E$61,0))&amp;"",""))</f>
        <v/>
      </c>
      <c r="O436" s="69">
        <f>IF($J436="","",IFERROR(INDEX(B!$G$2:$G$61,MATCH($J436,B!$E$2:$E$61,0))&amp;"",""))</f>
        <v/>
      </c>
      <c r="P436" s="69">
        <f>IF($J436="","",IFERROR(INDEX(B!$H$2:$H$61,MATCH($J436,B!$E$2:$E$61,0))&amp;"",""))</f>
        <v/>
      </c>
      <c r="Q436" s="69">
        <f>IF($J436="","",IFERROR(INDEX(B!$I$2:$I$61,MATCH($J436,B!$E$2:$E$61,0))&amp;"",""))</f>
        <v/>
      </c>
      <c r="R436" s="69">
        <f>IF($J436="","",IFERROR(INDEX(B!$J$2:$J$61,MATCH($J436,B!$E$2:$E$61,0))&amp;"",""))</f>
        <v/>
      </c>
      <c r="S436" s="69">
        <f>IF($J436="","",IFERROR(INDEX(B!$K$2:$K$61,MATCH($J436,B!$E$2:$E$61,0))&amp;"",""))</f>
        <v/>
      </c>
      <c r="T436" s="69">
        <f>IF($J436="","",IFERROR(INDEX(B!$L$2:$L$61,MATCH($J436,B!$E$2:$E$61,0))&amp;"",""))</f>
        <v/>
      </c>
      <c r="U436" s="20" t="n"/>
      <c r="V436" s="70">
        <f>IF($J436="","",IFERROR(INDEX(B!$M$2:$M$61,MATCH($J436,B!$E$2:$E$61,0))&amp;"",""))</f>
        <v/>
      </c>
      <c r="W436" s="71">
        <f>IF(I436="","",IFERROR(MID(I436,FIND("/d/",I436)+3,FIND("/edit",I436)-FIND("/d/",I436)-3),I436))</f>
        <v/>
      </c>
      <c r="X436" s="71">
        <f>IF($J436="","",IFERROR(INDEX(B!$C$2:$C$61,MATCH($J436,B!$E$2:$E$61,0))&amp;"",""))</f>
        <v/>
      </c>
      <c r="Y436" s="20" t="n"/>
      <c r="Z436" s="72">
        <f>IF($J436="",FALSE,ISNUMBER(SEARCH("scout",$K436)))</f>
        <v/>
      </c>
      <c r="AA436" s="72">
        <f>IF($J436="",FALSE,IFERROR(INDEX(B!$N$2:$N$61,MATCH($J436,B!$E$2:$E$61,0))="Sim",FALSE))</f>
        <v/>
      </c>
      <c r="AB436" s="72">
        <f>IF($J436="",FALSE,LEFT($X436,2)="XX")</f>
        <v/>
      </c>
      <c r="AC436" s="72">
        <f>IF($J436="",FALSE,IFERROR(INDEX(B!$P$2:$P$61,MATCH($J436,B!$E$2:$E$61,0))="Sim",FALSE))</f>
        <v/>
      </c>
      <c r="AD436" s="20" t="n"/>
      <c r="AE436" s="52">
        <f>IF(H436="","",HOUR(H436))</f>
        <v/>
      </c>
      <c r="AF436" s="52" t="n"/>
    </row>
    <row r="437" ht="19.5" customHeight="1" s="58">
      <c r="A437" s="62">
        <f>IF(G437="","",IF(G437=G436,"",COUNTIF($G$3:$G$976,G437)))</f>
        <v/>
      </c>
      <c r="B437" s="20" t="n"/>
      <c r="C437" s="63">
        <f>IF(G437="","",DAY(G437))</f>
        <v/>
      </c>
      <c r="D437" s="63">
        <f>IF(G437="","",MONTH(G437))</f>
        <v/>
      </c>
      <c r="E437" s="63">
        <f>IF(G437="","",YEAR(G437))</f>
        <v/>
      </c>
      <c r="F437" s="33">
        <f>IF(G437="","",CHOOSE(MONTH(G437),"Janeiro","Fevereiro","Março","Abril","Maio","Junho","Julho","Agosto","Setembro","Outubro","Novembro","Dezembro"))</f>
        <v/>
      </c>
      <c r="G437" s="64" t="n">
        <v>46066</v>
      </c>
      <c r="H437" s="65" t="n">
        <v>0.04310185185185185</v>
      </c>
      <c r="I437" s="66" t="inlineStr">
        <is>
          <t>https://docs.google.com/spreadsheets/d/1ZiCGoPjLCjuYvujDTXK9Ixbth3tekiLtFBzBrGjPCr4/edit?gid=0#gid=0</t>
        </is>
      </c>
      <c r="J437" s="67" t="inlineStr">
        <is>
          <t>Não houve Taxa de Cancelamento - [NTX]</t>
        </is>
      </c>
      <c r="K437" s="67" t="inlineStr"/>
      <c r="L437" s="68" t="b">
        <v>0</v>
      </c>
      <c r="M437" s="20" t="n"/>
      <c r="N437" s="69">
        <f>IF($J437="","",IFERROR(INDEX(B!$F$2:$F$61,MATCH($J437,B!$E$2:$E$61,0))&amp;"",""))</f>
        <v/>
      </c>
      <c r="O437" s="69">
        <f>IF($J437="","",IFERROR(INDEX(B!$G$2:$G$61,MATCH($J437,B!$E$2:$E$61,0))&amp;"",""))</f>
        <v/>
      </c>
      <c r="P437" s="69">
        <f>IF($J437="","",IFERROR(INDEX(B!$H$2:$H$61,MATCH($J437,B!$E$2:$E$61,0))&amp;"",""))</f>
        <v/>
      </c>
      <c r="Q437" s="69">
        <f>IF($J437="","",IFERROR(INDEX(B!$I$2:$I$61,MATCH($J437,B!$E$2:$E$61,0))&amp;"",""))</f>
        <v/>
      </c>
      <c r="R437" s="69">
        <f>IF($J437="","",IFERROR(INDEX(B!$J$2:$J$61,MATCH($J437,B!$E$2:$E$61,0))&amp;"",""))</f>
        <v/>
      </c>
      <c r="S437" s="69">
        <f>IF($J437="","",IFERROR(INDEX(B!$K$2:$K$61,MATCH($J437,B!$E$2:$E$61,0))&amp;"",""))</f>
        <v/>
      </c>
      <c r="T437" s="69">
        <f>IF($J437="","",IFERROR(INDEX(B!$L$2:$L$61,MATCH($J437,B!$E$2:$E$61,0))&amp;"",""))</f>
        <v/>
      </c>
      <c r="U437" s="20" t="n"/>
      <c r="V437" s="70">
        <f>IF($J437="","",IFERROR(INDEX(B!$M$2:$M$61,MATCH($J437,B!$E$2:$E$61,0))&amp;"",""))</f>
        <v/>
      </c>
      <c r="W437" s="71">
        <f>IF(I437="","",IFERROR(MID(I437,FIND("/d/",I437)+3,FIND("/edit",I437)-FIND("/d/",I437)-3),I437))</f>
        <v/>
      </c>
      <c r="X437" s="71">
        <f>IF($J437="","",IFERROR(INDEX(B!$C$2:$C$61,MATCH($J437,B!$E$2:$E$61,0))&amp;"",""))</f>
        <v/>
      </c>
      <c r="Y437" s="20" t="n"/>
      <c r="Z437" s="72">
        <f>IF($J437="",FALSE,ISNUMBER(SEARCH("scout",$K437)))</f>
        <v/>
      </c>
      <c r="AA437" s="72">
        <f>IF($J437="",FALSE,IFERROR(INDEX(B!$N$2:$N$61,MATCH($J437,B!$E$2:$E$61,0))="Sim",FALSE))</f>
        <v/>
      </c>
      <c r="AB437" s="72">
        <f>IF($J437="",FALSE,LEFT($X437,2)="XX")</f>
        <v/>
      </c>
      <c r="AC437" s="72">
        <f>IF($J437="",FALSE,IFERROR(INDEX(B!$P$2:$P$61,MATCH($J437,B!$E$2:$E$61,0))="Sim",FALSE))</f>
        <v/>
      </c>
      <c r="AD437" s="20" t="n"/>
      <c r="AE437" s="52">
        <f>IF(H437="","",HOUR(H437))</f>
        <v/>
      </c>
      <c r="AF437" s="52" t="n"/>
    </row>
    <row r="438" ht="19.5" customHeight="1" s="58">
      <c r="A438" s="62">
        <f>IF(G438="","",IF(G438=G437,"",COUNTIF($G$3:$G$976,G438)))</f>
        <v/>
      </c>
      <c r="B438" s="20" t="n"/>
      <c r="C438" s="63">
        <f>IF(G438="","",DAY(G438))</f>
        <v/>
      </c>
      <c r="D438" s="63">
        <f>IF(G438="","",MONTH(G438))</f>
        <v/>
      </c>
      <c r="E438" s="63">
        <f>IF(G438="","",YEAR(G438))</f>
        <v/>
      </c>
      <c r="F438" s="33">
        <f>IF(G438="","",CHOOSE(MONTH(G438),"Janeiro","Fevereiro","Março","Abril","Maio","Junho","Julho","Agosto","Setembro","Outubro","Novembro","Dezembro"))</f>
        <v/>
      </c>
      <c r="G438" s="64" t="n">
        <v>46066</v>
      </c>
      <c r="H438" s="65" t="n">
        <v>0.0465625</v>
      </c>
      <c r="I438" s="66" t="inlineStr">
        <is>
          <t>https://docs.google.com/spreadsheets/d/1ZiCGoPjLCjuYvujDTXK9Ixbth3tekiLtFBzBrGjPCr4/edit?gid=0#gid=0</t>
        </is>
      </c>
      <c r="J438" s="67" t="inlineStr">
        <is>
          <t>Transferência de LOB (Lost Items) - [TILI]</t>
        </is>
      </c>
      <c r="K438" s="67" t="inlineStr">
        <is>
          <t>Scout</t>
        </is>
      </c>
      <c r="L438" s="68" t="b">
        <v>0</v>
      </c>
      <c r="M438" s="20" t="n"/>
      <c r="N438" s="69">
        <f>IF($J438="","",IFERROR(INDEX(B!$F$2:$F$61,MATCH($J438,B!$E$2:$E$61,0))&amp;"",""))</f>
        <v/>
      </c>
      <c r="O438" s="69">
        <f>IF($J438="","",IFERROR(INDEX(B!$G$2:$G$61,MATCH($J438,B!$E$2:$E$61,0))&amp;"",""))</f>
        <v/>
      </c>
      <c r="P438" s="69">
        <f>IF($J438="","",IFERROR(INDEX(B!$H$2:$H$61,MATCH($J438,B!$E$2:$E$61,0))&amp;"",""))</f>
        <v/>
      </c>
      <c r="Q438" s="69">
        <f>IF($J438="","",IFERROR(INDEX(B!$I$2:$I$61,MATCH($J438,B!$E$2:$E$61,0))&amp;"",""))</f>
        <v/>
      </c>
      <c r="R438" s="69">
        <f>IF($J438="","",IFERROR(INDEX(B!$J$2:$J$61,MATCH($J438,B!$E$2:$E$61,0))&amp;"",""))</f>
        <v/>
      </c>
      <c r="S438" s="69">
        <f>IF($J438="","",IFERROR(INDEX(B!$K$2:$K$61,MATCH($J438,B!$E$2:$E$61,0))&amp;"",""))</f>
        <v/>
      </c>
      <c r="T438" s="69">
        <f>IF($J438="","",IFERROR(INDEX(B!$L$2:$L$61,MATCH($J438,B!$E$2:$E$61,0))&amp;"",""))</f>
        <v/>
      </c>
      <c r="U438" s="20" t="n"/>
      <c r="V438" s="70">
        <f>IF($J438="","",IFERROR(INDEX(B!$M$2:$M$61,MATCH($J438,B!$E$2:$E$61,0))&amp;"",""))</f>
        <v/>
      </c>
      <c r="W438" s="71">
        <f>IF(I438="","",IFERROR(MID(I438,FIND("/d/",I438)+3,FIND("/edit",I438)-FIND("/d/",I438)-3),I438))</f>
        <v/>
      </c>
      <c r="X438" s="71">
        <f>IF($J438="","",IFERROR(INDEX(B!$C$2:$C$61,MATCH($J438,B!$E$2:$E$61,0))&amp;"",""))</f>
        <v/>
      </c>
      <c r="Y438" s="20" t="n"/>
      <c r="Z438" s="72">
        <f>IF($J438="",FALSE,ISNUMBER(SEARCH("scout",$K438)))</f>
        <v/>
      </c>
      <c r="AA438" s="72">
        <f>IF($J438="",FALSE,IFERROR(INDEX(B!$N$2:$N$61,MATCH($J438,B!$E$2:$E$61,0))="Sim",FALSE))</f>
        <v/>
      </c>
      <c r="AB438" s="72">
        <f>IF($J438="",FALSE,LEFT($X438,2)="XX")</f>
        <v/>
      </c>
      <c r="AC438" s="72">
        <f>IF($J438="",FALSE,IFERROR(INDEX(B!$P$2:$P$61,MATCH($J438,B!$E$2:$E$61,0))="Sim",FALSE))</f>
        <v/>
      </c>
      <c r="AD438" s="20" t="n"/>
      <c r="AE438" s="52">
        <f>IF(H438="","",HOUR(H438))</f>
        <v/>
      </c>
      <c r="AF438" s="52" t="n"/>
    </row>
    <row r="439" ht="19.5" customHeight="1" s="58">
      <c r="A439" s="62">
        <f>IF(G439="","",IF(G439=G438,"",COUNTIF($G$3:$G$976,G439)))</f>
        <v/>
      </c>
      <c r="B439" s="20" t="n"/>
      <c r="C439" s="63">
        <f>IF(G439="","",DAY(G439))</f>
        <v/>
      </c>
      <c r="D439" s="63">
        <f>IF(G439="","",MONTH(G439))</f>
        <v/>
      </c>
      <c r="E439" s="63">
        <f>IF(G439="","",YEAR(G439))</f>
        <v/>
      </c>
      <c r="F439" s="33">
        <f>IF(G439="","",CHOOSE(MONTH(G439),"Janeiro","Fevereiro","Março","Abril","Maio","Junho","Julho","Agosto","Setembro","Outubro","Novembro","Dezembro"))</f>
        <v/>
      </c>
      <c r="G439" s="64" t="n">
        <v>46067</v>
      </c>
      <c r="H439" s="65" t="n">
        <v>0.007210648148148148</v>
      </c>
      <c r="I439" s="66" t="inlineStr">
        <is>
          <t>https://docs.google.com/spreadsheets/d/1ZiCGoPjLCjuYvujDTXK9Ixbth3tekiLtFBzBrGjPCr4/edit?gid=0#gid=0</t>
        </is>
      </c>
      <c r="J439" s="67" t="inlineStr">
        <is>
          <t>Overpaid, Não excede o limite, Com comprovante - [OPNC]</t>
        </is>
      </c>
      <c r="K439" s="67" t="inlineStr"/>
      <c r="L439" s="68" t="b">
        <v>0</v>
      </c>
      <c r="M439" s="20" t="n"/>
      <c r="N439" s="69">
        <f>IF($J439="","",IFERROR(INDEX(B!$F$2:$F$61,MATCH($J439,B!$E$2:$E$61,0))&amp;"",""))</f>
        <v/>
      </c>
      <c r="O439" s="69">
        <f>IF($J439="","",IFERROR(INDEX(B!$G$2:$G$61,MATCH($J439,B!$E$2:$E$61,0))&amp;"",""))</f>
        <v/>
      </c>
      <c r="P439" s="69">
        <f>IF($J439="","",IFERROR(INDEX(B!$H$2:$H$61,MATCH($J439,B!$E$2:$E$61,0))&amp;"",""))</f>
        <v/>
      </c>
      <c r="Q439" s="69">
        <f>IF($J439="","",IFERROR(INDEX(B!$I$2:$I$61,MATCH($J439,B!$E$2:$E$61,0))&amp;"",""))</f>
        <v/>
      </c>
      <c r="R439" s="69">
        <f>IF($J439="","",IFERROR(INDEX(B!$J$2:$J$61,MATCH($J439,B!$E$2:$E$61,0))&amp;"",""))</f>
        <v/>
      </c>
      <c r="S439" s="69">
        <f>IF($J439="","",IFERROR(INDEX(B!$K$2:$K$61,MATCH($J439,B!$E$2:$E$61,0))&amp;"",""))</f>
        <v/>
      </c>
      <c r="T439" s="69">
        <f>IF($J439="","",IFERROR(INDEX(B!$L$2:$L$61,MATCH($J439,B!$E$2:$E$61,0))&amp;"",""))</f>
        <v/>
      </c>
      <c r="U439" s="20" t="n"/>
      <c r="V439" s="70">
        <f>IF($J439="","",IFERROR(INDEX(B!$M$2:$M$61,MATCH($J439,B!$E$2:$E$61,0))&amp;"",""))</f>
        <v/>
      </c>
      <c r="W439" s="71">
        <f>IF(I439="","",IFERROR(MID(I439,FIND("/d/",I439)+3,FIND("/edit",I439)-FIND("/d/",I439)-3),I439))</f>
        <v/>
      </c>
      <c r="X439" s="71">
        <f>IF($J439="","",IFERROR(INDEX(B!$C$2:$C$61,MATCH($J439,B!$E$2:$E$61,0))&amp;"",""))</f>
        <v/>
      </c>
      <c r="Y439" s="20" t="n"/>
      <c r="Z439" s="72">
        <f>IF($J439="",FALSE,ISNUMBER(SEARCH("scout",$K439)))</f>
        <v/>
      </c>
      <c r="AA439" s="72">
        <f>IF($J439="",FALSE,IFERROR(INDEX(B!$N$2:$N$61,MATCH($J439,B!$E$2:$E$61,0))="Sim",FALSE))</f>
        <v/>
      </c>
      <c r="AB439" s="72">
        <f>IF($J439="",FALSE,LEFT($X439,2)="XX")</f>
        <v/>
      </c>
      <c r="AC439" s="72">
        <f>IF($J439="",FALSE,IFERROR(INDEX(B!$P$2:$P$61,MATCH($J439,B!$E$2:$E$61,0))="Sim",FALSE))</f>
        <v/>
      </c>
      <c r="AD439" s="20" t="n"/>
      <c r="AE439" s="52">
        <f>IF(H439="","",HOUR(H439))</f>
        <v/>
      </c>
      <c r="AF439" s="52" t="n"/>
    </row>
    <row r="440" ht="19.5" customHeight="1" s="58">
      <c r="A440" s="62">
        <f>IF(G440="","",IF(G440=G439,"",COUNTIF($G$3:$G$976,G440)))</f>
        <v/>
      </c>
      <c r="B440" s="20" t="n"/>
      <c r="C440" s="63">
        <f>IF(G440="","",DAY(G440))</f>
        <v/>
      </c>
      <c r="D440" s="63">
        <f>IF(G440="","",MONTH(G440))</f>
        <v/>
      </c>
      <c r="E440" s="63">
        <f>IF(G440="","",YEAR(G440))</f>
        <v/>
      </c>
      <c r="F440" s="33">
        <f>IF(G440="","",CHOOSE(MONTH(G440),"Janeiro","Fevereiro","Março","Abril","Maio","Junho","Julho","Agosto","Setembro","Outubro","Novembro","Dezembro"))</f>
        <v/>
      </c>
      <c r="G440" s="64" t="n">
        <v>46067</v>
      </c>
      <c r="H440" s="65" t="n">
        <v>0.009942129629629629</v>
      </c>
      <c r="I440" s="66" t="inlineStr">
        <is>
          <t>https://docs.google.com/spreadsheets/d/1ZiCGoPjLCjuYvujDTXK9Ixbth3tekiLtFBzBrGjPCr4/edit?gid=0#gid=0</t>
        </is>
      </c>
      <c r="J440" s="67" t="inlineStr">
        <is>
          <t>Overpaid, Não excede o limite, Com comprovante - [OPNC]</t>
        </is>
      </c>
      <c r="K440" s="67" t="inlineStr">
        <is>
          <t>Scout</t>
        </is>
      </c>
      <c r="L440" s="68" t="b">
        <v>0</v>
      </c>
      <c r="M440" s="20" t="n"/>
      <c r="N440" s="69">
        <f>IF($J440="","",IFERROR(INDEX(B!$F$2:$F$61,MATCH($J440,B!$E$2:$E$61,0))&amp;"",""))</f>
        <v/>
      </c>
      <c r="O440" s="69">
        <f>IF($J440="","",IFERROR(INDEX(B!$G$2:$G$61,MATCH($J440,B!$E$2:$E$61,0))&amp;"",""))</f>
        <v/>
      </c>
      <c r="P440" s="69">
        <f>IF($J440="","",IFERROR(INDEX(B!$H$2:$H$61,MATCH($J440,B!$E$2:$E$61,0))&amp;"",""))</f>
        <v/>
      </c>
      <c r="Q440" s="69">
        <f>IF($J440="","",IFERROR(INDEX(B!$I$2:$I$61,MATCH($J440,B!$E$2:$E$61,0))&amp;"",""))</f>
        <v/>
      </c>
      <c r="R440" s="69">
        <f>IF($J440="","",IFERROR(INDEX(B!$J$2:$J$61,MATCH($J440,B!$E$2:$E$61,0))&amp;"",""))</f>
        <v/>
      </c>
      <c r="S440" s="69">
        <f>IF($J440="","",IFERROR(INDEX(B!$K$2:$K$61,MATCH($J440,B!$E$2:$E$61,0))&amp;"",""))</f>
        <v/>
      </c>
      <c r="T440" s="69">
        <f>IF($J440="","",IFERROR(INDEX(B!$L$2:$L$61,MATCH($J440,B!$E$2:$E$61,0))&amp;"",""))</f>
        <v/>
      </c>
      <c r="U440" s="20" t="n"/>
      <c r="V440" s="70">
        <f>IF($J440="","",IFERROR(INDEX(B!$M$2:$M$61,MATCH($J440,B!$E$2:$E$61,0))&amp;"",""))</f>
        <v/>
      </c>
      <c r="W440" s="71">
        <f>IF(I440="","",IFERROR(MID(I440,FIND("/d/",I440)+3,FIND("/edit",I440)-FIND("/d/",I440)-3),I440))</f>
        <v/>
      </c>
      <c r="X440" s="71">
        <f>IF($J440="","",IFERROR(INDEX(B!$C$2:$C$61,MATCH($J440,B!$E$2:$E$61,0))&amp;"",""))</f>
        <v/>
      </c>
      <c r="Y440" s="20" t="n"/>
      <c r="Z440" s="72">
        <f>IF($J440="",FALSE,ISNUMBER(SEARCH("scout",$K440)))</f>
        <v/>
      </c>
      <c r="AA440" s="72">
        <f>IF($J440="",FALSE,IFERROR(INDEX(B!$N$2:$N$61,MATCH($J440,B!$E$2:$E$61,0))="Sim",FALSE))</f>
        <v/>
      </c>
      <c r="AB440" s="72">
        <f>IF($J440="",FALSE,LEFT($X440,2)="XX")</f>
        <v/>
      </c>
      <c r="AC440" s="72">
        <f>IF($J440="",FALSE,IFERROR(INDEX(B!$P$2:$P$61,MATCH($J440,B!$E$2:$E$61,0))="Sim",FALSE))</f>
        <v/>
      </c>
      <c r="AD440" s="20" t="n"/>
      <c r="AE440" s="52">
        <f>IF(H440="","",HOUR(H440))</f>
        <v/>
      </c>
      <c r="AF440" s="52" t="n"/>
    </row>
    <row r="441" ht="19.5" customHeight="1" s="58">
      <c r="A441" s="62">
        <f>IF(G441="","",IF(G441=G440,"",COUNTIF($G$3:$G$976,G441)))</f>
        <v/>
      </c>
      <c r="B441" s="20" t="n"/>
      <c r="C441" s="63">
        <f>IF(G441="","",DAY(G441))</f>
        <v/>
      </c>
      <c r="D441" s="63">
        <f>IF(G441="","",MONTH(G441))</f>
        <v/>
      </c>
      <c r="E441" s="63">
        <f>IF(G441="","",YEAR(G441))</f>
        <v/>
      </c>
      <c r="F441" s="33">
        <f>IF(G441="","",CHOOSE(MONTH(G441),"Janeiro","Fevereiro","Março","Abril","Maio","Junho","Julho","Agosto","Setembro","Outubro","Novembro","Dezembro"))</f>
        <v/>
      </c>
      <c r="G441" s="64" t="n">
        <v>46067</v>
      </c>
      <c r="H441" s="65" t="n">
        <v>0.01070601851851852</v>
      </c>
      <c r="I441" s="66" t="inlineStr">
        <is>
          <t>https://docs.google.com/spreadsheets/d/1ZiCGoPjLCjuYvujDTXK9Ixbth3tekiLtFBzBrGjPCr4/edit?gid=0#gid=0</t>
        </is>
      </c>
      <c r="J441" s="67" t="inlineStr">
        <is>
          <t>Mais informações (Quanto Pagou?) - [AAV]</t>
        </is>
      </c>
      <c r="K441" s="67" t="inlineStr"/>
      <c r="L441" s="68" t="b">
        <v>0</v>
      </c>
      <c r="M441" s="20" t="n"/>
      <c r="N441" s="69">
        <f>IF($J441="","",IFERROR(INDEX(B!$F$2:$F$61,MATCH($J441,B!$E$2:$E$61,0))&amp;"",""))</f>
        <v/>
      </c>
      <c r="O441" s="69">
        <f>IF($J441="","",IFERROR(INDEX(B!$G$2:$G$61,MATCH($J441,B!$E$2:$E$61,0))&amp;"",""))</f>
        <v/>
      </c>
      <c r="P441" s="69">
        <f>IF($J441="","",IFERROR(INDEX(B!$H$2:$H$61,MATCH($J441,B!$E$2:$E$61,0))&amp;"",""))</f>
        <v/>
      </c>
      <c r="Q441" s="69">
        <f>IF($J441="","",IFERROR(INDEX(B!$I$2:$I$61,MATCH($J441,B!$E$2:$E$61,0))&amp;"",""))</f>
        <v/>
      </c>
      <c r="R441" s="69">
        <f>IF($J441="","",IFERROR(INDEX(B!$J$2:$J$61,MATCH($J441,B!$E$2:$E$61,0))&amp;"",""))</f>
        <v/>
      </c>
      <c r="S441" s="69">
        <f>IF($J441="","",IFERROR(INDEX(B!$K$2:$K$61,MATCH($J441,B!$E$2:$E$61,0))&amp;"",""))</f>
        <v/>
      </c>
      <c r="T441" s="69">
        <f>IF($J441="","",IFERROR(INDEX(B!$L$2:$L$61,MATCH($J441,B!$E$2:$E$61,0))&amp;"",""))</f>
        <v/>
      </c>
      <c r="U441" s="20" t="n"/>
      <c r="V441" s="70">
        <f>IF($J441="","",IFERROR(INDEX(B!$M$2:$M$61,MATCH($J441,B!$E$2:$E$61,0))&amp;"",""))</f>
        <v/>
      </c>
      <c r="W441" s="71">
        <f>IF(I441="","",IFERROR(MID(I441,FIND("/d/",I441)+3,FIND("/edit",I441)-FIND("/d/",I441)-3),I441))</f>
        <v/>
      </c>
      <c r="X441" s="71">
        <f>IF($J441="","",IFERROR(INDEX(B!$C$2:$C$61,MATCH($J441,B!$E$2:$E$61,0))&amp;"",""))</f>
        <v/>
      </c>
      <c r="Y441" s="20" t="n"/>
      <c r="Z441" s="72">
        <f>IF($J441="",FALSE,ISNUMBER(SEARCH("scout",$K441)))</f>
        <v/>
      </c>
      <c r="AA441" s="72">
        <f>IF($J441="",FALSE,IFERROR(INDEX(B!$N$2:$N$61,MATCH($J441,B!$E$2:$E$61,0))="Sim",FALSE))</f>
        <v/>
      </c>
      <c r="AB441" s="72">
        <f>IF($J441="",FALSE,LEFT($X441,2)="XX")</f>
        <v/>
      </c>
      <c r="AC441" s="72">
        <f>IF($J441="",FALSE,IFERROR(INDEX(B!$P$2:$P$61,MATCH($J441,B!$E$2:$E$61,0))="Sim",FALSE))</f>
        <v/>
      </c>
      <c r="AD441" s="20" t="n"/>
      <c r="AE441" s="52">
        <f>IF(H441="","",HOUR(H441))</f>
        <v/>
      </c>
      <c r="AF441" s="52" t="n"/>
    </row>
    <row r="442" ht="19.5" customHeight="1" s="58">
      <c r="A442" s="62">
        <f>IF(G442="","",IF(G442=G441,"",COUNTIF($G$3:$G$976,G442)))</f>
        <v/>
      </c>
      <c r="B442" s="20" t="n"/>
      <c r="C442" s="63">
        <f>IF(G442="","",DAY(G442))</f>
        <v/>
      </c>
      <c r="D442" s="63">
        <f>IF(G442="","",MONTH(G442))</f>
        <v/>
      </c>
      <c r="E442" s="63">
        <f>IF(G442="","",YEAR(G442))</f>
        <v/>
      </c>
      <c r="F442" s="33">
        <f>IF(G442="","",CHOOSE(MONTH(G442),"Janeiro","Fevereiro","Março","Abril","Maio","Junho","Julho","Agosto","Setembro","Outubro","Novembro","Dezembro"))</f>
        <v/>
      </c>
      <c r="G442" s="64" t="n">
        <v>46067</v>
      </c>
      <c r="H442" s="65" t="n">
        <v>0.01363425925925926</v>
      </c>
      <c r="I442" s="66" t="inlineStr">
        <is>
          <t>https://docs.google.com/spreadsheets/d/1ZiCGoPjLCjuYvujDTXK9Ixbth3tekiLtFBzBrGjPCr4/edit?gid=0#gid=0</t>
        </is>
      </c>
      <c r="J442" s="67" t="inlineStr">
        <is>
          <t>Erro de Gps (Problema Técnico) - [GPS]</t>
        </is>
      </c>
      <c r="K442" s="67" t="inlineStr">
        <is>
          <t>Scout</t>
        </is>
      </c>
      <c r="L442" s="68" t="b">
        <v>0</v>
      </c>
      <c r="M442" s="20" t="n"/>
      <c r="N442" s="69">
        <f>IF($J442="","",IFERROR(INDEX(B!$F$2:$F$61,MATCH($J442,B!$E$2:$E$61,0))&amp;"",""))</f>
        <v/>
      </c>
      <c r="O442" s="69">
        <f>IF($J442="","",IFERROR(INDEX(B!$G$2:$G$61,MATCH($J442,B!$E$2:$E$61,0))&amp;"",""))</f>
        <v/>
      </c>
      <c r="P442" s="69">
        <f>IF($J442="","",IFERROR(INDEX(B!$H$2:$H$61,MATCH($J442,B!$E$2:$E$61,0))&amp;"",""))</f>
        <v/>
      </c>
      <c r="Q442" s="69">
        <f>IF($J442="","",IFERROR(INDEX(B!$I$2:$I$61,MATCH($J442,B!$E$2:$E$61,0))&amp;"",""))</f>
        <v/>
      </c>
      <c r="R442" s="69">
        <f>IF($J442="","",IFERROR(INDEX(B!$J$2:$J$61,MATCH($J442,B!$E$2:$E$61,0))&amp;"",""))</f>
        <v/>
      </c>
      <c r="S442" s="69">
        <f>IF($J442="","",IFERROR(INDEX(B!$K$2:$K$61,MATCH($J442,B!$E$2:$E$61,0))&amp;"",""))</f>
        <v/>
      </c>
      <c r="T442" s="69">
        <f>IF($J442="","",IFERROR(INDEX(B!$L$2:$L$61,MATCH($J442,B!$E$2:$E$61,0))&amp;"",""))</f>
        <v/>
      </c>
      <c r="U442" s="20" t="n"/>
      <c r="V442" s="70">
        <f>IF($J442="","",IFERROR(INDEX(B!$M$2:$M$61,MATCH($J442,B!$E$2:$E$61,0))&amp;"",""))</f>
        <v/>
      </c>
      <c r="W442" s="71">
        <f>IF(I442="","",IFERROR(MID(I442,FIND("/d/",I442)+3,FIND("/edit",I442)-FIND("/d/",I442)-3),I442))</f>
        <v/>
      </c>
      <c r="X442" s="71">
        <f>IF($J442="","",IFERROR(INDEX(B!$C$2:$C$61,MATCH($J442,B!$E$2:$E$61,0))&amp;"",""))</f>
        <v/>
      </c>
      <c r="Y442" s="20" t="n"/>
      <c r="Z442" s="72">
        <f>IF($J442="",FALSE,ISNUMBER(SEARCH("scout",$K442)))</f>
        <v/>
      </c>
      <c r="AA442" s="72">
        <f>IF($J442="",FALSE,IFERROR(INDEX(B!$N$2:$N$61,MATCH($J442,B!$E$2:$E$61,0))="Sim",FALSE))</f>
        <v/>
      </c>
      <c r="AB442" s="72">
        <f>IF($J442="",FALSE,LEFT($X442,2)="XX")</f>
        <v/>
      </c>
      <c r="AC442" s="72">
        <f>IF($J442="",FALSE,IFERROR(INDEX(B!$P$2:$P$61,MATCH($J442,B!$E$2:$E$61,0))="Sim",FALSE))</f>
        <v/>
      </c>
      <c r="AD442" s="20" t="n"/>
      <c r="AE442" s="52">
        <f>IF(H442="","",HOUR(H442))</f>
        <v/>
      </c>
      <c r="AF442" s="52" t="n"/>
    </row>
    <row r="443" ht="19.5" customHeight="1" s="58">
      <c r="A443" s="62">
        <f>IF(G443="","",IF(G443=G442,"",COUNTIF($G$3:$G$976,G443)))</f>
        <v/>
      </c>
      <c r="B443" s="20" t="n"/>
      <c r="C443" s="63">
        <f>IF(G443="","",DAY(G443))</f>
        <v/>
      </c>
      <c r="D443" s="63">
        <f>IF(G443="","",MONTH(G443))</f>
        <v/>
      </c>
      <c r="E443" s="63">
        <f>IF(G443="","",YEAR(G443))</f>
        <v/>
      </c>
      <c r="F443" s="33">
        <f>IF(G443="","",CHOOSE(MONTH(G443),"Janeiro","Fevereiro","Março","Abril","Maio","Junho","Julho","Agosto","Setembro","Outubro","Novembro","Dezembro"))</f>
        <v/>
      </c>
      <c r="G443" s="64" t="n">
        <v>46067</v>
      </c>
      <c r="H443" s="65" t="n">
        <v>0.01792824074074074</v>
      </c>
      <c r="I443" s="66" t="inlineStr">
        <is>
          <t>https://docs.google.com/spreadsheets/d/1ZiCGoPjLCjuYvujDTXK9Ixbth3tekiLtFBzBrGjPCr4/edit?gid=0#gid=0</t>
        </is>
      </c>
      <c r="J443" s="67" t="inlineStr">
        <is>
          <t>Overpaid, Não excede o limite, Sem comprovante - [OPNN]</t>
        </is>
      </c>
      <c r="K443" s="67" t="inlineStr">
        <is>
          <t>Scout</t>
        </is>
      </c>
      <c r="L443" s="68" t="b">
        <v>1</v>
      </c>
      <c r="M443" s="20" t="n"/>
      <c r="N443" s="69">
        <f>IF($J443="","",IFERROR(INDEX(B!$F$2:$F$61,MATCH($J443,B!$E$2:$E$61,0))&amp;"",""))</f>
        <v/>
      </c>
      <c r="O443" s="69">
        <f>IF($J443="","",IFERROR(INDEX(B!$G$2:$G$61,MATCH($J443,B!$E$2:$E$61,0))&amp;"",""))</f>
        <v/>
      </c>
      <c r="P443" s="69">
        <f>IF($J443="","",IFERROR(INDEX(B!$H$2:$H$61,MATCH($J443,B!$E$2:$E$61,0))&amp;"",""))</f>
        <v/>
      </c>
      <c r="Q443" s="69">
        <f>IF($J443="","",IFERROR(INDEX(B!$I$2:$I$61,MATCH($J443,B!$E$2:$E$61,0))&amp;"",""))</f>
        <v/>
      </c>
      <c r="R443" s="69">
        <f>IF($J443="","",IFERROR(INDEX(B!$J$2:$J$61,MATCH($J443,B!$E$2:$E$61,0))&amp;"",""))</f>
        <v/>
      </c>
      <c r="S443" s="69">
        <f>IF($J443="","",IFERROR(INDEX(B!$K$2:$K$61,MATCH($J443,B!$E$2:$E$61,0))&amp;"",""))</f>
        <v/>
      </c>
      <c r="T443" s="69">
        <f>IF($J443="","",IFERROR(INDEX(B!$L$2:$L$61,MATCH($J443,B!$E$2:$E$61,0))&amp;"",""))</f>
        <v/>
      </c>
      <c r="U443" s="20" t="n"/>
      <c r="V443" s="70">
        <f>IF($J443="","",IFERROR(INDEX(B!$M$2:$M$61,MATCH($J443,B!$E$2:$E$61,0))&amp;"",""))</f>
        <v/>
      </c>
      <c r="W443" s="71">
        <f>IF(I443="","",IFERROR(MID(I443,FIND("/d/",I443)+3,FIND("/edit",I443)-FIND("/d/",I443)-3),I443))</f>
        <v/>
      </c>
      <c r="X443" s="71">
        <f>IF($J443="","",IFERROR(INDEX(B!$C$2:$C$61,MATCH($J443,B!$E$2:$E$61,0))&amp;"",""))</f>
        <v/>
      </c>
      <c r="Y443" s="20" t="n"/>
      <c r="Z443" s="72">
        <f>IF($J443="",FALSE,ISNUMBER(SEARCH("scout",$K443)))</f>
        <v/>
      </c>
      <c r="AA443" s="72">
        <f>IF($J443="",FALSE,IFERROR(INDEX(B!$N$2:$N$61,MATCH($J443,B!$E$2:$E$61,0))="Sim",FALSE))</f>
        <v/>
      </c>
      <c r="AB443" s="72">
        <f>IF($J443="",FALSE,LEFT($X443,2)="XX")</f>
        <v/>
      </c>
      <c r="AC443" s="72">
        <f>IF($J443="",FALSE,IFERROR(INDEX(B!$P$2:$P$61,MATCH($J443,B!$E$2:$E$61,0))="Sim",FALSE))</f>
        <v/>
      </c>
      <c r="AD443" s="20" t="n"/>
      <c r="AE443" s="52">
        <f>IF(H443="","",HOUR(H443))</f>
        <v/>
      </c>
      <c r="AF443" s="52" t="n"/>
    </row>
    <row r="444" ht="19.5" customHeight="1" s="58">
      <c r="A444" s="62">
        <f>IF(G444="","",IF(G444=G443,"",COUNTIF($G$3:$G$976,G444)))</f>
        <v/>
      </c>
      <c r="B444" s="20" t="n"/>
      <c r="C444" s="63">
        <f>IF(G444="","",DAY(G444))</f>
        <v/>
      </c>
      <c r="D444" s="63">
        <f>IF(G444="","",MONTH(G444))</f>
        <v/>
      </c>
      <c r="E444" s="63">
        <f>IF(G444="","",YEAR(G444))</f>
        <v/>
      </c>
      <c r="F444" s="33">
        <f>IF(G444="","",CHOOSE(MONTH(G444),"Janeiro","Fevereiro","Março","Abril","Maio","Junho","Julho","Agosto","Setembro","Outubro","Novembro","Dezembro"))</f>
        <v/>
      </c>
      <c r="G444" s="64" t="n">
        <v>46067</v>
      </c>
      <c r="H444" s="65" t="n">
        <v>0.02049768518518518</v>
      </c>
      <c r="I444" s="66" t="inlineStr">
        <is>
          <t>https://docs.google.com/spreadsheets/d/1ZiCGoPjLCjuYvujDTXK9Ixbth3tekiLtFBzBrGjPCr4/edit?gid=0#gid=0</t>
        </is>
      </c>
      <c r="J444" s="67" t="inlineStr">
        <is>
          <t>Outros Valores Retidos (Pedágio, Cartão, Taxa de Cancelamento...) - [OTV]</t>
        </is>
      </c>
      <c r="K444" s="67" t="inlineStr"/>
      <c r="L444" s="68" t="b">
        <v>0</v>
      </c>
      <c r="M444" s="20" t="n"/>
      <c r="N444" s="69">
        <f>IF($J444="","",IFERROR(INDEX(B!$F$2:$F$61,MATCH($J444,B!$E$2:$E$61,0))&amp;"",""))</f>
        <v/>
      </c>
      <c r="O444" s="69">
        <f>IF($J444="","",IFERROR(INDEX(B!$G$2:$G$61,MATCH($J444,B!$E$2:$E$61,0))&amp;"",""))</f>
        <v/>
      </c>
      <c r="P444" s="69">
        <f>IF($J444="","",IFERROR(INDEX(B!$H$2:$H$61,MATCH($J444,B!$E$2:$E$61,0))&amp;"",""))</f>
        <v/>
      </c>
      <c r="Q444" s="69">
        <f>IF($J444="","",IFERROR(INDEX(B!$I$2:$I$61,MATCH($J444,B!$E$2:$E$61,0))&amp;"",""))</f>
        <v/>
      </c>
      <c r="R444" s="69">
        <f>IF($J444="","",IFERROR(INDEX(B!$J$2:$J$61,MATCH($J444,B!$E$2:$E$61,0))&amp;"",""))</f>
        <v/>
      </c>
      <c r="S444" s="69">
        <f>IF($J444="","",IFERROR(INDEX(B!$K$2:$K$61,MATCH($J444,B!$E$2:$E$61,0))&amp;"",""))</f>
        <v/>
      </c>
      <c r="T444" s="69">
        <f>IF($J444="","",IFERROR(INDEX(B!$L$2:$L$61,MATCH($J444,B!$E$2:$E$61,0))&amp;"",""))</f>
        <v/>
      </c>
      <c r="U444" s="20" t="n"/>
      <c r="V444" s="70">
        <f>IF($J444="","",IFERROR(INDEX(B!$M$2:$M$61,MATCH($J444,B!$E$2:$E$61,0))&amp;"",""))</f>
        <v/>
      </c>
      <c r="W444" s="71">
        <f>IF(I444="","",IFERROR(MID(I444,FIND("/d/",I444)+3,FIND("/edit",I444)-FIND("/d/",I444)-3),I444))</f>
        <v/>
      </c>
      <c r="X444" s="71">
        <f>IF($J444="","",IFERROR(INDEX(B!$C$2:$C$61,MATCH($J444,B!$E$2:$E$61,0))&amp;"",""))</f>
        <v/>
      </c>
      <c r="Y444" s="20" t="n"/>
      <c r="Z444" s="72">
        <f>IF($J444="",FALSE,ISNUMBER(SEARCH("scout",$K444)))</f>
        <v/>
      </c>
      <c r="AA444" s="72">
        <f>IF($J444="",FALSE,IFERROR(INDEX(B!$N$2:$N$61,MATCH($J444,B!$E$2:$E$61,0))="Sim",FALSE))</f>
        <v/>
      </c>
      <c r="AB444" s="72">
        <f>IF($J444="",FALSE,LEFT($X444,2)="XX")</f>
        <v/>
      </c>
      <c r="AC444" s="72">
        <f>IF($J444="",FALSE,IFERROR(INDEX(B!$P$2:$P$61,MATCH($J444,B!$E$2:$E$61,0))="Sim",FALSE))</f>
        <v/>
      </c>
      <c r="AD444" s="20" t="n"/>
      <c r="AE444" s="52">
        <f>IF(H444="","",HOUR(H444))</f>
        <v/>
      </c>
      <c r="AF444" s="52" t="n"/>
    </row>
    <row r="445" ht="19.5" customHeight="1" s="58">
      <c r="A445" s="62">
        <f>IF(G445="","",IF(G445=G444,"",COUNTIF($G$3:$G$976,G445)))</f>
        <v/>
      </c>
      <c r="B445" s="20" t="n"/>
      <c r="C445" s="63">
        <f>IF(G445="","",DAY(G445))</f>
        <v/>
      </c>
      <c r="D445" s="63">
        <f>IF(G445="","",MONTH(G445))</f>
        <v/>
      </c>
      <c r="E445" s="63">
        <f>IF(G445="","",YEAR(G445))</f>
        <v/>
      </c>
      <c r="F445" s="33">
        <f>IF(G445="","",CHOOSE(MONTH(G445),"Janeiro","Fevereiro","Março","Abril","Maio","Junho","Julho","Agosto","Setembro","Outubro","Novembro","Dezembro"))</f>
        <v/>
      </c>
      <c r="G445" s="64" t="n">
        <v>46067</v>
      </c>
      <c r="H445" s="65" t="n">
        <v>0.0212037037037037</v>
      </c>
      <c r="I445" s="66" t="inlineStr">
        <is>
          <t>https://docs.google.com/spreadsheets/d/1ZiCGoPjLCjuYvujDTXK9Ixbth3tekiLtFBzBrGjPCr4/edit?gid=0#gid=0</t>
        </is>
      </c>
      <c r="J445" s="67" t="inlineStr">
        <is>
          <t>Transferência de LOB (Driver) - [TIDV]</t>
        </is>
      </c>
      <c r="K445" s="67" t="inlineStr">
        <is>
          <t>Scout</t>
        </is>
      </c>
      <c r="L445" s="68" t="b">
        <v>0</v>
      </c>
      <c r="M445" s="20" t="n"/>
      <c r="N445" s="69">
        <f>IF($J445="","",IFERROR(INDEX(B!$F$2:$F$61,MATCH($J445,B!$E$2:$E$61,0))&amp;"",""))</f>
        <v/>
      </c>
      <c r="O445" s="69">
        <f>IF($J445="","",IFERROR(INDEX(B!$G$2:$G$61,MATCH($J445,B!$E$2:$E$61,0))&amp;"",""))</f>
        <v/>
      </c>
      <c r="P445" s="69">
        <f>IF($J445="","",IFERROR(INDEX(B!$H$2:$H$61,MATCH($J445,B!$E$2:$E$61,0))&amp;"",""))</f>
        <v/>
      </c>
      <c r="Q445" s="69">
        <f>IF($J445="","",IFERROR(INDEX(B!$I$2:$I$61,MATCH($J445,B!$E$2:$E$61,0))&amp;"",""))</f>
        <v/>
      </c>
      <c r="R445" s="69">
        <f>IF($J445="","",IFERROR(INDEX(B!$J$2:$J$61,MATCH($J445,B!$E$2:$E$61,0))&amp;"",""))</f>
        <v/>
      </c>
      <c r="S445" s="69">
        <f>IF($J445="","",IFERROR(INDEX(B!$K$2:$K$61,MATCH($J445,B!$E$2:$E$61,0))&amp;"",""))</f>
        <v/>
      </c>
      <c r="T445" s="69">
        <f>IF($J445="","",IFERROR(INDEX(B!$L$2:$L$61,MATCH($J445,B!$E$2:$E$61,0))&amp;"",""))</f>
        <v/>
      </c>
      <c r="U445" s="20" t="n"/>
      <c r="V445" s="70">
        <f>IF($J445="","",IFERROR(INDEX(B!$M$2:$M$61,MATCH($J445,B!$E$2:$E$61,0))&amp;"",""))</f>
        <v/>
      </c>
      <c r="W445" s="71">
        <f>IF(I445="","",IFERROR(MID(I445,FIND("/d/",I445)+3,FIND("/edit",I445)-FIND("/d/",I445)-3),I445))</f>
        <v/>
      </c>
      <c r="X445" s="71">
        <f>IF($J445="","",IFERROR(INDEX(B!$C$2:$C$61,MATCH($J445,B!$E$2:$E$61,0))&amp;"",""))</f>
        <v/>
      </c>
      <c r="Y445" s="20" t="n"/>
      <c r="Z445" s="72">
        <f>IF($J445="",FALSE,ISNUMBER(SEARCH("scout",$K445)))</f>
        <v/>
      </c>
      <c r="AA445" s="72">
        <f>IF($J445="",FALSE,IFERROR(INDEX(B!$N$2:$N$61,MATCH($J445,B!$E$2:$E$61,0))="Sim",FALSE))</f>
        <v/>
      </c>
      <c r="AB445" s="72">
        <f>IF($J445="",FALSE,LEFT($X445,2)="XX")</f>
        <v/>
      </c>
      <c r="AC445" s="72">
        <f>IF($J445="",FALSE,IFERROR(INDEX(B!$P$2:$P$61,MATCH($J445,B!$E$2:$E$61,0))="Sim",FALSE))</f>
        <v/>
      </c>
      <c r="AD445" s="20" t="n"/>
      <c r="AE445" s="52">
        <f>IF(H445="","",HOUR(H445))</f>
        <v/>
      </c>
      <c r="AF445" s="52" t="n"/>
    </row>
    <row r="446" ht="19.5" customHeight="1" s="58">
      <c r="A446" s="62">
        <f>IF(G446="","",IF(G446=G445,"",COUNTIF($G$3:$G$976,G446)))</f>
        <v/>
      </c>
      <c r="B446" s="20" t="n"/>
      <c r="C446" s="63">
        <f>IF(G446="","",DAY(G446))</f>
        <v/>
      </c>
      <c r="D446" s="63">
        <f>IF(G446="","",MONTH(G446))</f>
        <v/>
      </c>
      <c r="E446" s="63">
        <f>IF(G446="","",YEAR(G446))</f>
        <v/>
      </c>
      <c r="F446" s="33">
        <f>IF(G446="","",CHOOSE(MONTH(G446),"Janeiro","Fevereiro","Março","Abril","Maio","Junho","Julho","Agosto","Setembro","Outubro","Novembro","Dezembro"))</f>
        <v/>
      </c>
      <c r="G446" s="64" t="n">
        <v>46067</v>
      </c>
      <c r="H446" s="65" t="n">
        <v>0.02269675925925926</v>
      </c>
      <c r="I446" s="66" t="inlineStr">
        <is>
          <t>https://docs.google.com/spreadsheets/d/1ZiCGoPjLCjuYvujDTXK9Ixbth3tekiLtFBzBrGjPCr4/edit?gid=0#gid=0</t>
        </is>
      </c>
      <c r="J446" s="67" t="inlineStr">
        <is>
          <t>Taxa de Cancelamento - [TXC]</t>
        </is>
      </c>
      <c r="K446" s="67" t="inlineStr"/>
      <c r="L446" s="68" t="b">
        <v>0</v>
      </c>
      <c r="M446" s="20" t="n"/>
      <c r="N446" s="69">
        <f>IF($J446="","",IFERROR(INDEX(B!$F$2:$F$61,MATCH($J446,B!$E$2:$E$61,0))&amp;"",""))</f>
        <v/>
      </c>
      <c r="O446" s="69">
        <f>IF($J446="","",IFERROR(INDEX(B!$G$2:$G$61,MATCH($J446,B!$E$2:$E$61,0))&amp;"",""))</f>
        <v/>
      </c>
      <c r="P446" s="69">
        <f>IF($J446="","",IFERROR(INDEX(B!$H$2:$H$61,MATCH($J446,B!$E$2:$E$61,0))&amp;"",""))</f>
        <v/>
      </c>
      <c r="Q446" s="69">
        <f>IF($J446="","",IFERROR(INDEX(B!$I$2:$I$61,MATCH($J446,B!$E$2:$E$61,0))&amp;"",""))</f>
        <v/>
      </c>
      <c r="R446" s="69">
        <f>IF($J446="","",IFERROR(INDEX(B!$J$2:$J$61,MATCH($J446,B!$E$2:$E$61,0))&amp;"",""))</f>
        <v/>
      </c>
      <c r="S446" s="69">
        <f>IF($J446="","",IFERROR(INDEX(B!$K$2:$K$61,MATCH($J446,B!$E$2:$E$61,0))&amp;"",""))</f>
        <v/>
      </c>
      <c r="T446" s="69">
        <f>IF($J446="","",IFERROR(INDEX(B!$L$2:$L$61,MATCH($J446,B!$E$2:$E$61,0))&amp;"",""))</f>
        <v/>
      </c>
      <c r="U446" s="20" t="n"/>
      <c r="V446" s="70">
        <f>IF($J446="","",IFERROR(INDEX(B!$M$2:$M$61,MATCH($J446,B!$E$2:$E$61,0))&amp;"",""))</f>
        <v/>
      </c>
      <c r="W446" s="71">
        <f>IF(I446="","",IFERROR(MID(I446,FIND("/d/",I446)+3,FIND("/edit",I446)-FIND("/d/",I446)-3),I446))</f>
        <v/>
      </c>
      <c r="X446" s="71">
        <f>IF($J446="","",IFERROR(INDEX(B!$C$2:$C$61,MATCH($J446,B!$E$2:$E$61,0))&amp;"",""))</f>
        <v/>
      </c>
      <c r="Y446" s="20" t="n"/>
      <c r="Z446" s="72">
        <f>IF($J446="",FALSE,ISNUMBER(SEARCH("scout",$K446)))</f>
        <v/>
      </c>
      <c r="AA446" s="72">
        <f>IF($J446="",FALSE,IFERROR(INDEX(B!$N$2:$N$61,MATCH($J446,B!$E$2:$E$61,0))="Sim",FALSE))</f>
        <v/>
      </c>
      <c r="AB446" s="72">
        <f>IF($J446="",FALSE,LEFT($X446,2)="XX")</f>
        <v/>
      </c>
      <c r="AC446" s="72">
        <f>IF($J446="",FALSE,IFERROR(INDEX(B!$P$2:$P$61,MATCH($J446,B!$E$2:$E$61,0))="Sim",FALSE))</f>
        <v/>
      </c>
      <c r="AD446" s="20" t="n"/>
      <c r="AE446" s="52">
        <f>IF(H446="","",HOUR(H446))</f>
        <v/>
      </c>
      <c r="AF446" s="52" t="n"/>
    </row>
    <row r="447" ht="19.5" customHeight="1" s="58">
      <c r="A447" s="62">
        <f>IF(G447="","",IF(G447=G446,"",COUNTIF($G$3:$G$976,G447)))</f>
        <v/>
      </c>
      <c r="B447" s="20" t="n"/>
      <c r="C447" s="63">
        <f>IF(G447="","",DAY(G447))</f>
        <v/>
      </c>
      <c r="D447" s="63">
        <f>IF(G447="","",MONTH(G447))</f>
        <v/>
      </c>
      <c r="E447" s="63">
        <f>IF(G447="","",YEAR(G447))</f>
        <v/>
      </c>
      <c r="F447" s="33">
        <f>IF(G447="","",CHOOSE(MONTH(G447),"Janeiro","Fevereiro","Março","Abril","Maio","Junho","Julho","Agosto","Setembro","Outubro","Novembro","Dezembro"))</f>
        <v/>
      </c>
      <c r="G447" s="64" t="n">
        <v>46067</v>
      </c>
      <c r="H447" s="65" t="n">
        <v>0.02502314814814815</v>
      </c>
      <c r="I447" s="66" t="inlineStr">
        <is>
          <t>https://docs.google.com/spreadsheets/d/1ZiCGoPjLCjuYvujDTXK9Ixbth3tekiLtFBzBrGjPCr4/edit?gid=0#gid=0</t>
        </is>
      </c>
      <c r="J447" s="67" t="inlineStr">
        <is>
          <t>Comprovante de Pagamento - [CP]</t>
        </is>
      </c>
      <c r="K447" s="67" t="inlineStr"/>
      <c r="L447" s="68" t="b">
        <v>0</v>
      </c>
      <c r="M447" s="20" t="n"/>
      <c r="N447" s="69">
        <f>IF($J447="","",IFERROR(INDEX(B!$F$2:$F$61,MATCH($J447,B!$E$2:$E$61,0))&amp;"",""))</f>
        <v/>
      </c>
      <c r="O447" s="69">
        <f>IF($J447="","",IFERROR(INDEX(B!$G$2:$G$61,MATCH($J447,B!$E$2:$E$61,0))&amp;"",""))</f>
        <v/>
      </c>
      <c r="P447" s="69">
        <f>IF($J447="","",IFERROR(INDEX(B!$H$2:$H$61,MATCH($J447,B!$E$2:$E$61,0))&amp;"",""))</f>
        <v/>
      </c>
      <c r="Q447" s="69">
        <f>IF($J447="","",IFERROR(INDEX(B!$I$2:$I$61,MATCH($J447,B!$E$2:$E$61,0))&amp;"",""))</f>
        <v/>
      </c>
      <c r="R447" s="69">
        <f>IF($J447="","",IFERROR(INDEX(B!$J$2:$J$61,MATCH($J447,B!$E$2:$E$61,0))&amp;"",""))</f>
        <v/>
      </c>
      <c r="S447" s="69">
        <f>IF($J447="","",IFERROR(INDEX(B!$K$2:$K$61,MATCH($J447,B!$E$2:$E$61,0))&amp;"",""))</f>
        <v/>
      </c>
      <c r="T447" s="69">
        <f>IF($J447="","",IFERROR(INDEX(B!$L$2:$L$61,MATCH($J447,B!$E$2:$E$61,0))&amp;"",""))</f>
        <v/>
      </c>
      <c r="U447" s="20" t="n"/>
      <c r="V447" s="70">
        <f>IF($J447="","",IFERROR(INDEX(B!$M$2:$M$61,MATCH($J447,B!$E$2:$E$61,0))&amp;"",""))</f>
        <v/>
      </c>
      <c r="W447" s="71">
        <f>IF(I447="","",IFERROR(MID(I447,FIND("/d/",I447)+3,FIND("/edit",I447)-FIND("/d/",I447)-3),I447))</f>
        <v/>
      </c>
      <c r="X447" s="71">
        <f>IF($J447="","",IFERROR(INDEX(B!$C$2:$C$61,MATCH($J447,B!$E$2:$E$61,0))&amp;"",""))</f>
        <v/>
      </c>
      <c r="Y447" s="20" t="n"/>
      <c r="Z447" s="72">
        <f>IF($J447="",FALSE,ISNUMBER(SEARCH("scout",$K447)))</f>
        <v/>
      </c>
      <c r="AA447" s="72">
        <f>IF($J447="",FALSE,IFERROR(INDEX(B!$N$2:$N$61,MATCH($J447,B!$E$2:$E$61,0))="Sim",FALSE))</f>
        <v/>
      </c>
      <c r="AB447" s="72">
        <f>IF($J447="",FALSE,LEFT($X447,2)="XX")</f>
        <v/>
      </c>
      <c r="AC447" s="72">
        <f>IF($J447="",FALSE,IFERROR(INDEX(B!$P$2:$P$61,MATCH($J447,B!$E$2:$E$61,0))="Sim",FALSE))</f>
        <v/>
      </c>
      <c r="AD447" s="20" t="n"/>
      <c r="AE447" s="52">
        <f>IF(H447="","",HOUR(H447))</f>
        <v/>
      </c>
      <c r="AF447" s="52" t="n"/>
    </row>
    <row r="448" ht="19.5" customHeight="1" s="58">
      <c r="A448" s="62">
        <f>IF(G448="","",IF(G448=G447,"",COUNTIF($G$3:$G$976,G448)))</f>
        <v/>
      </c>
      <c r="B448" s="20" t="n"/>
      <c r="C448" s="63">
        <f>IF(G448="","",DAY(G448))</f>
        <v/>
      </c>
      <c r="D448" s="63">
        <f>IF(G448="","",MONTH(G448))</f>
        <v/>
      </c>
      <c r="E448" s="63">
        <f>IF(G448="","",YEAR(G448))</f>
        <v/>
      </c>
      <c r="F448" s="33">
        <f>IF(G448="","",CHOOSE(MONTH(G448),"Janeiro","Fevereiro","Março","Abril","Maio","Junho","Julho","Agosto","Setembro","Outubro","Novembro","Dezembro"))</f>
        <v/>
      </c>
      <c r="G448" s="64" t="n">
        <v>46067</v>
      </c>
      <c r="H448" s="65" t="n">
        <v>0.0253587962962963</v>
      </c>
      <c r="I448" s="66" t="inlineStr">
        <is>
          <t>https://docs.google.com/spreadsheets/d/1ZiCGoPjLCjuYvujDTXK9Ixbth3tekiLtFBzBrGjPCr4/edit?gid=0#gid=0</t>
        </is>
      </c>
      <c r="J448" s="67" t="inlineStr">
        <is>
          <t>Overpaid, Excede o limite, Sem comprovante - [OPEN]</t>
        </is>
      </c>
      <c r="K448" s="67" t="inlineStr"/>
      <c r="L448" s="68" t="b">
        <v>0</v>
      </c>
      <c r="M448" s="20" t="n"/>
      <c r="N448" s="69">
        <f>IF($J448="","",IFERROR(INDEX(B!$F$2:$F$61,MATCH($J448,B!$E$2:$E$61,0))&amp;"",""))</f>
        <v/>
      </c>
      <c r="O448" s="69">
        <f>IF($J448="","",IFERROR(INDEX(B!$G$2:$G$61,MATCH($J448,B!$E$2:$E$61,0))&amp;"",""))</f>
        <v/>
      </c>
      <c r="P448" s="69">
        <f>IF($J448="","",IFERROR(INDEX(B!$H$2:$H$61,MATCH($J448,B!$E$2:$E$61,0))&amp;"",""))</f>
        <v/>
      </c>
      <c r="Q448" s="69">
        <f>IF($J448="","",IFERROR(INDEX(B!$I$2:$I$61,MATCH($J448,B!$E$2:$E$61,0))&amp;"",""))</f>
        <v/>
      </c>
      <c r="R448" s="69">
        <f>IF($J448="","",IFERROR(INDEX(B!$J$2:$J$61,MATCH($J448,B!$E$2:$E$61,0))&amp;"",""))</f>
        <v/>
      </c>
      <c r="S448" s="69">
        <f>IF($J448="","",IFERROR(INDEX(B!$K$2:$K$61,MATCH($J448,B!$E$2:$E$61,0))&amp;"",""))</f>
        <v/>
      </c>
      <c r="T448" s="69">
        <f>IF($J448="","",IFERROR(INDEX(B!$L$2:$L$61,MATCH($J448,B!$E$2:$E$61,0))&amp;"",""))</f>
        <v/>
      </c>
      <c r="U448" s="20" t="n"/>
      <c r="V448" s="70">
        <f>IF($J448="","",IFERROR(INDEX(B!$M$2:$M$61,MATCH($J448,B!$E$2:$E$61,0))&amp;"",""))</f>
        <v/>
      </c>
      <c r="W448" s="71">
        <f>IF(I448="","",IFERROR(MID(I448,FIND("/d/",I448)+3,FIND("/edit",I448)-FIND("/d/",I448)-3),I448))</f>
        <v/>
      </c>
      <c r="X448" s="71">
        <f>IF($J448="","",IFERROR(INDEX(B!$C$2:$C$61,MATCH($J448,B!$E$2:$E$61,0))&amp;"",""))</f>
        <v/>
      </c>
      <c r="Y448" s="20" t="n"/>
      <c r="Z448" s="72">
        <f>IF($J448="",FALSE,ISNUMBER(SEARCH("scout",$K448)))</f>
        <v/>
      </c>
      <c r="AA448" s="72">
        <f>IF($J448="",FALSE,IFERROR(INDEX(B!$N$2:$N$61,MATCH($J448,B!$E$2:$E$61,0))="Sim",FALSE))</f>
        <v/>
      </c>
      <c r="AB448" s="72">
        <f>IF($J448="",FALSE,LEFT($X448,2)="XX")</f>
        <v/>
      </c>
      <c r="AC448" s="72">
        <f>IF($J448="",FALSE,IFERROR(INDEX(B!$P$2:$P$61,MATCH($J448,B!$E$2:$E$61,0))="Sim",FALSE))</f>
        <v/>
      </c>
      <c r="AD448" s="20" t="n"/>
      <c r="AE448" s="52">
        <f>IF(H448="","",HOUR(H448))</f>
        <v/>
      </c>
      <c r="AF448" s="52" t="n"/>
    </row>
    <row r="449" ht="19.5" customHeight="1" s="58">
      <c r="A449" s="62">
        <f>IF(G449="","",IF(G449=G448,"",COUNTIF($G$3:$G$976,G449)))</f>
        <v/>
      </c>
      <c r="B449" s="20" t="n"/>
      <c r="C449" s="63">
        <f>IF(G449="","",DAY(G449))</f>
        <v/>
      </c>
      <c r="D449" s="63">
        <f>IF(G449="","",MONTH(G449))</f>
        <v/>
      </c>
      <c r="E449" s="63">
        <f>IF(G449="","",YEAR(G449))</f>
        <v/>
      </c>
      <c r="F449" s="33">
        <f>IF(G449="","",CHOOSE(MONTH(G449),"Janeiro","Fevereiro","Março","Abril","Maio","Junho","Julho","Agosto","Setembro","Outubro","Novembro","Dezembro"))</f>
        <v/>
      </c>
      <c r="G449" s="64" t="n">
        <v>46067</v>
      </c>
      <c r="H449" s="65" t="n">
        <v>0.036875</v>
      </c>
      <c r="I449" s="66" t="inlineStr">
        <is>
          <t>https://docs.google.com/spreadsheets/d/1ZiCGoPjLCjuYvujDTXK9Ixbth3tekiLtFBzBrGjPCr4/edit?gid=0#gid=0</t>
        </is>
      </c>
      <c r="J449" s="67" t="inlineStr">
        <is>
          <t>Overpaid, Excede o limite Com comprovante - [OPEC]</t>
        </is>
      </c>
      <c r="K449" s="67" t="inlineStr"/>
      <c r="L449" s="68" t="b">
        <v>0</v>
      </c>
      <c r="M449" s="20" t="n"/>
      <c r="N449" s="69">
        <f>IF($J449="","",IFERROR(INDEX(B!$F$2:$F$61,MATCH($J449,B!$E$2:$E$61,0))&amp;"",""))</f>
        <v/>
      </c>
      <c r="O449" s="69">
        <f>IF($J449="","",IFERROR(INDEX(B!$G$2:$G$61,MATCH($J449,B!$E$2:$E$61,0))&amp;"",""))</f>
        <v/>
      </c>
      <c r="P449" s="69">
        <f>IF($J449="","",IFERROR(INDEX(B!$H$2:$H$61,MATCH($J449,B!$E$2:$E$61,0))&amp;"",""))</f>
        <v/>
      </c>
      <c r="Q449" s="69">
        <f>IF($J449="","",IFERROR(INDEX(B!$I$2:$I$61,MATCH($J449,B!$E$2:$E$61,0))&amp;"",""))</f>
        <v/>
      </c>
      <c r="R449" s="69">
        <f>IF($J449="","",IFERROR(INDEX(B!$J$2:$J$61,MATCH($J449,B!$E$2:$E$61,0))&amp;"",""))</f>
        <v/>
      </c>
      <c r="S449" s="69">
        <f>IF($J449="","",IFERROR(INDEX(B!$K$2:$K$61,MATCH($J449,B!$E$2:$E$61,0))&amp;"",""))</f>
        <v/>
      </c>
      <c r="T449" s="69">
        <f>IF($J449="","",IFERROR(INDEX(B!$L$2:$L$61,MATCH($J449,B!$E$2:$E$61,0))&amp;"",""))</f>
        <v/>
      </c>
      <c r="U449" s="20" t="n"/>
      <c r="V449" s="70">
        <f>IF($J449="","",IFERROR(INDEX(B!$M$2:$M$61,MATCH($J449,B!$E$2:$E$61,0))&amp;"",""))</f>
        <v/>
      </c>
      <c r="W449" s="71">
        <f>IF(I449="","",IFERROR(MID(I449,FIND("/d/",I449)+3,FIND("/edit",I449)-FIND("/d/",I449)-3),I449))</f>
        <v/>
      </c>
      <c r="X449" s="71">
        <f>IF($J449="","",IFERROR(INDEX(B!$C$2:$C$61,MATCH($J449,B!$E$2:$E$61,0))&amp;"",""))</f>
        <v/>
      </c>
      <c r="Y449" s="20" t="n"/>
      <c r="Z449" s="72">
        <f>IF($J449="",FALSE,ISNUMBER(SEARCH("scout",$K449)))</f>
        <v/>
      </c>
      <c r="AA449" s="72">
        <f>IF($J449="",FALSE,IFERROR(INDEX(B!$N$2:$N$61,MATCH($J449,B!$E$2:$E$61,0))="Sim",FALSE))</f>
        <v/>
      </c>
      <c r="AB449" s="72">
        <f>IF($J449="",FALSE,LEFT($X449,2)="XX")</f>
        <v/>
      </c>
      <c r="AC449" s="72">
        <f>IF($J449="",FALSE,IFERROR(INDEX(B!$P$2:$P$61,MATCH($J449,B!$E$2:$E$61,0))="Sim",FALSE))</f>
        <v/>
      </c>
      <c r="AD449" s="20" t="n"/>
      <c r="AE449" s="52">
        <f>IF(H449="","",HOUR(H449))</f>
        <v/>
      </c>
      <c r="AF449" s="52" t="n"/>
    </row>
    <row r="450" ht="19.5" customHeight="1" s="58">
      <c r="A450" s="62">
        <f>IF(G450="","",IF(G450=G449,"",COUNTIF($G$3:$G$976,G450)))</f>
        <v/>
      </c>
      <c r="B450" s="20" t="n"/>
      <c r="C450" s="63">
        <f>IF(G450="","",DAY(G450))</f>
        <v/>
      </c>
      <c r="D450" s="63">
        <f>IF(G450="","",MONTH(G450))</f>
        <v/>
      </c>
      <c r="E450" s="63">
        <f>IF(G450="","",YEAR(G450))</f>
        <v/>
      </c>
      <c r="F450" s="33">
        <f>IF(G450="","",CHOOSE(MONTH(G450),"Janeiro","Fevereiro","Março","Abril","Maio","Junho","Julho","Agosto","Setembro","Outubro","Novembro","Dezembro"))</f>
        <v/>
      </c>
      <c r="G450" s="64" t="n">
        <v>46067</v>
      </c>
      <c r="H450" s="65" t="n">
        <v>0.03881944444444444</v>
      </c>
      <c r="I450" s="66" t="inlineStr">
        <is>
          <t>https://docs.google.com/spreadsheets/d/1ZiCGoPjLCjuYvujDTXK9Ixbth3tekiLtFBzBrGjPCr4/edit?gid=0#gid=0</t>
        </is>
      </c>
      <c r="J450" s="67" t="inlineStr">
        <is>
          <t>Trajeto Ruim - [TR]</t>
        </is>
      </c>
      <c r="K450" s="67" t="inlineStr"/>
      <c r="L450" s="68" t="b">
        <v>0</v>
      </c>
      <c r="M450" s="20" t="n"/>
      <c r="N450" s="69">
        <f>IF($J450="","",IFERROR(INDEX(B!$F$2:$F$61,MATCH($J450,B!$E$2:$E$61,0))&amp;"",""))</f>
        <v/>
      </c>
      <c r="O450" s="69">
        <f>IF($J450="","",IFERROR(INDEX(B!$G$2:$G$61,MATCH($J450,B!$E$2:$E$61,0))&amp;"",""))</f>
        <v/>
      </c>
      <c r="P450" s="69">
        <f>IF($J450="","",IFERROR(INDEX(B!$H$2:$H$61,MATCH($J450,B!$E$2:$E$61,0))&amp;"",""))</f>
        <v/>
      </c>
      <c r="Q450" s="69">
        <f>IF($J450="","",IFERROR(INDEX(B!$I$2:$I$61,MATCH($J450,B!$E$2:$E$61,0))&amp;"",""))</f>
        <v/>
      </c>
      <c r="R450" s="69">
        <f>IF($J450="","",IFERROR(INDEX(B!$J$2:$J$61,MATCH($J450,B!$E$2:$E$61,0))&amp;"",""))</f>
        <v/>
      </c>
      <c r="S450" s="69">
        <f>IF($J450="","",IFERROR(INDEX(B!$K$2:$K$61,MATCH($J450,B!$E$2:$E$61,0))&amp;"",""))</f>
        <v/>
      </c>
      <c r="T450" s="69">
        <f>IF($J450="","",IFERROR(INDEX(B!$L$2:$L$61,MATCH($J450,B!$E$2:$E$61,0))&amp;"",""))</f>
        <v/>
      </c>
      <c r="U450" s="20" t="n"/>
      <c r="V450" s="70">
        <f>IF($J450="","",IFERROR(INDEX(B!$M$2:$M$61,MATCH($J450,B!$E$2:$E$61,0))&amp;"",""))</f>
        <v/>
      </c>
      <c r="W450" s="71">
        <f>IF(I450="","",IFERROR(MID(I450,FIND("/d/",I450)+3,FIND("/edit",I450)-FIND("/d/",I450)-3),I450))</f>
        <v/>
      </c>
      <c r="X450" s="71">
        <f>IF($J450="","",IFERROR(INDEX(B!$C$2:$C$61,MATCH($J450,B!$E$2:$E$61,0))&amp;"",""))</f>
        <v/>
      </c>
      <c r="Y450" s="20" t="n"/>
      <c r="Z450" s="72">
        <f>IF($J450="",FALSE,ISNUMBER(SEARCH("scout",$K450)))</f>
        <v/>
      </c>
      <c r="AA450" s="72">
        <f>IF($J450="",FALSE,IFERROR(INDEX(B!$N$2:$N$61,MATCH($J450,B!$E$2:$E$61,0))="Sim",FALSE))</f>
        <v/>
      </c>
      <c r="AB450" s="72">
        <f>IF($J450="",FALSE,LEFT($X450,2)="XX")</f>
        <v/>
      </c>
      <c r="AC450" s="72">
        <f>IF($J450="",FALSE,IFERROR(INDEX(B!$P$2:$P$61,MATCH($J450,B!$E$2:$E$61,0))="Sim",FALSE))</f>
        <v/>
      </c>
      <c r="AD450" s="20" t="n"/>
      <c r="AE450" s="52">
        <f>IF(H450="","",HOUR(H450))</f>
        <v/>
      </c>
      <c r="AF450" s="52" t="n"/>
    </row>
    <row r="451" ht="19.5" customHeight="1" s="58">
      <c r="A451" s="62">
        <f>IF(G451="","",IF(G451=G450,"",COUNTIF($G$3:$G$976,G451)))</f>
        <v/>
      </c>
      <c r="B451" s="20" t="n"/>
      <c r="C451" s="63">
        <f>IF(G451="","",DAY(G451))</f>
        <v/>
      </c>
      <c r="D451" s="63">
        <f>IF(G451="","",MONTH(G451))</f>
        <v/>
      </c>
      <c r="E451" s="63">
        <f>IF(G451="","",YEAR(G451))</f>
        <v/>
      </c>
      <c r="F451" s="33">
        <f>IF(G451="","",CHOOSE(MONTH(G451),"Janeiro","Fevereiro","Março","Abril","Maio","Junho","Julho","Agosto","Setembro","Outubro","Novembro","Dezembro"))</f>
        <v/>
      </c>
      <c r="G451" s="64" t="n">
        <v>46068</v>
      </c>
      <c r="H451" s="65" t="n">
        <v>0.002974537037037037</v>
      </c>
      <c r="I451" s="66" t="inlineStr">
        <is>
          <t>https://docs.google.com/spreadsheets/d/1ZiCGoPjLCjuYvujDTXK9Ixbth3tekiLtFBzBrGjPCr4/edit?gid=0#gid=0</t>
        </is>
      </c>
      <c r="J451" s="67" t="inlineStr">
        <is>
          <t>Taxa de Cancelamento - [TXC]</t>
        </is>
      </c>
      <c r="K451" s="67" t="inlineStr"/>
      <c r="L451" s="68" t="b">
        <v>0</v>
      </c>
      <c r="M451" s="20" t="n"/>
      <c r="N451" s="69">
        <f>IF($J451="","",IFERROR(INDEX(B!$F$2:$F$61,MATCH($J451,B!$E$2:$E$61,0))&amp;"",""))</f>
        <v/>
      </c>
      <c r="O451" s="69">
        <f>IF($J451="","",IFERROR(INDEX(B!$G$2:$G$61,MATCH($J451,B!$E$2:$E$61,0))&amp;"",""))</f>
        <v/>
      </c>
      <c r="P451" s="69">
        <f>IF($J451="","",IFERROR(INDEX(B!$H$2:$H$61,MATCH($J451,B!$E$2:$E$61,0))&amp;"",""))</f>
        <v/>
      </c>
      <c r="Q451" s="69">
        <f>IF($J451="","",IFERROR(INDEX(B!$I$2:$I$61,MATCH($J451,B!$E$2:$E$61,0))&amp;"",""))</f>
        <v/>
      </c>
      <c r="R451" s="69">
        <f>IF($J451="","",IFERROR(INDEX(B!$J$2:$J$61,MATCH($J451,B!$E$2:$E$61,0))&amp;"",""))</f>
        <v/>
      </c>
      <c r="S451" s="69">
        <f>IF($J451="","",IFERROR(INDEX(B!$K$2:$K$61,MATCH($J451,B!$E$2:$E$61,0))&amp;"",""))</f>
        <v/>
      </c>
      <c r="T451" s="69">
        <f>IF($J451="","",IFERROR(INDEX(B!$L$2:$L$61,MATCH($J451,B!$E$2:$E$61,0))&amp;"",""))</f>
        <v/>
      </c>
      <c r="U451" s="20" t="n"/>
      <c r="V451" s="70">
        <f>IF($J451="","",IFERROR(INDEX(B!$M$2:$M$61,MATCH($J451,B!$E$2:$E$61,0))&amp;"",""))</f>
        <v/>
      </c>
      <c r="W451" s="71">
        <f>IF(I451="","",IFERROR(MID(I451,FIND("/d/",I451)+3,FIND("/edit",I451)-FIND("/d/",I451)-3),I451))</f>
        <v/>
      </c>
      <c r="X451" s="71">
        <f>IF($J451="","",IFERROR(INDEX(B!$C$2:$C$61,MATCH($J451,B!$E$2:$E$61,0))&amp;"",""))</f>
        <v/>
      </c>
      <c r="Y451" s="20" t="n"/>
      <c r="Z451" s="72">
        <f>IF($J451="",FALSE,ISNUMBER(SEARCH("scout",$K451)))</f>
        <v/>
      </c>
      <c r="AA451" s="72">
        <f>IF($J451="",FALSE,IFERROR(INDEX(B!$N$2:$N$61,MATCH($J451,B!$E$2:$E$61,0))="Sim",FALSE))</f>
        <v/>
      </c>
      <c r="AB451" s="72">
        <f>IF($J451="",FALSE,LEFT($X451,2)="XX")</f>
        <v/>
      </c>
      <c r="AC451" s="72">
        <f>IF($J451="",FALSE,IFERROR(INDEX(B!$P$2:$P$61,MATCH($J451,B!$E$2:$E$61,0))="Sim",FALSE))</f>
        <v/>
      </c>
      <c r="AD451" s="20" t="n"/>
      <c r="AE451" s="52">
        <f>IF(H451="","",HOUR(H451))</f>
        <v/>
      </c>
      <c r="AF451" s="52" t="n"/>
    </row>
    <row r="452" ht="19.5" customHeight="1" s="58">
      <c r="A452" s="62">
        <f>IF(G452="","",IF(G452=G451,"",COUNTIF($G$3:$G$976,G452)))</f>
        <v/>
      </c>
      <c r="B452" s="20" t="n"/>
      <c r="C452" s="63">
        <f>IF(G452="","",DAY(G452))</f>
        <v/>
      </c>
      <c r="D452" s="63">
        <f>IF(G452="","",MONTH(G452))</f>
        <v/>
      </c>
      <c r="E452" s="63">
        <f>IF(G452="","",YEAR(G452))</f>
        <v/>
      </c>
      <c r="F452" s="33">
        <f>IF(G452="","",CHOOSE(MONTH(G452),"Janeiro","Fevereiro","Março","Abril","Maio","Junho","Julho","Agosto","Setembro","Outubro","Novembro","Dezembro"))</f>
        <v/>
      </c>
      <c r="G452" s="64" t="n">
        <v>46068</v>
      </c>
      <c r="H452" s="65" t="n">
        <v>0.01042824074074074</v>
      </c>
      <c r="I452" s="66" t="inlineStr">
        <is>
          <t>https://docs.google.com/spreadsheets/d/1ZiCGoPjLCjuYvujDTXK9Ixbth3tekiLtFBzBrGjPCr4/edit?gid=0#gid=0</t>
        </is>
      </c>
      <c r="J452" s="67" t="inlineStr">
        <is>
          <t>Pushback - [XX]</t>
        </is>
      </c>
      <c r="K452" s="67" t="inlineStr"/>
      <c r="L452" s="68" t="b">
        <v>0</v>
      </c>
      <c r="M452" s="20" t="n"/>
      <c r="N452" s="69">
        <f>IF($J452="","",IFERROR(INDEX(B!$F$2:$F$61,MATCH($J452,B!$E$2:$E$61,0))&amp;"",""))</f>
        <v/>
      </c>
      <c r="O452" s="69">
        <f>IF($J452="","",IFERROR(INDEX(B!$G$2:$G$61,MATCH($J452,B!$E$2:$E$61,0))&amp;"",""))</f>
        <v/>
      </c>
      <c r="P452" s="69">
        <f>IF($J452="","",IFERROR(INDEX(B!$H$2:$H$61,MATCH($J452,B!$E$2:$E$61,0))&amp;"",""))</f>
        <v/>
      </c>
      <c r="Q452" s="69">
        <f>IF($J452="","",IFERROR(INDEX(B!$I$2:$I$61,MATCH($J452,B!$E$2:$E$61,0))&amp;"",""))</f>
        <v/>
      </c>
      <c r="R452" s="69">
        <f>IF($J452="","",IFERROR(INDEX(B!$J$2:$J$61,MATCH($J452,B!$E$2:$E$61,0))&amp;"",""))</f>
        <v/>
      </c>
      <c r="S452" s="69">
        <f>IF($J452="","",IFERROR(INDEX(B!$K$2:$K$61,MATCH($J452,B!$E$2:$E$61,0))&amp;"",""))</f>
        <v/>
      </c>
      <c r="T452" s="69">
        <f>IF($J452="","",IFERROR(INDEX(B!$L$2:$L$61,MATCH($J452,B!$E$2:$E$61,0))&amp;"",""))</f>
        <v/>
      </c>
      <c r="U452" s="20" t="n"/>
      <c r="V452" s="70">
        <f>IF($J452="","",IFERROR(INDEX(B!$M$2:$M$61,MATCH($J452,B!$E$2:$E$61,0))&amp;"",""))</f>
        <v/>
      </c>
      <c r="W452" s="71">
        <f>IF(I452="","",IFERROR(MID(I452,FIND("/d/",I452)+3,FIND("/edit",I452)-FIND("/d/",I452)-3),I452))</f>
        <v/>
      </c>
      <c r="X452" s="71">
        <f>IF($J452="","",IFERROR(INDEX(B!$C$2:$C$61,MATCH($J452,B!$E$2:$E$61,0))&amp;"",""))</f>
        <v/>
      </c>
      <c r="Y452" s="20" t="n"/>
      <c r="Z452" s="72">
        <f>IF($J452="",FALSE,ISNUMBER(SEARCH("scout",$K452)))</f>
        <v/>
      </c>
      <c r="AA452" s="72">
        <f>IF($J452="",FALSE,IFERROR(INDEX(B!$N$2:$N$61,MATCH($J452,B!$E$2:$E$61,0))="Sim",FALSE))</f>
        <v/>
      </c>
      <c r="AB452" s="72">
        <f>IF($J452="",FALSE,LEFT($X452,2)="XX")</f>
        <v/>
      </c>
      <c r="AC452" s="72">
        <f>IF($J452="",FALSE,IFERROR(INDEX(B!$P$2:$P$61,MATCH($J452,B!$E$2:$E$61,0))="Sim",FALSE))</f>
        <v/>
      </c>
      <c r="AD452" s="20" t="n"/>
      <c r="AE452" s="52">
        <f>IF(H452="","",HOUR(H452))</f>
        <v/>
      </c>
      <c r="AF452" s="52" t="n"/>
    </row>
    <row r="453" ht="19.5" customHeight="1" s="58">
      <c r="A453" s="62">
        <f>IF(G453="","",IF(G453=G452,"",COUNTIF($G$3:$G$976,G453)))</f>
        <v/>
      </c>
      <c r="B453" s="20" t="n"/>
      <c r="C453" s="63">
        <f>IF(G453="","",DAY(G453))</f>
        <v/>
      </c>
      <c r="D453" s="63">
        <f>IF(G453="","",MONTH(G453))</f>
        <v/>
      </c>
      <c r="E453" s="63">
        <f>IF(G453="","",YEAR(G453))</f>
        <v/>
      </c>
      <c r="F453" s="33">
        <f>IF(G453="","",CHOOSE(MONTH(G453),"Janeiro","Fevereiro","Março","Abril","Maio","Junho","Julho","Agosto","Setembro","Outubro","Novembro","Dezembro"))</f>
        <v/>
      </c>
      <c r="G453" s="64" t="n">
        <v>46068</v>
      </c>
      <c r="H453" s="65" t="n">
        <v>0.01289351851851852</v>
      </c>
      <c r="I453" s="66" t="inlineStr">
        <is>
          <t>https://docs.google.com/spreadsheets/d/1ZiCGoPjLCjuYvujDTXK9Ixbth3tekiLtFBzBrGjPCr4/edit?gid=0#gid=0</t>
        </is>
      </c>
      <c r="J453" s="67" t="inlineStr">
        <is>
          <t>Pushback (Agradecimento) - [XXA]</t>
        </is>
      </c>
      <c r="K453" s="67" t="inlineStr"/>
      <c r="L453" s="68" t="b">
        <v>0</v>
      </c>
      <c r="M453" s="20" t="n"/>
      <c r="N453" s="69">
        <f>IF($J453="","",IFERROR(INDEX(B!$F$2:$F$61,MATCH($J453,B!$E$2:$E$61,0))&amp;"",""))</f>
        <v/>
      </c>
      <c r="O453" s="69">
        <f>IF($J453="","",IFERROR(INDEX(B!$G$2:$G$61,MATCH($J453,B!$E$2:$E$61,0))&amp;"",""))</f>
        <v/>
      </c>
      <c r="P453" s="69">
        <f>IF($J453="","",IFERROR(INDEX(B!$H$2:$H$61,MATCH($J453,B!$E$2:$E$61,0))&amp;"",""))</f>
        <v/>
      </c>
      <c r="Q453" s="69">
        <f>IF($J453="","",IFERROR(INDEX(B!$I$2:$I$61,MATCH($J453,B!$E$2:$E$61,0))&amp;"",""))</f>
        <v/>
      </c>
      <c r="R453" s="69">
        <f>IF($J453="","",IFERROR(INDEX(B!$J$2:$J$61,MATCH($J453,B!$E$2:$E$61,0))&amp;"",""))</f>
        <v/>
      </c>
      <c r="S453" s="69">
        <f>IF($J453="","",IFERROR(INDEX(B!$K$2:$K$61,MATCH($J453,B!$E$2:$E$61,0))&amp;"",""))</f>
        <v/>
      </c>
      <c r="T453" s="69">
        <f>IF($J453="","",IFERROR(INDEX(B!$L$2:$L$61,MATCH($J453,B!$E$2:$E$61,0))&amp;"",""))</f>
        <v/>
      </c>
      <c r="U453" s="20" t="n"/>
      <c r="V453" s="70">
        <f>IF($J453="","",IFERROR(INDEX(B!$M$2:$M$61,MATCH($J453,B!$E$2:$E$61,0))&amp;"",""))</f>
        <v/>
      </c>
      <c r="W453" s="71">
        <f>IF(I453="","",IFERROR(MID(I453,FIND("/d/",I453)+3,FIND("/edit",I453)-FIND("/d/",I453)-3),I453))</f>
        <v/>
      </c>
      <c r="X453" s="71">
        <f>IF($J453="","",IFERROR(INDEX(B!$C$2:$C$61,MATCH($J453,B!$E$2:$E$61,0))&amp;"",""))</f>
        <v/>
      </c>
      <c r="Y453" s="20" t="n"/>
      <c r="Z453" s="72">
        <f>IF($J453="",FALSE,ISNUMBER(SEARCH("scout",$K453)))</f>
        <v/>
      </c>
      <c r="AA453" s="72">
        <f>IF($J453="",FALSE,IFERROR(INDEX(B!$N$2:$N$61,MATCH($J453,B!$E$2:$E$61,0))="Sim",FALSE))</f>
        <v/>
      </c>
      <c r="AB453" s="72">
        <f>IF($J453="",FALSE,LEFT($X453,2)="XX")</f>
        <v/>
      </c>
      <c r="AC453" s="72">
        <f>IF($J453="",FALSE,IFERROR(INDEX(B!$P$2:$P$61,MATCH($J453,B!$E$2:$E$61,0))="Sim",FALSE))</f>
        <v/>
      </c>
      <c r="AD453" s="20" t="n"/>
      <c r="AE453" s="52">
        <f>IF(H453="","",HOUR(H453))</f>
        <v/>
      </c>
      <c r="AF453" s="52" t="n"/>
    </row>
    <row r="454" ht="19.5" customHeight="1" s="58">
      <c r="A454" s="62">
        <f>IF(G454="","",IF(G454=G453,"",COUNTIF($G$3:$G$976,G454)))</f>
        <v/>
      </c>
      <c r="B454" s="20" t="n"/>
      <c r="C454" s="63">
        <f>IF(G454="","",DAY(G454))</f>
        <v/>
      </c>
      <c r="D454" s="63">
        <f>IF(G454="","",MONTH(G454))</f>
        <v/>
      </c>
      <c r="E454" s="63">
        <f>IF(G454="","",YEAR(G454))</f>
        <v/>
      </c>
      <c r="F454" s="33">
        <f>IF(G454="","",CHOOSE(MONTH(G454),"Janeiro","Fevereiro","Março","Abril","Maio","Junho","Julho","Agosto","Setembro","Outubro","Novembro","Dezembro"))</f>
        <v/>
      </c>
      <c r="G454" s="64" t="n">
        <v>46068</v>
      </c>
      <c r="H454" s="65" t="n">
        <v>0.01324074074074074</v>
      </c>
      <c r="I454" s="66" t="inlineStr">
        <is>
          <t>https://docs.google.com/spreadsheets/d/1ZiCGoPjLCjuYvujDTXK9Ixbth3tekiLtFBzBrGjPCr4/edit?gid=0#gid=0</t>
        </is>
      </c>
      <c r="J454" s="67" t="inlineStr">
        <is>
          <t>Pushback - [XX]</t>
        </is>
      </c>
      <c r="K454" s="67" t="inlineStr">
        <is>
          <t>Scout</t>
        </is>
      </c>
      <c r="L454" s="68" t="b">
        <v>0</v>
      </c>
      <c r="M454" s="20" t="n"/>
      <c r="N454" s="69">
        <f>IF($J454="","",IFERROR(INDEX(B!$F$2:$F$61,MATCH($J454,B!$E$2:$E$61,0))&amp;"",""))</f>
        <v/>
      </c>
      <c r="O454" s="69">
        <f>IF($J454="","",IFERROR(INDEX(B!$G$2:$G$61,MATCH($J454,B!$E$2:$E$61,0))&amp;"",""))</f>
        <v/>
      </c>
      <c r="P454" s="69">
        <f>IF($J454="","",IFERROR(INDEX(B!$H$2:$H$61,MATCH($J454,B!$E$2:$E$61,0))&amp;"",""))</f>
        <v/>
      </c>
      <c r="Q454" s="69">
        <f>IF($J454="","",IFERROR(INDEX(B!$I$2:$I$61,MATCH($J454,B!$E$2:$E$61,0))&amp;"",""))</f>
        <v/>
      </c>
      <c r="R454" s="69">
        <f>IF($J454="","",IFERROR(INDEX(B!$J$2:$J$61,MATCH($J454,B!$E$2:$E$61,0))&amp;"",""))</f>
        <v/>
      </c>
      <c r="S454" s="69">
        <f>IF($J454="","",IFERROR(INDEX(B!$K$2:$K$61,MATCH($J454,B!$E$2:$E$61,0))&amp;"",""))</f>
        <v/>
      </c>
      <c r="T454" s="69">
        <f>IF($J454="","",IFERROR(INDEX(B!$L$2:$L$61,MATCH($J454,B!$E$2:$E$61,0))&amp;"",""))</f>
        <v/>
      </c>
      <c r="U454" s="20" t="n"/>
      <c r="V454" s="70">
        <f>IF($J454="","",IFERROR(INDEX(B!$M$2:$M$61,MATCH($J454,B!$E$2:$E$61,0))&amp;"",""))</f>
        <v/>
      </c>
      <c r="W454" s="71">
        <f>IF(I454="","",IFERROR(MID(I454,FIND("/d/",I454)+3,FIND("/edit",I454)-FIND("/d/",I454)-3),I454))</f>
        <v/>
      </c>
      <c r="X454" s="71">
        <f>IF($J454="","",IFERROR(INDEX(B!$C$2:$C$61,MATCH($J454,B!$E$2:$E$61,0))&amp;"",""))</f>
        <v/>
      </c>
      <c r="Y454" s="20" t="n"/>
      <c r="Z454" s="72">
        <f>IF($J454="",FALSE,ISNUMBER(SEARCH("scout",$K454)))</f>
        <v/>
      </c>
      <c r="AA454" s="72">
        <f>IF($J454="",FALSE,IFERROR(INDEX(B!$N$2:$N$61,MATCH($J454,B!$E$2:$E$61,0))="Sim",FALSE))</f>
        <v/>
      </c>
      <c r="AB454" s="72">
        <f>IF($J454="",FALSE,LEFT($X454,2)="XX")</f>
        <v/>
      </c>
      <c r="AC454" s="72">
        <f>IF($J454="",FALSE,IFERROR(INDEX(B!$P$2:$P$61,MATCH($J454,B!$E$2:$E$61,0))="Sim",FALSE))</f>
        <v/>
      </c>
      <c r="AD454" s="20" t="n"/>
      <c r="AE454" s="52">
        <f>IF(H454="","",HOUR(H454))</f>
        <v/>
      </c>
      <c r="AF454" s="52" t="n"/>
    </row>
    <row r="455" ht="19.5" customHeight="1" s="58">
      <c r="A455" s="62">
        <f>IF(G455="","",IF(G455=G454,"",COUNTIF($G$3:$G$976,G455)))</f>
        <v/>
      </c>
      <c r="B455" s="20" t="n"/>
      <c r="C455" s="63">
        <f>IF(G455="","",DAY(G455))</f>
        <v/>
      </c>
      <c r="D455" s="63">
        <f>IF(G455="","",MONTH(G455))</f>
        <v/>
      </c>
      <c r="E455" s="63">
        <f>IF(G455="","",YEAR(G455))</f>
        <v/>
      </c>
      <c r="F455" s="33">
        <f>IF(G455="","",CHOOSE(MONTH(G455),"Janeiro","Fevereiro","Março","Abril","Maio","Junho","Julho","Agosto","Setembro","Outubro","Novembro","Dezembro"))</f>
        <v/>
      </c>
      <c r="G455" s="64" t="n">
        <v>46068</v>
      </c>
      <c r="H455" s="65" t="n">
        <v>0.03621527777777778</v>
      </c>
      <c r="I455" s="66" t="inlineStr">
        <is>
          <t>https://docs.google.com/spreadsheets/d/1ZiCGoPjLCjuYvujDTXK9Ixbth3tekiLtFBzBrGjPCr4/edit?gid=0#gid=0</t>
        </is>
      </c>
      <c r="J455" s="67" t="inlineStr">
        <is>
          <t>Transferência de LOB (Geral não especificado) - [TI]</t>
        </is>
      </c>
      <c r="K455" s="67" t="inlineStr"/>
      <c r="L455" s="68" t="b">
        <v>0</v>
      </c>
      <c r="M455" s="20" t="n"/>
      <c r="N455" s="69">
        <f>IF($J455="","",IFERROR(INDEX(B!$F$2:$F$61,MATCH($J455,B!$E$2:$E$61,0))&amp;"",""))</f>
        <v/>
      </c>
      <c r="O455" s="69">
        <f>IF($J455="","",IFERROR(INDEX(B!$G$2:$G$61,MATCH($J455,B!$E$2:$E$61,0))&amp;"",""))</f>
        <v/>
      </c>
      <c r="P455" s="69">
        <f>IF($J455="","",IFERROR(INDEX(B!$H$2:$H$61,MATCH($J455,B!$E$2:$E$61,0))&amp;"",""))</f>
        <v/>
      </c>
      <c r="Q455" s="69">
        <f>IF($J455="","",IFERROR(INDEX(B!$I$2:$I$61,MATCH($J455,B!$E$2:$E$61,0))&amp;"",""))</f>
        <v/>
      </c>
      <c r="R455" s="69">
        <f>IF($J455="","",IFERROR(INDEX(B!$J$2:$J$61,MATCH($J455,B!$E$2:$E$61,0))&amp;"",""))</f>
        <v/>
      </c>
      <c r="S455" s="69">
        <f>IF($J455="","",IFERROR(INDEX(B!$K$2:$K$61,MATCH($J455,B!$E$2:$E$61,0))&amp;"",""))</f>
        <v/>
      </c>
      <c r="T455" s="69">
        <f>IF($J455="","",IFERROR(INDEX(B!$L$2:$L$61,MATCH($J455,B!$E$2:$E$61,0))&amp;"",""))</f>
        <v/>
      </c>
      <c r="U455" s="20" t="n"/>
      <c r="V455" s="70">
        <f>IF($J455="","",IFERROR(INDEX(B!$M$2:$M$61,MATCH($J455,B!$E$2:$E$61,0))&amp;"",""))</f>
        <v/>
      </c>
      <c r="W455" s="71">
        <f>IF(I455="","",IFERROR(MID(I455,FIND("/d/",I455)+3,FIND("/edit",I455)-FIND("/d/",I455)-3),I455))</f>
        <v/>
      </c>
      <c r="X455" s="71">
        <f>IF($J455="","",IFERROR(INDEX(B!$C$2:$C$61,MATCH($J455,B!$E$2:$E$61,0))&amp;"",""))</f>
        <v/>
      </c>
      <c r="Y455" s="20" t="n"/>
      <c r="Z455" s="72">
        <f>IF($J455="",FALSE,ISNUMBER(SEARCH("scout",$K455)))</f>
        <v/>
      </c>
      <c r="AA455" s="72">
        <f>IF($J455="",FALSE,IFERROR(INDEX(B!$N$2:$N$61,MATCH($J455,B!$E$2:$E$61,0))="Sim",FALSE))</f>
        <v/>
      </c>
      <c r="AB455" s="72">
        <f>IF($J455="",FALSE,LEFT($X455,2)="XX")</f>
        <v/>
      </c>
      <c r="AC455" s="72">
        <f>IF($J455="",FALSE,IFERROR(INDEX(B!$P$2:$P$61,MATCH($J455,B!$E$2:$E$61,0))="Sim",FALSE))</f>
        <v/>
      </c>
      <c r="AD455" s="20" t="n"/>
      <c r="AE455" s="52">
        <f>IF(H455="","",HOUR(H455))</f>
        <v/>
      </c>
      <c r="AF455" s="52" t="n"/>
    </row>
    <row r="456" ht="19.5" customHeight="1" s="58">
      <c r="A456" s="62">
        <f>IF(G456="","",IF(G456=G455,"",COUNTIF($G$3:$G$976,G456)))</f>
        <v/>
      </c>
      <c r="B456" s="20" t="n"/>
      <c r="C456" s="63">
        <f>IF(G456="","",DAY(G456))</f>
        <v/>
      </c>
      <c r="D456" s="63">
        <f>IF(G456="","",MONTH(G456))</f>
        <v/>
      </c>
      <c r="E456" s="63">
        <f>IF(G456="","",YEAR(G456))</f>
        <v/>
      </c>
      <c r="F456" s="33">
        <f>IF(G456="","",CHOOSE(MONTH(G456),"Janeiro","Fevereiro","Março","Abril","Maio","Junho","Julho","Agosto","Setembro","Outubro","Novembro","Dezembro"))</f>
        <v/>
      </c>
      <c r="G456" s="64" t="n">
        <v>46068</v>
      </c>
      <c r="H456" s="65" t="n">
        <v>0.03923611111111111</v>
      </c>
      <c r="I456" s="66" t="inlineStr">
        <is>
          <t>https://docs.google.com/spreadsheets/d/1ZiCGoPjLCjuYvujDTXK9Ixbth3tekiLtFBzBrGjPCr4/edit?gid=0#gid=0</t>
        </is>
      </c>
      <c r="J456" s="67" t="inlineStr">
        <is>
          <t>Mais informações (Quanto Pagou?) - [AAV]</t>
        </is>
      </c>
      <c r="K456" s="67" t="inlineStr"/>
      <c r="L456" s="68" t="b">
        <v>0</v>
      </c>
      <c r="M456" s="20" t="n"/>
      <c r="N456" s="69">
        <f>IF($J456="","",IFERROR(INDEX(B!$F$2:$F$61,MATCH($J456,B!$E$2:$E$61,0))&amp;"",""))</f>
        <v/>
      </c>
      <c r="O456" s="69">
        <f>IF($J456="","",IFERROR(INDEX(B!$G$2:$G$61,MATCH($J456,B!$E$2:$E$61,0))&amp;"",""))</f>
        <v/>
      </c>
      <c r="P456" s="69">
        <f>IF($J456="","",IFERROR(INDEX(B!$H$2:$H$61,MATCH($J456,B!$E$2:$E$61,0))&amp;"",""))</f>
        <v/>
      </c>
      <c r="Q456" s="69">
        <f>IF($J456="","",IFERROR(INDEX(B!$I$2:$I$61,MATCH($J456,B!$E$2:$E$61,0))&amp;"",""))</f>
        <v/>
      </c>
      <c r="R456" s="69">
        <f>IF($J456="","",IFERROR(INDEX(B!$J$2:$J$61,MATCH($J456,B!$E$2:$E$61,0))&amp;"",""))</f>
        <v/>
      </c>
      <c r="S456" s="69">
        <f>IF($J456="","",IFERROR(INDEX(B!$K$2:$K$61,MATCH($J456,B!$E$2:$E$61,0))&amp;"",""))</f>
        <v/>
      </c>
      <c r="T456" s="69">
        <f>IF($J456="","",IFERROR(INDEX(B!$L$2:$L$61,MATCH($J456,B!$E$2:$E$61,0))&amp;"",""))</f>
        <v/>
      </c>
      <c r="U456" s="20" t="n"/>
      <c r="V456" s="70">
        <f>IF($J456="","",IFERROR(INDEX(B!$M$2:$M$61,MATCH($J456,B!$E$2:$E$61,0))&amp;"",""))</f>
        <v/>
      </c>
      <c r="W456" s="71">
        <f>IF(I456="","",IFERROR(MID(I456,FIND("/d/",I456)+3,FIND("/edit",I456)-FIND("/d/",I456)-3),I456))</f>
        <v/>
      </c>
      <c r="X456" s="71">
        <f>IF($J456="","",IFERROR(INDEX(B!$C$2:$C$61,MATCH($J456,B!$E$2:$E$61,0))&amp;"",""))</f>
        <v/>
      </c>
      <c r="Y456" s="20" t="n"/>
      <c r="Z456" s="72">
        <f>IF($J456="",FALSE,ISNUMBER(SEARCH("scout",$K456)))</f>
        <v/>
      </c>
      <c r="AA456" s="72">
        <f>IF($J456="",FALSE,IFERROR(INDEX(B!$N$2:$N$61,MATCH($J456,B!$E$2:$E$61,0))="Sim",FALSE))</f>
        <v/>
      </c>
      <c r="AB456" s="72">
        <f>IF($J456="",FALSE,LEFT($X456,2)="XX")</f>
        <v/>
      </c>
      <c r="AC456" s="72">
        <f>IF($J456="",FALSE,IFERROR(INDEX(B!$P$2:$P$61,MATCH($J456,B!$E$2:$E$61,0))="Sim",FALSE))</f>
        <v/>
      </c>
      <c r="AD456" s="20" t="n"/>
      <c r="AE456" s="52">
        <f>IF(H456="","",HOUR(H456))</f>
        <v/>
      </c>
      <c r="AF456" s="52" t="n"/>
    </row>
    <row r="457" ht="19.5" customHeight="1" s="58">
      <c r="A457" s="62">
        <f>IF(G457="","",IF(G457=G456,"",COUNTIF($G$3:$G$976,G457)))</f>
        <v/>
      </c>
      <c r="B457" s="20" t="n"/>
      <c r="C457" s="63">
        <f>IF(G457="","",DAY(G457))</f>
        <v/>
      </c>
      <c r="D457" s="63">
        <f>IF(G457="","",MONTH(G457))</f>
        <v/>
      </c>
      <c r="E457" s="63">
        <f>IF(G457="","",YEAR(G457))</f>
        <v/>
      </c>
      <c r="F457" s="33">
        <f>IF(G457="","",CHOOSE(MONTH(G457),"Janeiro","Fevereiro","Março","Abril","Maio","Junho","Julho","Agosto","Setembro","Outubro","Novembro","Dezembro"))</f>
        <v/>
      </c>
      <c r="G457" s="64" t="n">
        <v>46068</v>
      </c>
      <c r="H457" s="65" t="n">
        <v>0.04143518518518519</v>
      </c>
      <c r="I457" s="66" t="inlineStr">
        <is>
          <t>https://docs.google.com/spreadsheets/d/1ZiCGoPjLCjuYvujDTXK9Ixbth3tekiLtFBzBrGjPCr4/edit?gid=0#gid=0</t>
        </is>
      </c>
      <c r="J457" s="67" t="inlineStr">
        <is>
          <t>Taxa de Cancelamento Cobrada Corretamente - [TXCO]</t>
        </is>
      </c>
      <c r="K457" s="67" t="inlineStr"/>
      <c r="L457" s="68" t="b">
        <v>0</v>
      </c>
      <c r="M457" s="20" t="n"/>
      <c r="N457" s="69">
        <f>IF($J457="","",IFERROR(INDEX(B!$F$2:$F$61,MATCH($J457,B!$E$2:$E$61,0))&amp;"",""))</f>
        <v/>
      </c>
      <c r="O457" s="69">
        <f>IF($J457="","",IFERROR(INDEX(B!$G$2:$G$61,MATCH($J457,B!$E$2:$E$61,0))&amp;"",""))</f>
        <v/>
      </c>
      <c r="P457" s="69">
        <f>IF($J457="","",IFERROR(INDEX(B!$H$2:$H$61,MATCH($J457,B!$E$2:$E$61,0))&amp;"",""))</f>
        <v/>
      </c>
      <c r="Q457" s="69">
        <f>IF($J457="","",IFERROR(INDEX(B!$I$2:$I$61,MATCH($J457,B!$E$2:$E$61,0))&amp;"",""))</f>
        <v/>
      </c>
      <c r="R457" s="69">
        <f>IF($J457="","",IFERROR(INDEX(B!$J$2:$J$61,MATCH($J457,B!$E$2:$E$61,0))&amp;"",""))</f>
        <v/>
      </c>
      <c r="S457" s="69">
        <f>IF($J457="","",IFERROR(INDEX(B!$K$2:$K$61,MATCH($J457,B!$E$2:$E$61,0))&amp;"",""))</f>
        <v/>
      </c>
      <c r="T457" s="69">
        <f>IF($J457="","",IFERROR(INDEX(B!$L$2:$L$61,MATCH($J457,B!$E$2:$E$61,0))&amp;"",""))</f>
        <v/>
      </c>
      <c r="U457" s="20" t="n"/>
      <c r="V457" s="70">
        <f>IF($J457="","",IFERROR(INDEX(B!$M$2:$M$61,MATCH($J457,B!$E$2:$E$61,0))&amp;"",""))</f>
        <v/>
      </c>
      <c r="W457" s="71">
        <f>IF(I457="","",IFERROR(MID(I457,FIND("/d/",I457)+3,FIND("/edit",I457)-FIND("/d/",I457)-3),I457))</f>
        <v/>
      </c>
      <c r="X457" s="71">
        <f>IF($J457="","",IFERROR(INDEX(B!$C$2:$C$61,MATCH($J457,B!$E$2:$E$61,0))&amp;"",""))</f>
        <v/>
      </c>
      <c r="Y457" s="20" t="n"/>
      <c r="Z457" s="72">
        <f>IF($J457="",FALSE,ISNUMBER(SEARCH("scout",$K457)))</f>
        <v/>
      </c>
      <c r="AA457" s="72">
        <f>IF($J457="",FALSE,IFERROR(INDEX(B!$N$2:$N$61,MATCH($J457,B!$E$2:$E$61,0))="Sim",FALSE))</f>
        <v/>
      </c>
      <c r="AB457" s="72">
        <f>IF($J457="",FALSE,LEFT($X457,2)="XX")</f>
        <v/>
      </c>
      <c r="AC457" s="72">
        <f>IF($J457="",FALSE,IFERROR(INDEX(B!$P$2:$P$61,MATCH($J457,B!$E$2:$E$61,0))="Sim",FALSE))</f>
        <v/>
      </c>
      <c r="AD457" s="20" t="n"/>
      <c r="AE457" s="52">
        <f>IF(H457="","",HOUR(H457))</f>
        <v/>
      </c>
      <c r="AF457" s="52" t="n"/>
    </row>
    <row r="458" ht="19.5" customHeight="1" s="58">
      <c r="A458" s="62">
        <f>IF(G458="","",IF(G458=G457,"",COUNTIF($G$3:$G$976,G458)))</f>
        <v/>
      </c>
      <c r="B458" s="20" t="n"/>
      <c r="C458" s="63">
        <f>IF(G458="","",DAY(G458))</f>
        <v/>
      </c>
      <c r="D458" s="63">
        <f>IF(G458="","",MONTH(G458))</f>
        <v/>
      </c>
      <c r="E458" s="63">
        <f>IF(G458="","",YEAR(G458))</f>
        <v/>
      </c>
      <c r="F458" s="33">
        <f>IF(G458="","",CHOOSE(MONTH(G458),"Janeiro","Fevereiro","Março","Abril","Maio","Junho","Julho","Agosto","Setembro","Outubro","Novembro","Dezembro"))</f>
        <v/>
      </c>
      <c r="G458" s="64" t="n">
        <v>46068</v>
      </c>
      <c r="H458" s="65" t="n">
        <v>0.05180555555555556</v>
      </c>
      <c r="I458" s="66" t="inlineStr">
        <is>
          <t>https://docs.google.com/spreadsheets/d/1ZiCGoPjLCjuYvujDTXK9Ixbth3tekiLtFBzBrGjPCr4/edit?gid=0#gid=0</t>
        </is>
      </c>
      <c r="J458" s="67" t="inlineStr">
        <is>
          <t>Evento Raro - [ER]</t>
        </is>
      </c>
      <c r="K458" s="67" t="inlineStr"/>
      <c r="L458" s="68" t="b">
        <v>0</v>
      </c>
      <c r="M458" s="20" t="n"/>
      <c r="N458" s="69">
        <f>IF($J458="","",IFERROR(INDEX(B!$F$2:$F$61,MATCH($J458,B!$E$2:$E$61,0))&amp;"",""))</f>
        <v/>
      </c>
      <c r="O458" s="69">
        <f>IF($J458="","",IFERROR(INDEX(B!$G$2:$G$61,MATCH($J458,B!$E$2:$E$61,0))&amp;"",""))</f>
        <v/>
      </c>
      <c r="P458" s="69">
        <f>IF($J458="","",IFERROR(INDEX(B!$H$2:$H$61,MATCH($J458,B!$E$2:$E$61,0))&amp;"",""))</f>
        <v/>
      </c>
      <c r="Q458" s="69">
        <f>IF($J458="","",IFERROR(INDEX(B!$I$2:$I$61,MATCH($J458,B!$E$2:$E$61,0))&amp;"",""))</f>
        <v/>
      </c>
      <c r="R458" s="69">
        <f>IF($J458="","",IFERROR(INDEX(B!$J$2:$J$61,MATCH($J458,B!$E$2:$E$61,0))&amp;"",""))</f>
        <v/>
      </c>
      <c r="S458" s="69">
        <f>IF($J458="","",IFERROR(INDEX(B!$K$2:$K$61,MATCH($J458,B!$E$2:$E$61,0))&amp;"",""))</f>
        <v/>
      </c>
      <c r="T458" s="69">
        <f>IF($J458="","",IFERROR(INDEX(B!$L$2:$L$61,MATCH($J458,B!$E$2:$E$61,0))&amp;"",""))</f>
        <v/>
      </c>
      <c r="U458" s="20" t="n"/>
      <c r="V458" s="70">
        <f>IF($J458="","",IFERROR(INDEX(B!$M$2:$M$61,MATCH($J458,B!$E$2:$E$61,0))&amp;"",""))</f>
        <v/>
      </c>
      <c r="W458" s="71">
        <f>IF(I458="","",IFERROR(MID(I458,FIND("/d/",I458)+3,FIND("/edit",I458)-FIND("/d/",I458)-3),I458))</f>
        <v/>
      </c>
      <c r="X458" s="71">
        <f>IF($J458="","",IFERROR(INDEX(B!$C$2:$C$61,MATCH($J458,B!$E$2:$E$61,0))&amp;"",""))</f>
        <v/>
      </c>
      <c r="Y458" s="20" t="n"/>
      <c r="Z458" s="72">
        <f>IF($J458="",FALSE,ISNUMBER(SEARCH("scout",$K458)))</f>
        <v/>
      </c>
      <c r="AA458" s="72">
        <f>IF($J458="",FALSE,IFERROR(INDEX(B!$N$2:$N$61,MATCH($J458,B!$E$2:$E$61,0))="Sim",FALSE))</f>
        <v/>
      </c>
      <c r="AB458" s="72">
        <f>IF($J458="",FALSE,LEFT($X458,2)="XX")</f>
        <v/>
      </c>
      <c r="AC458" s="72">
        <f>IF($J458="",FALSE,IFERROR(INDEX(B!$P$2:$P$61,MATCH($J458,B!$E$2:$E$61,0))="Sim",FALSE))</f>
        <v/>
      </c>
      <c r="AD458" s="20" t="n"/>
      <c r="AE458" s="52">
        <f>IF(H458="","",HOUR(H458))</f>
        <v/>
      </c>
      <c r="AF458" s="52" t="n"/>
    </row>
    <row r="459" ht="19.5" customHeight="1" s="58">
      <c r="A459" s="62">
        <f>IF(G459="","",IF(G459=G458,"",COUNTIF($G$3:$G$976,G459)))</f>
        <v/>
      </c>
      <c r="B459" s="20" t="n"/>
      <c r="C459" s="63">
        <f>IF(G459="","",DAY(G459))</f>
        <v/>
      </c>
      <c r="D459" s="63">
        <f>IF(G459="","",MONTH(G459))</f>
        <v/>
      </c>
      <c r="E459" s="63">
        <f>IF(G459="","",YEAR(G459))</f>
        <v/>
      </c>
      <c r="F459" s="33">
        <f>IF(G459="","",CHOOSE(MONTH(G459),"Janeiro","Fevereiro","Março","Abril","Maio","Junho","Julho","Agosto","Setembro","Outubro","Novembro","Dezembro"))</f>
        <v/>
      </c>
      <c r="G459" s="64" t="n">
        <v>46068</v>
      </c>
      <c r="H459" s="65" t="n">
        <v>0.05273148148148148</v>
      </c>
      <c r="I459" s="66" t="inlineStr">
        <is>
          <t>https://docs.google.com/spreadsheets/d/1ZiCGoPjLCjuYvujDTXK9Ixbth3tekiLtFBzBrGjPCr4/edit?gid=0#gid=0</t>
        </is>
      </c>
      <c r="J459" s="67" t="inlineStr">
        <is>
          <t>Transferência de LOB (Driver) - [TIDV]</t>
        </is>
      </c>
      <c r="K459" s="67" t="inlineStr"/>
      <c r="L459" s="68" t="b">
        <v>0</v>
      </c>
      <c r="M459" s="20" t="n"/>
      <c r="N459" s="69">
        <f>IF($J459="","",IFERROR(INDEX(B!$F$2:$F$61,MATCH($J459,B!$E$2:$E$61,0))&amp;"",""))</f>
        <v/>
      </c>
      <c r="O459" s="69">
        <f>IF($J459="","",IFERROR(INDEX(B!$G$2:$G$61,MATCH($J459,B!$E$2:$E$61,0))&amp;"",""))</f>
        <v/>
      </c>
      <c r="P459" s="69">
        <f>IF($J459="","",IFERROR(INDEX(B!$H$2:$H$61,MATCH($J459,B!$E$2:$E$61,0))&amp;"",""))</f>
        <v/>
      </c>
      <c r="Q459" s="69">
        <f>IF($J459="","",IFERROR(INDEX(B!$I$2:$I$61,MATCH($J459,B!$E$2:$E$61,0))&amp;"",""))</f>
        <v/>
      </c>
      <c r="R459" s="69">
        <f>IF($J459="","",IFERROR(INDEX(B!$J$2:$J$61,MATCH($J459,B!$E$2:$E$61,0))&amp;"",""))</f>
        <v/>
      </c>
      <c r="S459" s="69">
        <f>IF($J459="","",IFERROR(INDEX(B!$K$2:$K$61,MATCH($J459,B!$E$2:$E$61,0))&amp;"",""))</f>
        <v/>
      </c>
      <c r="T459" s="69">
        <f>IF($J459="","",IFERROR(INDEX(B!$L$2:$L$61,MATCH($J459,B!$E$2:$E$61,0))&amp;"",""))</f>
        <v/>
      </c>
      <c r="U459" s="20" t="n"/>
      <c r="V459" s="70">
        <f>IF($J459="","",IFERROR(INDEX(B!$M$2:$M$61,MATCH($J459,B!$E$2:$E$61,0))&amp;"",""))</f>
        <v/>
      </c>
      <c r="W459" s="71">
        <f>IF(I459="","",IFERROR(MID(I459,FIND("/d/",I459)+3,FIND("/edit",I459)-FIND("/d/",I459)-3),I459))</f>
        <v/>
      </c>
      <c r="X459" s="71">
        <f>IF($J459="","",IFERROR(INDEX(B!$C$2:$C$61,MATCH($J459,B!$E$2:$E$61,0))&amp;"",""))</f>
        <v/>
      </c>
      <c r="Y459" s="20" t="n"/>
      <c r="Z459" s="72">
        <f>IF($J459="",FALSE,ISNUMBER(SEARCH("scout",$K459)))</f>
        <v/>
      </c>
      <c r="AA459" s="72">
        <f>IF($J459="",FALSE,IFERROR(INDEX(B!$N$2:$N$61,MATCH($J459,B!$E$2:$E$61,0))="Sim",FALSE))</f>
        <v/>
      </c>
      <c r="AB459" s="72">
        <f>IF($J459="",FALSE,LEFT($X459,2)="XX")</f>
        <v/>
      </c>
      <c r="AC459" s="72">
        <f>IF($J459="",FALSE,IFERROR(INDEX(B!$P$2:$P$61,MATCH($J459,B!$E$2:$E$61,0))="Sim",FALSE))</f>
        <v/>
      </c>
      <c r="AD459" s="20" t="n"/>
      <c r="AE459" s="52">
        <f>IF(H459="","",HOUR(H459))</f>
        <v/>
      </c>
      <c r="AF459" s="52" t="n"/>
    </row>
    <row r="460" ht="19.5" customHeight="1" s="58">
      <c r="A460" s="62">
        <f>IF(G460="","",IF(G460=G459,"",COUNTIF($G$3:$G$976,G460)))</f>
        <v/>
      </c>
      <c r="B460" s="20" t="n"/>
      <c r="C460" s="63">
        <f>IF(G460="","",DAY(G460))</f>
        <v/>
      </c>
      <c r="D460" s="63">
        <f>IF(G460="","",MONTH(G460))</f>
        <v/>
      </c>
      <c r="E460" s="63">
        <f>IF(G460="","",YEAR(G460))</f>
        <v/>
      </c>
      <c r="F460" s="33">
        <f>IF(G460="","",CHOOSE(MONTH(G460),"Janeiro","Fevereiro","Março","Abril","Maio","Junho","Julho","Agosto","Setembro","Outubro","Novembro","Dezembro"))</f>
        <v/>
      </c>
      <c r="G460" s="64" t="n">
        <v>46068</v>
      </c>
      <c r="H460" s="65" t="n">
        <v>0.05458333333333333</v>
      </c>
      <c r="I460" s="66" t="inlineStr">
        <is>
          <t>https://docs.google.com/spreadsheets/d/1ZiCGoPjLCjuYvujDTXK9Ixbth3tekiLtFBzBrGjPCr4/edit?gid=0#gid=0</t>
        </is>
      </c>
      <c r="J460" s="67" t="inlineStr">
        <is>
          <t>Trajeto Ruim - [TR]</t>
        </is>
      </c>
      <c r="K460" s="67" t="inlineStr"/>
      <c r="L460" s="68" t="b">
        <v>0</v>
      </c>
      <c r="M460" s="20" t="n"/>
      <c r="N460" s="69">
        <f>IF($J460="","",IFERROR(INDEX(B!$F$2:$F$61,MATCH($J460,B!$E$2:$E$61,0))&amp;"",""))</f>
        <v/>
      </c>
      <c r="O460" s="69">
        <f>IF($J460="","",IFERROR(INDEX(B!$G$2:$G$61,MATCH($J460,B!$E$2:$E$61,0))&amp;"",""))</f>
        <v/>
      </c>
      <c r="P460" s="69">
        <f>IF($J460="","",IFERROR(INDEX(B!$H$2:$H$61,MATCH($J460,B!$E$2:$E$61,0))&amp;"",""))</f>
        <v/>
      </c>
      <c r="Q460" s="69">
        <f>IF($J460="","",IFERROR(INDEX(B!$I$2:$I$61,MATCH($J460,B!$E$2:$E$61,0))&amp;"",""))</f>
        <v/>
      </c>
      <c r="R460" s="69">
        <f>IF($J460="","",IFERROR(INDEX(B!$J$2:$J$61,MATCH($J460,B!$E$2:$E$61,0))&amp;"",""))</f>
        <v/>
      </c>
      <c r="S460" s="69">
        <f>IF($J460="","",IFERROR(INDEX(B!$K$2:$K$61,MATCH($J460,B!$E$2:$E$61,0))&amp;"",""))</f>
        <v/>
      </c>
      <c r="T460" s="69">
        <f>IF($J460="","",IFERROR(INDEX(B!$L$2:$L$61,MATCH($J460,B!$E$2:$E$61,0))&amp;"",""))</f>
        <v/>
      </c>
      <c r="U460" s="20" t="n"/>
      <c r="V460" s="70">
        <f>IF($J460="","",IFERROR(INDEX(B!$M$2:$M$61,MATCH($J460,B!$E$2:$E$61,0))&amp;"",""))</f>
        <v/>
      </c>
      <c r="W460" s="71">
        <f>IF(I460="","",IFERROR(MID(I460,FIND("/d/",I460)+3,FIND("/edit",I460)-FIND("/d/",I460)-3),I460))</f>
        <v/>
      </c>
      <c r="X460" s="71">
        <f>IF($J460="","",IFERROR(INDEX(B!$C$2:$C$61,MATCH($J460,B!$E$2:$E$61,0))&amp;"",""))</f>
        <v/>
      </c>
      <c r="Y460" s="20" t="n"/>
      <c r="Z460" s="72">
        <f>IF($J460="",FALSE,ISNUMBER(SEARCH("scout",$K460)))</f>
        <v/>
      </c>
      <c r="AA460" s="72">
        <f>IF($J460="",FALSE,IFERROR(INDEX(B!$N$2:$N$61,MATCH($J460,B!$E$2:$E$61,0))="Sim",FALSE))</f>
        <v/>
      </c>
      <c r="AB460" s="72">
        <f>IF($J460="",FALSE,LEFT($X460,2)="XX")</f>
        <v/>
      </c>
      <c r="AC460" s="72">
        <f>IF($J460="",FALSE,IFERROR(INDEX(B!$P$2:$P$61,MATCH($J460,B!$E$2:$E$61,0))="Sim",FALSE))</f>
        <v/>
      </c>
      <c r="AD460" s="20" t="n"/>
      <c r="AE460" s="52">
        <f>IF(H460="","",HOUR(H460))</f>
        <v/>
      </c>
      <c r="AF460" s="52" t="n"/>
    </row>
    <row r="461" ht="19.5" customHeight="1" s="58">
      <c r="A461" s="62">
        <f>IF(G461="","",IF(G461=G460,"",COUNTIF($G$3:$G$976,G461)))</f>
        <v/>
      </c>
      <c r="B461" s="20" t="n"/>
      <c r="C461" s="63">
        <f>IF(G461="","",DAY(G461))</f>
        <v/>
      </c>
      <c r="D461" s="63">
        <f>IF(G461="","",MONTH(G461))</f>
        <v/>
      </c>
      <c r="E461" s="63">
        <f>IF(G461="","",YEAR(G461))</f>
        <v/>
      </c>
      <c r="F461" s="33">
        <f>IF(G461="","",CHOOSE(MONTH(G461),"Janeiro","Fevereiro","Março","Abril","Maio","Junho","Julho","Agosto","Setembro","Outubro","Novembro","Dezembro"))</f>
        <v/>
      </c>
      <c r="G461" s="64" t="n">
        <v>46068</v>
      </c>
      <c r="H461" s="65" t="n">
        <v>0.06048611111111111</v>
      </c>
      <c r="I461" s="66" t="inlineStr">
        <is>
          <t>https://docs.google.com/spreadsheets/d/1ZiCGoPjLCjuYvujDTXK9Ixbth3tekiLtFBzBrGjPCr4/edit?gid=0#gid=0</t>
        </is>
      </c>
      <c r="J461" s="67" t="inlineStr">
        <is>
          <t>Trajeto Ruim - [TR]</t>
        </is>
      </c>
      <c r="K461" s="67" t="inlineStr">
        <is>
          <t>Scout</t>
        </is>
      </c>
      <c r="L461" s="68" t="b">
        <v>0</v>
      </c>
      <c r="M461" s="20" t="n"/>
      <c r="N461" s="69">
        <f>IF($J461="","",IFERROR(INDEX(B!$F$2:$F$61,MATCH($J461,B!$E$2:$E$61,0))&amp;"",""))</f>
        <v/>
      </c>
      <c r="O461" s="69">
        <f>IF($J461="","",IFERROR(INDEX(B!$G$2:$G$61,MATCH($J461,B!$E$2:$E$61,0))&amp;"",""))</f>
        <v/>
      </c>
      <c r="P461" s="69">
        <f>IF($J461="","",IFERROR(INDEX(B!$H$2:$H$61,MATCH($J461,B!$E$2:$E$61,0))&amp;"",""))</f>
        <v/>
      </c>
      <c r="Q461" s="69">
        <f>IF($J461="","",IFERROR(INDEX(B!$I$2:$I$61,MATCH($J461,B!$E$2:$E$61,0))&amp;"",""))</f>
        <v/>
      </c>
      <c r="R461" s="69">
        <f>IF($J461="","",IFERROR(INDEX(B!$J$2:$J$61,MATCH($J461,B!$E$2:$E$61,0))&amp;"",""))</f>
        <v/>
      </c>
      <c r="S461" s="69">
        <f>IF($J461="","",IFERROR(INDEX(B!$K$2:$K$61,MATCH($J461,B!$E$2:$E$61,0))&amp;"",""))</f>
        <v/>
      </c>
      <c r="T461" s="69">
        <f>IF($J461="","",IFERROR(INDEX(B!$L$2:$L$61,MATCH($J461,B!$E$2:$E$61,0))&amp;"",""))</f>
        <v/>
      </c>
      <c r="U461" s="20" t="n"/>
      <c r="V461" s="70">
        <f>IF($J461="","",IFERROR(INDEX(B!$M$2:$M$61,MATCH($J461,B!$E$2:$E$61,0))&amp;"",""))</f>
        <v/>
      </c>
      <c r="W461" s="71">
        <f>IF(I461="","",IFERROR(MID(I461,FIND("/d/",I461)+3,FIND("/edit",I461)-FIND("/d/",I461)-3),I461))</f>
        <v/>
      </c>
      <c r="X461" s="71">
        <f>IF($J461="","",IFERROR(INDEX(B!$C$2:$C$61,MATCH($J461,B!$E$2:$E$61,0))&amp;"",""))</f>
        <v/>
      </c>
      <c r="Y461" s="20" t="n"/>
      <c r="Z461" s="72">
        <f>IF($J461="",FALSE,ISNUMBER(SEARCH("scout",$K461)))</f>
        <v/>
      </c>
      <c r="AA461" s="72">
        <f>IF($J461="",FALSE,IFERROR(INDEX(B!$N$2:$N$61,MATCH($J461,B!$E$2:$E$61,0))="Sim",FALSE))</f>
        <v/>
      </c>
      <c r="AB461" s="72">
        <f>IF($J461="",FALSE,LEFT($X461,2)="XX")</f>
        <v/>
      </c>
      <c r="AC461" s="72">
        <f>IF($J461="",FALSE,IFERROR(INDEX(B!$P$2:$P$61,MATCH($J461,B!$E$2:$E$61,0))="Sim",FALSE))</f>
        <v/>
      </c>
      <c r="AD461" s="20" t="n"/>
      <c r="AE461" s="52">
        <f>IF(H461="","",HOUR(H461))</f>
        <v/>
      </c>
      <c r="AF461" s="52" t="n"/>
    </row>
    <row r="462" ht="19.5" customHeight="1" s="58">
      <c r="A462" s="62">
        <f>IF(G462="","",IF(G462=G461,"",COUNTIF($G$3:$G$976,G462)))</f>
        <v/>
      </c>
      <c r="B462" s="20" t="n"/>
      <c r="C462" s="63">
        <f>IF(G462="","",DAY(G462))</f>
        <v/>
      </c>
      <c r="D462" s="63">
        <f>IF(G462="","",MONTH(G462))</f>
        <v/>
      </c>
      <c r="E462" s="63">
        <f>IF(G462="","",YEAR(G462))</f>
        <v/>
      </c>
      <c r="F462" s="33">
        <f>IF(G462="","",CHOOSE(MONTH(G462),"Janeiro","Fevereiro","Março","Abril","Maio","Junho","Julho","Agosto","Setembro","Outubro","Novembro","Dezembro"))</f>
        <v/>
      </c>
      <c r="G462" s="64" t="n">
        <v>46068</v>
      </c>
      <c r="H462" s="65" t="n">
        <v>0.06082175925925926</v>
      </c>
      <c r="I462" s="66" t="inlineStr">
        <is>
          <t>https://docs.google.com/spreadsheets/d/1ZiCGoPjLCjuYvujDTXK9Ixbth3tekiLtFBzBrGjPCr4/edit?gid=0#gid=0</t>
        </is>
      </c>
      <c r="J462" s="67" t="inlineStr">
        <is>
          <t>Transferência de LOB (Accounts) - [TIAC]</t>
        </is>
      </c>
      <c r="K462" s="67" t="inlineStr"/>
      <c r="L462" s="68" t="b">
        <v>0</v>
      </c>
      <c r="M462" s="20" t="n"/>
      <c r="N462" s="69">
        <f>IF($J462="","",IFERROR(INDEX(B!$F$2:$F$61,MATCH($J462,B!$E$2:$E$61,0))&amp;"",""))</f>
        <v/>
      </c>
      <c r="O462" s="69">
        <f>IF($J462="","",IFERROR(INDEX(B!$G$2:$G$61,MATCH($J462,B!$E$2:$E$61,0))&amp;"",""))</f>
        <v/>
      </c>
      <c r="P462" s="69">
        <f>IF($J462="","",IFERROR(INDEX(B!$H$2:$H$61,MATCH($J462,B!$E$2:$E$61,0))&amp;"",""))</f>
        <v/>
      </c>
      <c r="Q462" s="69">
        <f>IF($J462="","",IFERROR(INDEX(B!$I$2:$I$61,MATCH($J462,B!$E$2:$E$61,0))&amp;"",""))</f>
        <v/>
      </c>
      <c r="R462" s="69">
        <f>IF($J462="","",IFERROR(INDEX(B!$J$2:$J$61,MATCH($J462,B!$E$2:$E$61,0))&amp;"",""))</f>
        <v/>
      </c>
      <c r="S462" s="69">
        <f>IF($J462="","",IFERROR(INDEX(B!$K$2:$K$61,MATCH($J462,B!$E$2:$E$61,0))&amp;"",""))</f>
        <v/>
      </c>
      <c r="T462" s="69">
        <f>IF($J462="","",IFERROR(INDEX(B!$L$2:$L$61,MATCH($J462,B!$E$2:$E$61,0))&amp;"",""))</f>
        <v/>
      </c>
      <c r="U462" s="20" t="n"/>
      <c r="V462" s="70">
        <f>IF($J462="","",IFERROR(INDEX(B!$M$2:$M$61,MATCH($J462,B!$E$2:$E$61,0))&amp;"",""))</f>
        <v/>
      </c>
      <c r="W462" s="71">
        <f>IF(I462="","",IFERROR(MID(I462,FIND("/d/",I462)+3,FIND("/edit",I462)-FIND("/d/",I462)-3),I462))</f>
        <v/>
      </c>
      <c r="X462" s="71">
        <f>IF($J462="","",IFERROR(INDEX(B!$C$2:$C$61,MATCH($J462,B!$E$2:$E$61,0))&amp;"",""))</f>
        <v/>
      </c>
      <c r="Y462" s="20" t="n"/>
      <c r="Z462" s="72">
        <f>IF($J462="",FALSE,ISNUMBER(SEARCH("scout",$K462)))</f>
        <v/>
      </c>
      <c r="AA462" s="72">
        <f>IF($J462="",FALSE,IFERROR(INDEX(B!$N$2:$N$61,MATCH($J462,B!$E$2:$E$61,0))="Sim",FALSE))</f>
        <v/>
      </c>
      <c r="AB462" s="72">
        <f>IF($J462="",FALSE,LEFT($X462,2)="XX")</f>
        <v/>
      </c>
      <c r="AC462" s="72">
        <f>IF($J462="",FALSE,IFERROR(INDEX(B!$P$2:$P$61,MATCH($J462,B!$E$2:$E$61,0))="Sim",FALSE))</f>
        <v/>
      </c>
      <c r="AD462" s="20" t="n"/>
      <c r="AE462" s="52">
        <f>IF(H462="","",HOUR(H462))</f>
        <v/>
      </c>
      <c r="AF462" s="52" t="n"/>
    </row>
    <row r="463" ht="19.5" customHeight="1" s="58">
      <c r="A463" s="62">
        <f>IF(G463="","",IF(G463=G462,"",COUNTIF($G$3:$G$976,G463)))</f>
        <v/>
      </c>
      <c r="B463" s="20" t="n"/>
      <c r="C463" s="63">
        <f>IF(G463="","",DAY(G463))</f>
        <v/>
      </c>
      <c r="D463" s="63">
        <f>IF(G463="","",MONTH(G463))</f>
        <v/>
      </c>
      <c r="E463" s="63">
        <f>IF(G463="","",YEAR(G463))</f>
        <v/>
      </c>
      <c r="F463" s="33">
        <f>IF(G463="","",CHOOSE(MONTH(G463),"Janeiro","Fevereiro","Março","Abril","Maio","Junho","Julho","Agosto","Setembro","Outubro","Novembro","Dezembro"))</f>
        <v/>
      </c>
      <c r="G463" s="64" t="n">
        <v>46068</v>
      </c>
      <c r="H463" s="65" t="n">
        <v>0.06479166666666666</v>
      </c>
      <c r="I463" s="66" t="inlineStr">
        <is>
          <t>https://docs.google.com/spreadsheets/d/1ZiCGoPjLCjuYvujDTXK9Ixbth3tekiLtFBzBrGjPCr4/edit?gid=0#gid=0</t>
        </is>
      </c>
      <c r="J463" s="67" t="inlineStr">
        <is>
          <t>Não houve Taxa de Cancelamento - [NTX]</t>
        </is>
      </c>
      <c r="K463" s="67" t="inlineStr"/>
      <c r="L463" s="68" t="b">
        <v>0</v>
      </c>
      <c r="M463" s="20" t="n"/>
      <c r="N463" s="69">
        <f>IF($J463="","",IFERROR(INDEX(B!$F$2:$F$61,MATCH($J463,B!$E$2:$E$61,0))&amp;"",""))</f>
        <v/>
      </c>
      <c r="O463" s="69">
        <f>IF($J463="","",IFERROR(INDEX(B!$G$2:$G$61,MATCH($J463,B!$E$2:$E$61,0))&amp;"",""))</f>
        <v/>
      </c>
      <c r="P463" s="69">
        <f>IF($J463="","",IFERROR(INDEX(B!$H$2:$H$61,MATCH($J463,B!$E$2:$E$61,0))&amp;"",""))</f>
        <v/>
      </c>
      <c r="Q463" s="69">
        <f>IF($J463="","",IFERROR(INDEX(B!$I$2:$I$61,MATCH($J463,B!$E$2:$E$61,0))&amp;"",""))</f>
        <v/>
      </c>
      <c r="R463" s="69">
        <f>IF($J463="","",IFERROR(INDEX(B!$J$2:$J$61,MATCH($J463,B!$E$2:$E$61,0))&amp;"",""))</f>
        <v/>
      </c>
      <c r="S463" s="69">
        <f>IF($J463="","",IFERROR(INDEX(B!$K$2:$K$61,MATCH($J463,B!$E$2:$E$61,0))&amp;"",""))</f>
        <v/>
      </c>
      <c r="T463" s="69">
        <f>IF($J463="","",IFERROR(INDEX(B!$L$2:$L$61,MATCH($J463,B!$E$2:$E$61,0))&amp;"",""))</f>
        <v/>
      </c>
      <c r="U463" s="20" t="n"/>
      <c r="V463" s="70">
        <f>IF($J463="","",IFERROR(INDEX(B!$M$2:$M$61,MATCH($J463,B!$E$2:$E$61,0))&amp;"",""))</f>
        <v/>
      </c>
      <c r="W463" s="71">
        <f>IF(I463="","",IFERROR(MID(I463,FIND("/d/",I463)+3,FIND("/edit",I463)-FIND("/d/",I463)-3),I463))</f>
        <v/>
      </c>
      <c r="X463" s="71">
        <f>IF($J463="","",IFERROR(INDEX(B!$C$2:$C$61,MATCH($J463,B!$E$2:$E$61,0))&amp;"",""))</f>
        <v/>
      </c>
      <c r="Y463" s="20" t="n"/>
      <c r="Z463" s="72">
        <f>IF($J463="",FALSE,ISNUMBER(SEARCH("scout",$K463)))</f>
        <v/>
      </c>
      <c r="AA463" s="72">
        <f>IF($J463="",FALSE,IFERROR(INDEX(B!$N$2:$N$61,MATCH($J463,B!$E$2:$E$61,0))="Sim",FALSE))</f>
        <v/>
      </c>
      <c r="AB463" s="72">
        <f>IF($J463="",FALSE,LEFT($X463,2)="XX")</f>
        <v/>
      </c>
      <c r="AC463" s="72">
        <f>IF($J463="",FALSE,IFERROR(INDEX(B!$P$2:$P$61,MATCH($J463,B!$E$2:$E$61,0))="Sim",FALSE))</f>
        <v/>
      </c>
      <c r="AD463" s="20" t="n"/>
      <c r="AE463" s="52">
        <f>IF(H463="","",HOUR(H463))</f>
        <v/>
      </c>
      <c r="AF463" s="52" t="n"/>
    </row>
    <row r="464" ht="19.5" customHeight="1" s="58">
      <c r="A464" s="62">
        <f>IF(G464="","",IF(G464=G463,"",COUNTIF($G$3:$G$976,G464)))</f>
        <v/>
      </c>
      <c r="B464" s="20" t="n"/>
      <c r="C464" s="63">
        <f>IF(G464="","",DAY(G464))</f>
        <v/>
      </c>
      <c r="D464" s="63">
        <f>IF(G464="","",MONTH(G464))</f>
        <v/>
      </c>
      <c r="E464" s="63">
        <f>IF(G464="","",YEAR(G464))</f>
        <v/>
      </c>
      <c r="F464" s="33">
        <f>IF(G464="","",CHOOSE(MONTH(G464),"Janeiro","Fevereiro","Março","Abril","Maio","Junho","Julho","Agosto","Setembro","Outubro","Novembro","Dezembro"))</f>
        <v/>
      </c>
      <c r="G464" s="64" t="n">
        <v>46068</v>
      </c>
      <c r="H464" s="65" t="n">
        <v>0.06824074074074074</v>
      </c>
      <c r="I464" s="66" t="inlineStr">
        <is>
          <t>https://docs.google.com/spreadsheets/d/1ZiCGoPjLCjuYvujDTXK9Ixbth3tekiLtFBzBrGjPCr4/edit?gid=0#gid=0</t>
        </is>
      </c>
      <c r="J464" s="67" t="inlineStr">
        <is>
          <t>Erro de Gps (Problema Técnico) - [GPS]</t>
        </is>
      </c>
      <c r="K464" s="67" t="inlineStr"/>
      <c r="L464" s="68" t="b">
        <v>0</v>
      </c>
      <c r="M464" s="20" t="n"/>
      <c r="N464" s="69">
        <f>IF($J464="","",IFERROR(INDEX(B!$F$2:$F$61,MATCH($J464,B!$E$2:$E$61,0))&amp;"",""))</f>
        <v/>
      </c>
      <c r="O464" s="69">
        <f>IF($J464="","",IFERROR(INDEX(B!$G$2:$G$61,MATCH($J464,B!$E$2:$E$61,0))&amp;"",""))</f>
        <v/>
      </c>
      <c r="P464" s="69">
        <f>IF($J464="","",IFERROR(INDEX(B!$H$2:$H$61,MATCH($J464,B!$E$2:$E$61,0))&amp;"",""))</f>
        <v/>
      </c>
      <c r="Q464" s="69">
        <f>IF($J464="","",IFERROR(INDEX(B!$I$2:$I$61,MATCH($J464,B!$E$2:$E$61,0))&amp;"",""))</f>
        <v/>
      </c>
      <c r="R464" s="69">
        <f>IF($J464="","",IFERROR(INDEX(B!$J$2:$J$61,MATCH($J464,B!$E$2:$E$61,0))&amp;"",""))</f>
        <v/>
      </c>
      <c r="S464" s="69">
        <f>IF($J464="","",IFERROR(INDEX(B!$K$2:$K$61,MATCH($J464,B!$E$2:$E$61,0))&amp;"",""))</f>
        <v/>
      </c>
      <c r="T464" s="69">
        <f>IF($J464="","",IFERROR(INDEX(B!$L$2:$L$61,MATCH($J464,B!$E$2:$E$61,0))&amp;"",""))</f>
        <v/>
      </c>
      <c r="U464" s="20" t="n"/>
      <c r="V464" s="70">
        <f>IF($J464="","",IFERROR(INDEX(B!$M$2:$M$61,MATCH($J464,B!$E$2:$E$61,0))&amp;"",""))</f>
        <v/>
      </c>
      <c r="W464" s="71">
        <f>IF(I464="","",IFERROR(MID(I464,FIND("/d/",I464)+3,FIND("/edit",I464)-FIND("/d/",I464)-3),I464))</f>
        <v/>
      </c>
      <c r="X464" s="71">
        <f>IF($J464="","",IFERROR(INDEX(B!$C$2:$C$61,MATCH($J464,B!$E$2:$E$61,0))&amp;"",""))</f>
        <v/>
      </c>
      <c r="Y464" s="20" t="n"/>
      <c r="Z464" s="72">
        <f>IF($J464="",FALSE,ISNUMBER(SEARCH("scout",$K464)))</f>
        <v/>
      </c>
      <c r="AA464" s="72">
        <f>IF($J464="",FALSE,IFERROR(INDEX(B!$N$2:$N$61,MATCH($J464,B!$E$2:$E$61,0))="Sim",FALSE))</f>
        <v/>
      </c>
      <c r="AB464" s="72">
        <f>IF($J464="",FALSE,LEFT($X464,2)="XX")</f>
        <v/>
      </c>
      <c r="AC464" s="72">
        <f>IF($J464="",FALSE,IFERROR(INDEX(B!$P$2:$P$61,MATCH($J464,B!$E$2:$E$61,0))="Sim",FALSE))</f>
        <v/>
      </c>
      <c r="AD464" s="20" t="n"/>
      <c r="AE464" s="52">
        <f>IF(H464="","",HOUR(H464))</f>
        <v/>
      </c>
      <c r="AF464" s="52" t="n"/>
    </row>
    <row r="465" ht="19.5" customHeight="1" s="58">
      <c r="A465" s="62">
        <f>IF(G465="","",IF(G465=G464,"",COUNTIF($G$3:$G$976,G465)))</f>
        <v/>
      </c>
      <c r="B465" s="20" t="n"/>
      <c r="C465" s="63">
        <f>IF(G465="","",DAY(G465))</f>
        <v/>
      </c>
      <c r="D465" s="63">
        <f>IF(G465="","",MONTH(G465))</f>
        <v/>
      </c>
      <c r="E465" s="63">
        <f>IF(G465="","",YEAR(G465))</f>
        <v/>
      </c>
      <c r="F465" s="33">
        <f>IF(G465="","",CHOOSE(MONTH(G465),"Janeiro","Fevereiro","Março","Abril","Maio","Junho","Julho","Agosto","Setembro","Outubro","Novembro","Dezembro"))</f>
        <v/>
      </c>
      <c r="G465" s="64" t="n">
        <v>46068</v>
      </c>
      <c r="H465" s="65" t="n">
        <v>0.07168981481481482</v>
      </c>
      <c r="I465" s="66" t="inlineStr">
        <is>
          <t>https://docs.google.com/spreadsheets/d/1ZiCGoPjLCjuYvujDTXK9Ixbth3tekiLtFBzBrGjPCr4/edit?gid=0#gid=0</t>
        </is>
      </c>
      <c r="J465" s="67" t="inlineStr">
        <is>
          <t>Mais informações (Quanto Pagou?) - [AAV]</t>
        </is>
      </c>
      <c r="K465" s="67" t="inlineStr">
        <is>
          <t>Scout</t>
        </is>
      </c>
      <c r="L465" s="68" t="b">
        <v>0</v>
      </c>
      <c r="M465" s="20" t="n"/>
      <c r="N465" s="69">
        <f>IF($J465="","",IFERROR(INDEX(B!$F$2:$F$61,MATCH($J465,B!$E$2:$E$61,0))&amp;"",""))</f>
        <v/>
      </c>
      <c r="O465" s="69">
        <f>IF($J465="","",IFERROR(INDEX(B!$G$2:$G$61,MATCH($J465,B!$E$2:$E$61,0))&amp;"",""))</f>
        <v/>
      </c>
      <c r="P465" s="69">
        <f>IF($J465="","",IFERROR(INDEX(B!$H$2:$H$61,MATCH($J465,B!$E$2:$E$61,0))&amp;"",""))</f>
        <v/>
      </c>
      <c r="Q465" s="69">
        <f>IF($J465="","",IFERROR(INDEX(B!$I$2:$I$61,MATCH($J465,B!$E$2:$E$61,0))&amp;"",""))</f>
        <v/>
      </c>
      <c r="R465" s="69">
        <f>IF($J465="","",IFERROR(INDEX(B!$J$2:$J$61,MATCH($J465,B!$E$2:$E$61,0))&amp;"",""))</f>
        <v/>
      </c>
      <c r="S465" s="69">
        <f>IF($J465="","",IFERROR(INDEX(B!$K$2:$K$61,MATCH($J465,B!$E$2:$E$61,0))&amp;"",""))</f>
        <v/>
      </c>
      <c r="T465" s="69">
        <f>IF($J465="","",IFERROR(INDEX(B!$L$2:$L$61,MATCH($J465,B!$E$2:$E$61,0))&amp;"",""))</f>
        <v/>
      </c>
      <c r="U465" s="20" t="n"/>
      <c r="V465" s="70">
        <f>IF($J465="","",IFERROR(INDEX(B!$M$2:$M$61,MATCH($J465,B!$E$2:$E$61,0))&amp;"",""))</f>
        <v/>
      </c>
      <c r="W465" s="71">
        <f>IF(I465="","",IFERROR(MID(I465,FIND("/d/",I465)+3,FIND("/edit",I465)-FIND("/d/",I465)-3),I465))</f>
        <v/>
      </c>
      <c r="X465" s="71">
        <f>IF($J465="","",IFERROR(INDEX(B!$C$2:$C$61,MATCH($J465,B!$E$2:$E$61,0))&amp;"",""))</f>
        <v/>
      </c>
      <c r="Y465" s="20" t="n"/>
      <c r="Z465" s="72">
        <f>IF($J465="",FALSE,ISNUMBER(SEARCH("scout",$K465)))</f>
        <v/>
      </c>
      <c r="AA465" s="72">
        <f>IF($J465="",FALSE,IFERROR(INDEX(B!$N$2:$N$61,MATCH($J465,B!$E$2:$E$61,0))="Sim",FALSE))</f>
        <v/>
      </c>
      <c r="AB465" s="72">
        <f>IF($J465="",FALSE,LEFT($X465,2)="XX")</f>
        <v/>
      </c>
      <c r="AC465" s="72">
        <f>IF($J465="",FALSE,IFERROR(INDEX(B!$P$2:$P$61,MATCH($J465,B!$E$2:$E$61,0))="Sim",FALSE))</f>
        <v/>
      </c>
      <c r="AD465" s="20" t="n"/>
      <c r="AE465" s="52">
        <f>IF(H465="","",HOUR(H465))</f>
        <v/>
      </c>
      <c r="AF465" s="52" t="n"/>
    </row>
    <row r="466" ht="19.5" customHeight="1" s="58">
      <c r="A466" s="62">
        <f>IF(G466="","",IF(G466=G465,"",COUNTIF($G$3:$G$976,G466)))</f>
        <v/>
      </c>
      <c r="B466" s="20" t="n"/>
      <c r="C466" s="63">
        <f>IF(G466="","",DAY(G466))</f>
        <v/>
      </c>
      <c r="D466" s="63">
        <f>IF(G466="","",MONTH(G466))</f>
        <v/>
      </c>
      <c r="E466" s="63">
        <f>IF(G466="","",YEAR(G466))</f>
        <v/>
      </c>
      <c r="F466" s="33">
        <f>IF(G466="","",CHOOSE(MONTH(G466),"Janeiro","Fevereiro","Março","Abril","Maio","Junho","Julho","Agosto","Setembro","Outubro","Novembro","Dezembro"))</f>
        <v/>
      </c>
      <c r="G466" s="64" t="n">
        <v>46068</v>
      </c>
      <c r="H466" s="65" t="n">
        <v>0.07585648148148148</v>
      </c>
      <c r="I466" s="66" t="inlineStr">
        <is>
          <t>https://docs.google.com/spreadsheets/d/1ZiCGoPjLCjuYvujDTXK9Ixbth3tekiLtFBzBrGjPCr4/edit?gid=0#gid=0</t>
        </is>
      </c>
      <c r="J466" s="67" t="inlineStr">
        <is>
          <t>Taxa de Limpeza, Sem ajustes - [TXLO]</t>
        </is>
      </c>
      <c r="K466" s="67" t="inlineStr"/>
      <c r="L466" s="68" t="b">
        <v>0</v>
      </c>
      <c r="M466" s="20" t="n"/>
      <c r="N466" s="69">
        <f>IF($J466="","",IFERROR(INDEX(B!$F$2:$F$61,MATCH($J466,B!$E$2:$E$61,0))&amp;"",""))</f>
        <v/>
      </c>
      <c r="O466" s="69">
        <f>IF($J466="","",IFERROR(INDEX(B!$G$2:$G$61,MATCH($J466,B!$E$2:$E$61,0))&amp;"",""))</f>
        <v/>
      </c>
      <c r="P466" s="69">
        <f>IF($J466="","",IFERROR(INDEX(B!$H$2:$H$61,MATCH($J466,B!$E$2:$E$61,0))&amp;"",""))</f>
        <v/>
      </c>
      <c r="Q466" s="69">
        <f>IF($J466="","",IFERROR(INDEX(B!$I$2:$I$61,MATCH($J466,B!$E$2:$E$61,0))&amp;"",""))</f>
        <v/>
      </c>
      <c r="R466" s="69">
        <f>IF($J466="","",IFERROR(INDEX(B!$J$2:$J$61,MATCH($J466,B!$E$2:$E$61,0))&amp;"",""))</f>
        <v/>
      </c>
      <c r="S466" s="69">
        <f>IF($J466="","",IFERROR(INDEX(B!$K$2:$K$61,MATCH($J466,B!$E$2:$E$61,0))&amp;"",""))</f>
        <v/>
      </c>
      <c r="T466" s="69">
        <f>IF($J466="","",IFERROR(INDEX(B!$L$2:$L$61,MATCH($J466,B!$E$2:$E$61,0))&amp;"",""))</f>
        <v/>
      </c>
      <c r="U466" s="20" t="n"/>
      <c r="V466" s="70">
        <f>IF($J466="","",IFERROR(INDEX(B!$M$2:$M$61,MATCH($J466,B!$E$2:$E$61,0))&amp;"",""))</f>
        <v/>
      </c>
      <c r="W466" s="71">
        <f>IF(I466="","",IFERROR(MID(I466,FIND("/d/",I466)+3,FIND("/edit",I466)-FIND("/d/",I466)-3),I466))</f>
        <v/>
      </c>
      <c r="X466" s="71">
        <f>IF($J466="","",IFERROR(INDEX(B!$C$2:$C$61,MATCH($J466,B!$E$2:$E$61,0))&amp;"",""))</f>
        <v/>
      </c>
      <c r="Y466" s="20" t="n"/>
      <c r="Z466" s="72">
        <f>IF($J466="",FALSE,ISNUMBER(SEARCH("scout",$K466)))</f>
        <v/>
      </c>
      <c r="AA466" s="72">
        <f>IF($J466="",FALSE,IFERROR(INDEX(B!$N$2:$N$61,MATCH($J466,B!$E$2:$E$61,0))="Sim",FALSE))</f>
        <v/>
      </c>
      <c r="AB466" s="72">
        <f>IF($J466="",FALSE,LEFT($X466,2)="XX")</f>
        <v/>
      </c>
      <c r="AC466" s="72">
        <f>IF($J466="",FALSE,IFERROR(INDEX(B!$P$2:$P$61,MATCH($J466,B!$E$2:$E$61,0))="Sim",FALSE))</f>
        <v/>
      </c>
      <c r="AD466" s="20" t="n"/>
      <c r="AE466" s="52">
        <f>IF(H466="","",HOUR(H466))</f>
        <v/>
      </c>
      <c r="AF466" s="52" t="n"/>
    </row>
    <row r="467" ht="19.5" customHeight="1" s="58">
      <c r="A467" s="62">
        <f>IF(G467="","",IF(G467=G466,"",COUNTIF($G$3:$G$976,G467)))</f>
        <v/>
      </c>
      <c r="B467" s="20" t="n"/>
      <c r="C467" s="63">
        <f>IF(G467="","",DAY(G467))</f>
        <v/>
      </c>
      <c r="D467" s="63">
        <f>IF(G467="","",MONTH(G467))</f>
        <v/>
      </c>
      <c r="E467" s="63">
        <f>IF(G467="","",YEAR(G467))</f>
        <v/>
      </c>
      <c r="F467" s="33">
        <f>IF(G467="","",CHOOSE(MONTH(G467),"Janeiro","Fevereiro","Março","Abril","Maio","Junho","Julho","Agosto","Setembro","Outubro","Novembro","Dezembro"))</f>
        <v/>
      </c>
      <c r="G467" s="64" t="n">
        <v>46068</v>
      </c>
      <c r="H467" s="65" t="n">
        <v>0.07611111111111112</v>
      </c>
      <c r="I467" s="66" t="inlineStr">
        <is>
          <t>https://docs.google.com/spreadsheets/d/1ZiCGoPjLCjuYvujDTXK9Ixbth3tekiLtFBzBrGjPCr4/edit?gid=0#gid=0</t>
        </is>
      </c>
      <c r="J467" s="67" t="inlineStr">
        <is>
          <t>Transferência de LOB (Geral não especificado) - [TI]</t>
        </is>
      </c>
      <c r="K467" s="67" t="inlineStr"/>
      <c r="L467" s="68" t="b">
        <v>0</v>
      </c>
      <c r="M467" s="20" t="n"/>
      <c r="N467" s="69">
        <f>IF($J467="","",IFERROR(INDEX(B!$F$2:$F$61,MATCH($J467,B!$E$2:$E$61,0))&amp;"",""))</f>
        <v/>
      </c>
      <c r="O467" s="69">
        <f>IF($J467="","",IFERROR(INDEX(B!$G$2:$G$61,MATCH($J467,B!$E$2:$E$61,0))&amp;"",""))</f>
        <v/>
      </c>
      <c r="P467" s="69">
        <f>IF($J467="","",IFERROR(INDEX(B!$H$2:$H$61,MATCH($J467,B!$E$2:$E$61,0))&amp;"",""))</f>
        <v/>
      </c>
      <c r="Q467" s="69">
        <f>IF($J467="","",IFERROR(INDEX(B!$I$2:$I$61,MATCH($J467,B!$E$2:$E$61,0))&amp;"",""))</f>
        <v/>
      </c>
      <c r="R467" s="69">
        <f>IF($J467="","",IFERROR(INDEX(B!$J$2:$J$61,MATCH($J467,B!$E$2:$E$61,0))&amp;"",""))</f>
        <v/>
      </c>
      <c r="S467" s="69">
        <f>IF($J467="","",IFERROR(INDEX(B!$K$2:$K$61,MATCH($J467,B!$E$2:$E$61,0))&amp;"",""))</f>
        <v/>
      </c>
      <c r="T467" s="69">
        <f>IF($J467="","",IFERROR(INDEX(B!$L$2:$L$61,MATCH($J467,B!$E$2:$E$61,0))&amp;"",""))</f>
        <v/>
      </c>
      <c r="U467" s="20" t="n"/>
      <c r="V467" s="70">
        <f>IF($J467="","",IFERROR(INDEX(B!$M$2:$M$61,MATCH($J467,B!$E$2:$E$61,0))&amp;"",""))</f>
        <v/>
      </c>
      <c r="W467" s="71">
        <f>IF(I467="","",IFERROR(MID(I467,FIND("/d/",I467)+3,FIND("/edit",I467)-FIND("/d/",I467)-3),I467))</f>
        <v/>
      </c>
      <c r="X467" s="71">
        <f>IF($J467="","",IFERROR(INDEX(B!$C$2:$C$61,MATCH($J467,B!$E$2:$E$61,0))&amp;"",""))</f>
        <v/>
      </c>
      <c r="Y467" s="20" t="n"/>
      <c r="Z467" s="72">
        <f>IF($J467="",FALSE,ISNUMBER(SEARCH("scout",$K467)))</f>
        <v/>
      </c>
      <c r="AA467" s="72">
        <f>IF($J467="",FALSE,IFERROR(INDEX(B!$N$2:$N$61,MATCH($J467,B!$E$2:$E$61,0))="Sim",FALSE))</f>
        <v/>
      </c>
      <c r="AB467" s="72">
        <f>IF($J467="",FALSE,LEFT($X467,2)="XX")</f>
        <v/>
      </c>
      <c r="AC467" s="72">
        <f>IF($J467="",FALSE,IFERROR(INDEX(B!$P$2:$P$61,MATCH($J467,B!$E$2:$E$61,0))="Sim",FALSE))</f>
        <v/>
      </c>
      <c r="AD467" s="20" t="n"/>
      <c r="AE467" s="52">
        <f>IF(H467="","",HOUR(H467))</f>
        <v/>
      </c>
      <c r="AF467" s="52" t="n"/>
    </row>
    <row r="468" ht="19.5" customHeight="1" s="58">
      <c r="A468" s="62">
        <f>IF(G468="","",IF(G468=G467,"",COUNTIF($G$3:$G$976,G468)))</f>
        <v/>
      </c>
      <c r="B468" s="20" t="n"/>
      <c r="C468" s="63">
        <f>IF(G468="","",DAY(G468))</f>
        <v/>
      </c>
      <c r="D468" s="63">
        <f>IF(G468="","",MONTH(G468))</f>
        <v/>
      </c>
      <c r="E468" s="63">
        <f>IF(G468="","",YEAR(G468))</f>
        <v/>
      </c>
      <c r="F468" s="33">
        <f>IF(G468="","",CHOOSE(MONTH(G468),"Janeiro","Fevereiro","Março","Abril","Maio","Junho","Julho","Agosto","Setembro","Outubro","Novembro","Dezembro"))</f>
        <v/>
      </c>
      <c r="G468" s="64" t="n">
        <v>46068</v>
      </c>
      <c r="H468" s="65" t="n">
        <v>0.07988425925925927</v>
      </c>
      <c r="I468" s="66" t="inlineStr">
        <is>
          <t>https://docs.google.com/spreadsheets/d/1ZiCGoPjLCjuYvujDTXK9Ixbth3tekiLtFBzBrGjPCr4/edit?gid=0#gid=0</t>
        </is>
      </c>
      <c r="J468" s="67" t="inlineStr">
        <is>
          <t>Transferência de LOB (Geral não especificado) - [TI]</t>
        </is>
      </c>
      <c r="K468" s="67" t="inlineStr"/>
      <c r="L468" s="68" t="b">
        <v>0</v>
      </c>
      <c r="M468" s="20" t="n"/>
      <c r="N468" s="69">
        <f>IF($J468="","",IFERROR(INDEX(B!$F$2:$F$61,MATCH($J468,B!$E$2:$E$61,0))&amp;"",""))</f>
        <v/>
      </c>
      <c r="O468" s="69">
        <f>IF($J468="","",IFERROR(INDEX(B!$G$2:$G$61,MATCH($J468,B!$E$2:$E$61,0))&amp;"",""))</f>
        <v/>
      </c>
      <c r="P468" s="69">
        <f>IF($J468="","",IFERROR(INDEX(B!$H$2:$H$61,MATCH($J468,B!$E$2:$E$61,0))&amp;"",""))</f>
        <v/>
      </c>
      <c r="Q468" s="69">
        <f>IF($J468="","",IFERROR(INDEX(B!$I$2:$I$61,MATCH($J468,B!$E$2:$E$61,0))&amp;"",""))</f>
        <v/>
      </c>
      <c r="R468" s="69">
        <f>IF($J468="","",IFERROR(INDEX(B!$J$2:$J$61,MATCH($J468,B!$E$2:$E$61,0))&amp;"",""))</f>
        <v/>
      </c>
      <c r="S468" s="69">
        <f>IF($J468="","",IFERROR(INDEX(B!$K$2:$K$61,MATCH($J468,B!$E$2:$E$61,0))&amp;"",""))</f>
        <v/>
      </c>
      <c r="T468" s="69">
        <f>IF($J468="","",IFERROR(INDEX(B!$L$2:$L$61,MATCH($J468,B!$E$2:$E$61,0))&amp;"",""))</f>
        <v/>
      </c>
      <c r="U468" s="20" t="n"/>
      <c r="V468" s="70">
        <f>IF($J468="","",IFERROR(INDEX(B!$M$2:$M$61,MATCH($J468,B!$E$2:$E$61,0))&amp;"",""))</f>
        <v/>
      </c>
      <c r="W468" s="71">
        <f>IF(I468="","",IFERROR(MID(I468,FIND("/d/",I468)+3,FIND("/edit",I468)-FIND("/d/",I468)-3),I468))</f>
        <v/>
      </c>
      <c r="X468" s="71">
        <f>IF($J468="","",IFERROR(INDEX(B!$C$2:$C$61,MATCH($J468,B!$E$2:$E$61,0))&amp;"",""))</f>
        <v/>
      </c>
      <c r="Y468" s="20" t="n"/>
      <c r="Z468" s="72">
        <f>IF($J468="",FALSE,ISNUMBER(SEARCH("scout",$K468)))</f>
        <v/>
      </c>
      <c r="AA468" s="72">
        <f>IF($J468="",FALSE,IFERROR(INDEX(B!$N$2:$N$61,MATCH($J468,B!$E$2:$E$61,0))="Sim",FALSE))</f>
        <v/>
      </c>
      <c r="AB468" s="72">
        <f>IF($J468="",FALSE,LEFT($X468,2)="XX")</f>
        <v/>
      </c>
      <c r="AC468" s="72">
        <f>IF($J468="",FALSE,IFERROR(INDEX(B!$P$2:$P$61,MATCH($J468,B!$E$2:$E$61,0))="Sim",FALSE))</f>
        <v/>
      </c>
      <c r="AD468" s="20" t="n"/>
      <c r="AE468" s="52">
        <f>IF(H468="","",HOUR(H468))</f>
        <v/>
      </c>
      <c r="AF468" s="52" t="n"/>
    </row>
    <row r="469" ht="19.5" customHeight="1" s="58">
      <c r="A469" s="62">
        <f>IF(G469="","",IF(G469=G468,"",COUNTIF($G$3:$G$976,G469)))</f>
        <v/>
      </c>
      <c r="B469" s="20" t="n"/>
      <c r="C469" s="63">
        <f>IF(G469="","",DAY(G469))</f>
        <v/>
      </c>
      <c r="D469" s="63">
        <f>IF(G469="","",MONTH(G469))</f>
        <v/>
      </c>
      <c r="E469" s="63">
        <f>IF(G469="","",YEAR(G469))</f>
        <v/>
      </c>
      <c r="F469" s="33">
        <f>IF(G469="","",CHOOSE(MONTH(G469),"Janeiro","Fevereiro","Março","Abril","Maio","Junho","Julho","Agosto","Setembro","Outubro","Novembro","Dezembro"))</f>
        <v/>
      </c>
      <c r="G469" s="64" t="n">
        <v>46068</v>
      </c>
      <c r="H469" s="65" t="n">
        <v>0.09138888888888889</v>
      </c>
      <c r="I469" s="66" t="inlineStr">
        <is>
          <t>https://docs.google.com/spreadsheets/d/1ZiCGoPjLCjuYvujDTXK9Ixbth3tekiLtFBzBrGjPCr4/edit?gid=0#gid=0</t>
        </is>
      </c>
      <c r="J469" s="67" t="inlineStr">
        <is>
          <t>Viagem Calculada Incorretamente - [VCI]</t>
        </is>
      </c>
      <c r="K469" s="67" t="inlineStr">
        <is>
          <t>Scout</t>
        </is>
      </c>
      <c r="L469" s="68" t="b">
        <v>0</v>
      </c>
      <c r="M469" s="20" t="n"/>
      <c r="N469" s="69">
        <f>IF($J469="","",IFERROR(INDEX(B!$F$2:$F$61,MATCH($J469,B!$E$2:$E$61,0))&amp;"",""))</f>
        <v/>
      </c>
      <c r="O469" s="69">
        <f>IF($J469="","",IFERROR(INDEX(B!$G$2:$G$61,MATCH($J469,B!$E$2:$E$61,0))&amp;"",""))</f>
        <v/>
      </c>
      <c r="P469" s="69">
        <f>IF($J469="","",IFERROR(INDEX(B!$H$2:$H$61,MATCH($J469,B!$E$2:$E$61,0))&amp;"",""))</f>
        <v/>
      </c>
      <c r="Q469" s="69">
        <f>IF($J469="","",IFERROR(INDEX(B!$I$2:$I$61,MATCH($J469,B!$E$2:$E$61,0))&amp;"",""))</f>
        <v/>
      </c>
      <c r="R469" s="69">
        <f>IF($J469="","",IFERROR(INDEX(B!$J$2:$J$61,MATCH($J469,B!$E$2:$E$61,0))&amp;"",""))</f>
        <v/>
      </c>
      <c r="S469" s="69">
        <f>IF($J469="","",IFERROR(INDEX(B!$K$2:$K$61,MATCH($J469,B!$E$2:$E$61,0))&amp;"",""))</f>
        <v/>
      </c>
      <c r="T469" s="69">
        <f>IF($J469="","",IFERROR(INDEX(B!$L$2:$L$61,MATCH($J469,B!$E$2:$E$61,0))&amp;"",""))</f>
        <v/>
      </c>
      <c r="U469" s="20" t="n"/>
      <c r="V469" s="70">
        <f>IF($J469="","",IFERROR(INDEX(B!$M$2:$M$61,MATCH($J469,B!$E$2:$E$61,0))&amp;"",""))</f>
        <v/>
      </c>
      <c r="W469" s="71">
        <f>IF(I469="","",IFERROR(MID(I469,FIND("/d/",I469)+3,FIND("/edit",I469)-FIND("/d/",I469)-3),I469))</f>
        <v/>
      </c>
      <c r="X469" s="71">
        <f>IF($J469="","",IFERROR(INDEX(B!$C$2:$C$61,MATCH($J469,B!$E$2:$E$61,0))&amp;"",""))</f>
        <v/>
      </c>
      <c r="Y469" s="20" t="n"/>
      <c r="Z469" s="72">
        <f>IF($J469="",FALSE,ISNUMBER(SEARCH("scout",$K469)))</f>
        <v/>
      </c>
      <c r="AA469" s="72">
        <f>IF($J469="",FALSE,IFERROR(INDEX(B!$N$2:$N$61,MATCH($J469,B!$E$2:$E$61,0))="Sim",FALSE))</f>
        <v/>
      </c>
      <c r="AB469" s="72">
        <f>IF($J469="",FALSE,LEFT($X469,2)="XX")</f>
        <v/>
      </c>
      <c r="AC469" s="72">
        <f>IF($J469="",FALSE,IFERROR(INDEX(B!$P$2:$P$61,MATCH($J469,B!$E$2:$E$61,0))="Sim",FALSE))</f>
        <v/>
      </c>
      <c r="AD469" s="20" t="n"/>
      <c r="AE469" s="52">
        <f>IF(H469="","",HOUR(H469))</f>
        <v/>
      </c>
      <c r="AF469" s="52" t="n"/>
    </row>
    <row r="470" ht="19.5" customHeight="1" s="58">
      <c r="A470" s="62">
        <f>IF(G470="","",IF(G470=G469,"",COUNTIF($G$3:$G$976,G470)))</f>
        <v/>
      </c>
      <c r="B470" s="20" t="n"/>
      <c r="C470" s="63">
        <f>IF(G470="","",DAY(G470))</f>
        <v/>
      </c>
      <c r="D470" s="63">
        <f>IF(G470="","",MONTH(G470))</f>
        <v/>
      </c>
      <c r="E470" s="63">
        <f>IF(G470="","",YEAR(G470))</f>
        <v/>
      </c>
      <c r="F470" s="33">
        <f>IF(G470="","",CHOOSE(MONTH(G470),"Janeiro","Fevereiro","Março","Abril","Maio","Junho","Julho","Agosto","Setembro","Outubro","Novembro","Dezembro"))</f>
        <v/>
      </c>
      <c r="G470" s="64" t="n">
        <v>46068</v>
      </c>
      <c r="H470" s="65" t="n">
        <v>0.0999074074074074</v>
      </c>
      <c r="I470" s="66" t="inlineStr">
        <is>
          <t>https://docs.google.com/spreadsheets/d/1ZiCGoPjLCjuYvujDTXK9Ixbth3tekiLtFBzBrGjPCr4/edit?gid=0#gid=0</t>
        </is>
      </c>
      <c r="J470" s="67" t="inlineStr">
        <is>
          <t>Overpaid, Não excede o limite, Com comprovante - [OPNC]</t>
        </is>
      </c>
      <c r="K470" s="67" t="inlineStr"/>
      <c r="L470" s="68" t="b">
        <v>0</v>
      </c>
      <c r="M470" s="20" t="n"/>
      <c r="N470" s="69">
        <f>IF($J470="","",IFERROR(INDEX(B!$F$2:$F$61,MATCH($J470,B!$E$2:$E$61,0))&amp;"",""))</f>
        <v/>
      </c>
      <c r="O470" s="69">
        <f>IF($J470="","",IFERROR(INDEX(B!$G$2:$G$61,MATCH($J470,B!$E$2:$E$61,0))&amp;"",""))</f>
        <v/>
      </c>
      <c r="P470" s="69">
        <f>IF($J470="","",IFERROR(INDEX(B!$H$2:$H$61,MATCH($J470,B!$E$2:$E$61,0))&amp;"",""))</f>
        <v/>
      </c>
      <c r="Q470" s="69">
        <f>IF($J470="","",IFERROR(INDEX(B!$I$2:$I$61,MATCH($J470,B!$E$2:$E$61,0))&amp;"",""))</f>
        <v/>
      </c>
      <c r="R470" s="69">
        <f>IF($J470="","",IFERROR(INDEX(B!$J$2:$J$61,MATCH($J470,B!$E$2:$E$61,0))&amp;"",""))</f>
        <v/>
      </c>
      <c r="S470" s="69">
        <f>IF($J470="","",IFERROR(INDEX(B!$K$2:$K$61,MATCH($J470,B!$E$2:$E$61,0))&amp;"",""))</f>
        <v/>
      </c>
      <c r="T470" s="69">
        <f>IF($J470="","",IFERROR(INDEX(B!$L$2:$L$61,MATCH($J470,B!$E$2:$E$61,0))&amp;"",""))</f>
        <v/>
      </c>
      <c r="U470" s="20" t="n"/>
      <c r="V470" s="70">
        <f>IF($J470="","",IFERROR(INDEX(B!$M$2:$M$61,MATCH($J470,B!$E$2:$E$61,0))&amp;"",""))</f>
        <v/>
      </c>
      <c r="W470" s="71">
        <f>IF(I470="","",IFERROR(MID(I470,FIND("/d/",I470)+3,FIND("/edit",I470)-FIND("/d/",I470)-3),I470))</f>
        <v/>
      </c>
      <c r="X470" s="71">
        <f>IF($J470="","",IFERROR(INDEX(B!$C$2:$C$61,MATCH($J470,B!$E$2:$E$61,0))&amp;"",""))</f>
        <v/>
      </c>
      <c r="Y470" s="20" t="n"/>
      <c r="Z470" s="72">
        <f>IF($J470="",FALSE,ISNUMBER(SEARCH("scout",$K470)))</f>
        <v/>
      </c>
      <c r="AA470" s="72">
        <f>IF($J470="",FALSE,IFERROR(INDEX(B!$N$2:$N$61,MATCH($J470,B!$E$2:$E$61,0))="Sim",FALSE))</f>
        <v/>
      </c>
      <c r="AB470" s="72">
        <f>IF($J470="",FALSE,LEFT($X470,2)="XX")</f>
        <v/>
      </c>
      <c r="AC470" s="72">
        <f>IF($J470="",FALSE,IFERROR(INDEX(B!$P$2:$P$61,MATCH($J470,B!$E$2:$E$61,0))="Sim",FALSE))</f>
        <v/>
      </c>
      <c r="AD470" s="20" t="n"/>
      <c r="AE470" s="52">
        <f>IF(H470="","",HOUR(H470))</f>
        <v/>
      </c>
      <c r="AF470" s="52" t="n"/>
    </row>
    <row r="471" ht="19.5" customHeight="1" s="58">
      <c r="A471" s="62">
        <f>IF(G471="","",IF(G471=G470,"",COUNTIF($G$3:$G$976,G471)))</f>
        <v/>
      </c>
      <c r="B471" s="20" t="n"/>
      <c r="C471" s="63">
        <f>IF(G471="","",DAY(G471))</f>
        <v/>
      </c>
      <c r="D471" s="63">
        <f>IF(G471="","",MONTH(G471))</f>
        <v/>
      </c>
      <c r="E471" s="63">
        <f>IF(G471="","",YEAR(G471))</f>
        <v/>
      </c>
      <c r="F471" s="33">
        <f>IF(G471="","",CHOOSE(MONTH(G471),"Janeiro","Fevereiro","Março","Abril","Maio","Junho","Julho","Agosto","Setembro","Outubro","Novembro","Dezembro"))</f>
        <v/>
      </c>
      <c r="G471" s="64" t="n">
        <v>46068</v>
      </c>
      <c r="H471" s="65" t="n">
        <v>0.1002199074074074</v>
      </c>
      <c r="I471" s="66" t="inlineStr">
        <is>
          <t>https://docs.google.com/spreadsheets/d/1ZiCGoPjLCjuYvujDTXK9Ixbth3tekiLtFBzBrGjPCr4/edit?gid=0#gid=0</t>
        </is>
      </c>
      <c r="J471" s="67" t="inlineStr">
        <is>
          <t>Trajeto Ruim - [TR]</t>
        </is>
      </c>
      <c r="K471" s="67" t="inlineStr"/>
      <c r="L471" s="68" t="b">
        <v>0</v>
      </c>
      <c r="M471" s="20" t="n"/>
      <c r="N471" s="69">
        <f>IF($J471="","",IFERROR(INDEX(B!$F$2:$F$61,MATCH($J471,B!$E$2:$E$61,0))&amp;"",""))</f>
        <v/>
      </c>
      <c r="O471" s="69">
        <f>IF($J471="","",IFERROR(INDEX(B!$G$2:$G$61,MATCH($J471,B!$E$2:$E$61,0))&amp;"",""))</f>
        <v/>
      </c>
      <c r="P471" s="69">
        <f>IF($J471="","",IFERROR(INDEX(B!$H$2:$H$61,MATCH($J471,B!$E$2:$E$61,0))&amp;"",""))</f>
        <v/>
      </c>
      <c r="Q471" s="69">
        <f>IF($J471="","",IFERROR(INDEX(B!$I$2:$I$61,MATCH($J471,B!$E$2:$E$61,0))&amp;"",""))</f>
        <v/>
      </c>
      <c r="R471" s="69">
        <f>IF($J471="","",IFERROR(INDEX(B!$J$2:$J$61,MATCH($J471,B!$E$2:$E$61,0))&amp;"",""))</f>
        <v/>
      </c>
      <c r="S471" s="69">
        <f>IF($J471="","",IFERROR(INDEX(B!$K$2:$K$61,MATCH($J471,B!$E$2:$E$61,0))&amp;"",""))</f>
        <v/>
      </c>
      <c r="T471" s="69">
        <f>IF($J471="","",IFERROR(INDEX(B!$L$2:$L$61,MATCH($J471,B!$E$2:$E$61,0))&amp;"",""))</f>
        <v/>
      </c>
      <c r="U471" s="20" t="n"/>
      <c r="V471" s="70">
        <f>IF($J471="","",IFERROR(INDEX(B!$M$2:$M$61,MATCH($J471,B!$E$2:$E$61,0))&amp;"",""))</f>
        <v/>
      </c>
      <c r="W471" s="71">
        <f>IF(I471="","",IFERROR(MID(I471,FIND("/d/",I471)+3,FIND("/edit",I471)-FIND("/d/",I471)-3),I471))</f>
        <v/>
      </c>
      <c r="X471" s="71">
        <f>IF($J471="","",IFERROR(INDEX(B!$C$2:$C$61,MATCH($J471,B!$E$2:$E$61,0))&amp;"",""))</f>
        <v/>
      </c>
      <c r="Y471" s="20" t="n"/>
      <c r="Z471" s="72">
        <f>IF($J471="",FALSE,ISNUMBER(SEARCH("scout",$K471)))</f>
        <v/>
      </c>
      <c r="AA471" s="72">
        <f>IF($J471="",FALSE,IFERROR(INDEX(B!$N$2:$N$61,MATCH($J471,B!$E$2:$E$61,0))="Sim",FALSE))</f>
        <v/>
      </c>
      <c r="AB471" s="72">
        <f>IF($J471="",FALSE,LEFT($X471,2)="XX")</f>
        <v/>
      </c>
      <c r="AC471" s="72">
        <f>IF($J471="",FALSE,IFERROR(INDEX(B!$P$2:$P$61,MATCH($J471,B!$E$2:$E$61,0))="Sim",FALSE))</f>
        <v/>
      </c>
      <c r="AD471" s="20" t="n"/>
      <c r="AE471" s="52">
        <f>IF(H471="","",HOUR(H471))</f>
        <v/>
      </c>
      <c r="AF471" s="52" t="n"/>
    </row>
    <row r="472" ht="19.5" customHeight="1" s="58">
      <c r="A472" s="62">
        <f>IF(G472="","",IF(G472=G471,"",COUNTIF($G$3:$G$976,G472)))</f>
        <v/>
      </c>
      <c r="B472" s="20" t="n"/>
      <c r="C472" s="63">
        <f>IF(G472="","",DAY(G472))</f>
        <v/>
      </c>
      <c r="D472" s="63">
        <f>IF(G472="","",MONTH(G472))</f>
        <v/>
      </c>
      <c r="E472" s="63">
        <f>IF(G472="","",YEAR(G472))</f>
        <v/>
      </c>
      <c r="F472" s="33">
        <f>IF(G472="","",CHOOSE(MONTH(G472),"Janeiro","Fevereiro","Março","Abril","Maio","Junho","Julho","Agosto","Setembro","Outubro","Novembro","Dezembro"))</f>
        <v/>
      </c>
      <c r="G472" s="64" t="n">
        <v>46068</v>
      </c>
      <c r="H472" s="65" t="n">
        <v>0.1015046296296296</v>
      </c>
      <c r="I472" s="66" t="inlineStr">
        <is>
          <t>https://docs.google.com/spreadsheets/d/1ZiCGoPjLCjuYvujDTXK9Ixbth3tekiLtFBzBrGjPCr4/edit?gid=0#gid=0</t>
        </is>
      </c>
      <c r="J472" s="67" t="inlineStr">
        <is>
          <t>Pushback (Agradecimento) - [XXA]</t>
        </is>
      </c>
      <c r="K472" s="67" t="inlineStr"/>
      <c r="L472" s="68" t="b">
        <v>0</v>
      </c>
      <c r="M472" s="20" t="n"/>
      <c r="N472" s="69">
        <f>IF($J472="","",IFERROR(INDEX(B!$F$2:$F$61,MATCH($J472,B!$E$2:$E$61,0))&amp;"",""))</f>
        <v/>
      </c>
      <c r="O472" s="69">
        <f>IF($J472="","",IFERROR(INDEX(B!$G$2:$G$61,MATCH($J472,B!$E$2:$E$61,0))&amp;"",""))</f>
        <v/>
      </c>
      <c r="P472" s="69">
        <f>IF($J472="","",IFERROR(INDEX(B!$H$2:$H$61,MATCH($J472,B!$E$2:$E$61,0))&amp;"",""))</f>
        <v/>
      </c>
      <c r="Q472" s="69">
        <f>IF($J472="","",IFERROR(INDEX(B!$I$2:$I$61,MATCH($J472,B!$E$2:$E$61,0))&amp;"",""))</f>
        <v/>
      </c>
      <c r="R472" s="69">
        <f>IF($J472="","",IFERROR(INDEX(B!$J$2:$J$61,MATCH($J472,B!$E$2:$E$61,0))&amp;"",""))</f>
        <v/>
      </c>
      <c r="S472" s="69">
        <f>IF($J472="","",IFERROR(INDEX(B!$K$2:$K$61,MATCH($J472,B!$E$2:$E$61,0))&amp;"",""))</f>
        <v/>
      </c>
      <c r="T472" s="69">
        <f>IF($J472="","",IFERROR(INDEX(B!$L$2:$L$61,MATCH($J472,B!$E$2:$E$61,0))&amp;"",""))</f>
        <v/>
      </c>
      <c r="U472" s="20" t="n"/>
      <c r="V472" s="70">
        <f>IF($J472="","",IFERROR(INDEX(B!$M$2:$M$61,MATCH($J472,B!$E$2:$E$61,0))&amp;"",""))</f>
        <v/>
      </c>
      <c r="W472" s="71">
        <f>IF(I472="","",IFERROR(MID(I472,FIND("/d/",I472)+3,FIND("/edit",I472)-FIND("/d/",I472)-3),I472))</f>
        <v/>
      </c>
      <c r="X472" s="71">
        <f>IF($J472="","",IFERROR(INDEX(B!$C$2:$C$61,MATCH($J472,B!$E$2:$E$61,0))&amp;"",""))</f>
        <v/>
      </c>
      <c r="Y472" s="20" t="n"/>
      <c r="Z472" s="72">
        <f>IF($J472="",FALSE,ISNUMBER(SEARCH("scout",$K472)))</f>
        <v/>
      </c>
      <c r="AA472" s="72">
        <f>IF($J472="",FALSE,IFERROR(INDEX(B!$N$2:$N$61,MATCH($J472,B!$E$2:$E$61,0))="Sim",FALSE))</f>
        <v/>
      </c>
      <c r="AB472" s="72">
        <f>IF($J472="",FALSE,LEFT($X472,2)="XX")</f>
        <v/>
      </c>
      <c r="AC472" s="72">
        <f>IF($J472="",FALSE,IFERROR(INDEX(B!$P$2:$P$61,MATCH($J472,B!$E$2:$E$61,0))="Sim",FALSE))</f>
        <v/>
      </c>
      <c r="AD472" s="20" t="n"/>
      <c r="AE472" s="52">
        <f>IF(H472="","",HOUR(H472))</f>
        <v/>
      </c>
      <c r="AF472" s="52" t="n"/>
    </row>
    <row r="473" ht="19.5" customHeight="1" s="58">
      <c r="A473" s="62">
        <f>IF(G473="","",IF(G473=G472,"",COUNTIF($G$3:$G$976,G473)))</f>
        <v/>
      </c>
      <c r="B473" s="20" t="n"/>
      <c r="C473" s="63">
        <f>IF(G473="","",DAY(G473))</f>
        <v/>
      </c>
      <c r="D473" s="63">
        <f>IF(G473="","",MONTH(G473))</f>
        <v/>
      </c>
      <c r="E473" s="63">
        <f>IF(G473="","",YEAR(G473))</f>
        <v/>
      </c>
      <c r="F473" s="33">
        <f>IF(G473="","",CHOOSE(MONTH(G473),"Janeiro","Fevereiro","Março","Abril","Maio","Junho","Julho","Agosto","Setembro","Outubro","Novembro","Dezembro"))</f>
        <v/>
      </c>
      <c r="G473" s="64" t="n">
        <v>46068</v>
      </c>
      <c r="H473" s="65" t="n">
        <v>0.1046296296296296</v>
      </c>
      <c r="I473" s="66" t="inlineStr">
        <is>
          <t>https://docs.google.com/spreadsheets/d/1ZiCGoPjLCjuYvujDTXK9Ixbth3tekiLtFBzBrGjPCr4/edit?gid=0#gid=0</t>
        </is>
      </c>
      <c r="J473" s="67" t="inlineStr">
        <is>
          <t>Transferência de LOB (Driver) - [TIDV]</t>
        </is>
      </c>
      <c r="K473" s="67" t="inlineStr"/>
      <c r="L473" s="68" t="b">
        <v>0</v>
      </c>
      <c r="M473" s="20" t="n"/>
      <c r="N473" s="69">
        <f>IF($J473="","",IFERROR(INDEX(B!$F$2:$F$61,MATCH($J473,B!$E$2:$E$61,0))&amp;"",""))</f>
        <v/>
      </c>
      <c r="O473" s="69">
        <f>IF($J473="","",IFERROR(INDEX(B!$G$2:$G$61,MATCH($J473,B!$E$2:$E$61,0))&amp;"",""))</f>
        <v/>
      </c>
      <c r="P473" s="69">
        <f>IF($J473="","",IFERROR(INDEX(B!$H$2:$H$61,MATCH($J473,B!$E$2:$E$61,0))&amp;"",""))</f>
        <v/>
      </c>
      <c r="Q473" s="69">
        <f>IF($J473="","",IFERROR(INDEX(B!$I$2:$I$61,MATCH($J473,B!$E$2:$E$61,0))&amp;"",""))</f>
        <v/>
      </c>
      <c r="R473" s="69">
        <f>IF($J473="","",IFERROR(INDEX(B!$J$2:$J$61,MATCH($J473,B!$E$2:$E$61,0))&amp;"",""))</f>
        <v/>
      </c>
      <c r="S473" s="69">
        <f>IF($J473="","",IFERROR(INDEX(B!$K$2:$K$61,MATCH($J473,B!$E$2:$E$61,0))&amp;"",""))</f>
        <v/>
      </c>
      <c r="T473" s="69">
        <f>IF($J473="","",IFERROR(INDEX(B!$L$2:$L$61,MATCH($J473,B!$E$2:$E$61,0))&amp;"",""))</f>
        <v/>
      </c>
      <c r="U473" s="20" t="n"/>
      <c r="V473" s="70">
        <f>IF($J473="","",IFERROR(INDEX(B!$M$2:$M$61,MATCH($J473,B!$E$2:$E$61,0))&amp;"",""))</f>
        <v/>
      </c>
      <c r="W473" s="71">
        <f>IF(I473="","",IFERROR(MID(I473,FIND("/d/",I473)+3,FIND("/edit",I473)-FIND("/d/",I473)-3),I473))</f>
        <v/>
      </c>
      <c r="X473" s="71">
        <f>IF($J473="","",IFERROR(INDEX(B!$C$2:$C$61,MATCH($J473,B!$E$2:$E$61,0))&amp;"",""))</f>
        <v/>
      </c>
      <c r="Y473" s="20" t="n"/>
      <c r="Z473" s="72">
        <f>IF($J473="",FALSE,ISNUMBER(SEARCH("scout",$K473)))</f>
        <v/>
      </c>
      <c r="AA473" s="72">
        <f>IF($J473="",FALSE,IFERROR(INDEX(B!$N$2:$N$61,MATCH($J473,B!$E$2:$E$61,0))="Sim",FALSE))</f>
        <v/>
      </c>
      <c r="AB473" s="72">
        <f>IF($J473="",FALSE,LEFT($X473,2)="XX")</f>
        <v/>
      </c>
      <c r="AC473" s="72">
        <f>IF($J473="",FALSE,IFERROR(INDEX(B!$P$2:$P$61,MATCH($J473,B!$E$2:$E$61,0))="Sim",FALSE))</f>
        <v/>
      </c>
      <c r="AD473" s="20" t="n"/>
      <c r="AE473" s="52">
        <f>IF(H473="","",HOUR(H473))</f>
        <v/>
      </c>
      <c r="AF473" s="52" t="n"/>
    </row>
    <row r="474" ht="19.5" customHeight="1" s="58">
      <c r="A474" s="62">
        <f>IF(G474="","",IF(G474=G473,"",COUNTIF($G$3:$G$976,G474)))</f>
        <v/>
      </c>
      <c r="B474" s="20" t="n"/>
      <c r="C474" s="63">
        <f>IF(G474="","",DAY(G474))</f>
        <v/>
      </c>
      <c r="D474" s="63">
        <f>IF(G474="","",MONTH(G474))</f>
        <v/>
      </c>
      <c r="E474" s="63">
        <f>IF(G474="","",YEAR(G474))</f>
        <v/>
      </c>
      <c r="F474" s="33">
        <f>IF(G474="","",CHOOSE(MONTH(G474),"Janeiro","Fevereiro","Março","Abril","Maio","Junho","Julho","Agosto","Setembro","Outubro","Novembro","Dezembro"))</f>
        <v/>
      </c>
      <c r="G474" s="64" t="n">
        <v>46068</v>
      </c>
      <c r="H474" s="65" t="n">
        <v>0.1138194444444444</v>
      </c>
      <c r="I474" s="66" t="inlineStr">
        <is>
          <t>https://docs.google.com/spreadsheets/d/1ZiCGoPjLCjuYvujDTXK9Ixbth3tekiLtFBzBrGjPCr4/edit?gid=0#gid=0</t>
        </is>
      </c>
      <c r="J474" s="67" t="inlineStr">
        <is>
          <t>Taxa de Cancelamento - [TXC]</t>
        </is>
      </c>
      <c r="K474" s="67" t="inlineStr"/>
      <c r="L474" s="68" t="b">
        <v>0</v>
      </c>
      <c r="M474" s="20" t="n"/>
      <c r="N474" s="69">
        <f>IF($J474="","",IFERROR(INDEX(B!$F$2:$F$61,MATCH($J474,B!$E$2:$E$61,0))&amp;"",""))</f>
        <v/>
      </c>
      <c r="O474" s="69">
        <f>IF($J474="","",IFERROR(INDEX(B!$G$2:$G$61,MATCH($J474,B!$E$2:$E$61,0))&amp;"",""))</f>
        <v/>
      </c>
      <c r="P474" s="69">
        <f>IF($J474="","",IFERROR(INDEX(B!$H$2:$H$61,MATCH($J474,B!$E$2:$E$61,0))&amp;"",""))</f>
        <v/>
      </c>
      <c r="Q474" s="69">
        <f>IF($J474="","",IFERROR(INDEX(B!$I$2:$I$61,MATCH($J474,B!$E$2:$E$61,0))&amp;"",""))</f>
        <v/>
      </c>
      <c r="R474" s="69">
        <f>IF($J474="","",IFERROR(INDEX(B!$J$2:$J$61,MATCH($J474,B!$E$2:$E$61,0))&amp;"",""))</f>
        <v/>
      </c>
      <c r="S474" s="69">
        <f>IF($J474="","",IFERROR(INDEX(B!$K$2:$K$61,MATCH($J474,B!$E$2:$E$61,0))&amp;"",""))</f>
        <v/>
      </c>
      <c r="T474" s="69">
        <f>IF($J474="","",IFERROR(INDEX(B!$L$2:$L$61,MATCH($J474,B!$E$2:$E$61,0))&amp;"",""))</f>
        <v/>
      </c>
      <c r="U474" s="20" t="n"/>
      <c r="V474" s="70">
        <f>IF($J474="","",IFERROR(INDEX(B!$M$2:$M$61,MATCH($J474,B!$E$2:$E$61,0))&amp;"",""))</f>
        <v/>
      </c>
      <c r="W474" s="71">
        <f>IF(I474="","",IFERROR(MID(I474,FIND("/d/",I474)+3,FIND("/edit",I474)-FIND("/d/",I474)-3),I474))</f>
        <v/>
      </c>
      <c r="X474" s="71">
        <f>IF($J474="","",IFERROR(INDEX(B!$C$2:$C$61,MATCH($J474,B!$E$2:$E$61,0))&amp;"",""))</f>
        <v/>
      </c>
      <c r="Y474" s="20" t="n"/>
      <c r="Z474" s="72">
        <f>IF($J474="",FALSE,ISNUMBER(SEARCH("scout",$K474)))</f>
        <v/>
      </c>
      <c r="AA474" s="72">
        <f>IF($J474="",FALSE,IFERROR(INDEX(B!$N$2:$N$61,MATCH($J474,B!$E$2:$E$61,0))="Sim",FALSE))</f>
        <v/>
      </c>
      <c r="AB474" s="72">
        <f>IF($J474="",FALSE,LEFT($X474,2)="XX")</f>
        <v/>
      </c>
      <c r="AC474" s="72">
        <f>IF($J474="",FALSE,IFERROR(INDEX(B!$P$2:$P$61,MATCH($J474,B!$E$2:$E$61,0))="Sim",FALSE))</f>
        <v/>
      </c>
      <c r="AD474" s="20" t="n"/>
      <c r="AE474" s="52">
        <f>IF(H474="","",HOUR(H474))</f>
        <v/>
      </c>
      <c r="AF474" s="52" t="n"/>
    </row>
    <row r="475" ht="19.5" customHeight="1" s="58">
      <c r="A475" s="62">
        <f>IF(G475="","",IF(G475=G474,"",COUNTIF($G$3:$G$976,G475)))</f>
        <v/>
      </c>
      <c r="B475" s="20" t="n"/>
      <c r="C475" s="63">
        <f>IF(G475="","",DAY(G475))</f>
        <v/>
      </c>
      <c r="D475" s="63">
        <f>IF(G475="","",MONTH(G475))</f>
        <v/>
      </c>
      <c r="E475" s="63">
        <f>IF(G475="","",YEAR(G475))</f>
        <v/>
      </c>
      <c r="F475" s="33">
        <f>IF(G475="","",CHOOSE(MONTH(G475),"Janeiro","Fevereiro","Março","Abril","Maio","Junho","Julho","Agosto","Setembro","Outubro","Novembro","Dezembro"))</f>
        <v/>
      </c>
      <c r="G475" s="64" t="n">
        <v>46068</v>
      </c>
      <c r="H475" s="65" t="n">
        <v>0.1138541666666667</v>
      </c>
      <c r="I475" s="66" t="inlineStr">
        <is>
          <t>https://docs.google.com/spreadsheets/d/1ZiCGoPjLCjuYvujDTXK9Ixbth3tekiLtFBzBrGjPCr4/edit?gid=0#gid=0</t>
        </is>
      </c>
      <c r="J475" s="67" t="inlineStr">
        <is>
          <t>Não houve Taxa de Cancelamento - [NTX]</t>
        </is>
      </c>
      <c r="K475" s="67" t="inlineStr">
        <is>
          <t>Scout</t>
        </is>
      </c>
      <c r="L475" s="68" t="b">
        <v>0</v>
      </c>
      <c r="M475" s="20" t="n"/>
      <c r="N475" s="69">
        <f>IF($J475="","",IFERROR(INDEX(B!$F$2:$F$61,MATCH($J475,B!$E$2:$E$61,0))&amp;"",""))</f>
        <v/>
      </c>
      <c r="O475" s="69">
        <f>IF($J475="","",IFERROR(INDEX(B!$G$2:$G$61,MATCH($J475,B!$E$2:$E$61,0))&amp;"",""))</f>
        <v/>
      </c>
      <c r="P475" s="69">
        <f>IF($J475="","",IFERROR(INDEX(B!$H$2:$H$61,MATCH($J475,B!$E$2:$E$61,0))&amp;"",""))</f>
        <v/>
      </c>
      <c r="Q475" s="69">
        <f>IF($J475="","",IFERROR(INDEX(B!$I$2:$I$61,MATCH($J475,B!$E$2:$E$61,0))&amp;"",""))</f>
        <v/>
      </c>
      <c r="R475" s="69">
        <f>IF($J475="","",IFERROR(INDEX(B!$J$2:$J$61,MATCH($J475,B!$E$2:$E$61,0))&amp;"",""))</f>
        <v/>
      </c>
      <c r="S475" s="69">
        <f>IF($J475="","",IFERROR(INDEX(B!$K$2:$K$61,MATCH($J475,B!$E$2:$E$61,0))&amp;"",""))</f>
        <v/>
      </c>
      <c r="T475" s="69">
        <f>IF($J475="","",IFERROR(INDEX(B!$L$2:$L$61,MATCH($J475,B!$E$2:$E$61,0))&amp;"",""))</f>
        <v/>
      </c>
      <c r="U475" s="20" t="n"/>
      <c r="V475" s="70">
        <f>IF($J475="","",IFERROR(INDEX(B!$M$2:$M$61,MATCH($J475,B!$E$2:$E$61,0))&amp;"",""))</f>
        <v/>
      </c>
      <c r="W475" s="71">
        <f>IF(I475="","",IFERROR(MID(I475,FIND("/d/",I475)+3,FIND("/edit",I475)-FIND("/d/",I475)-3),I475))</f>
        <v/>
      </c>
      <c r="X475" s="71">
        <f>IF($J475="","",IFERROR(INDEX(B!$C$2:$C$61,MATCH($J475,B!$E$2:$E$61,0))&amp;"",""))</f>
        <v/>
      </c>
      <c r="Y475" s="20" t="n"/>
      <c r="Z475" s="72">
        <f>IF($J475="",FALSE,ISNUMBER(SEARCH("scout",$K475)))</f>
        <v/>
      </c>
      <c r="AA475" s="72">
        <f>IF($J475="",FALSE,IFERROR(INDEX(B!$N$2:$N$61,MATCH($J475,B!$E$2:$E$61,0))="Sim",FALSE))</f>
        <v/>
      </c>
      <c r="AB475" s="72">
        <f>IF($J475="",FALSE,LEFT($X475,2)="XX")</f>
        <v/>
      </c>
      <c r="AC475" s="72">
        <f>IF($J475="",FALSE,IFERROR(INDEX(B!$P$2:$P$61,MATCH($J475,B!$E$2:$E$61,0))="Sim",FALSE))</f>
        <v/>
      </c>
      <c r="AD475" s="20" t="n"/>
      <c r="AE475" s="52">
        <f>IF(H475="","",HOUR(H475))</f>
        <v/>
      </c>
      <c r="AF475" s="52" t="n"/>
    </row>
    <row r="476" ht="19.5" customHeight="1" s="58">
      <c r="A476" s="62">
        <f>IF(G476="","",IF(G476=G475,"",COUNTIF($G$3:$G$976,G476)))</f>
        <v/>
      </c>
      <c r="B476" s="20" t="n"/>
      <c r="C476" s="63">
        <f>IF(G476="","",DAY(G476))</f>
        <v/>
      </c>
      <c r="D476" s="63">
        <f>IF(G476="","",MONTH(G476))</f>
        <v/>
      </c>
      <c r="E476" s="63">
        <f>IF(G476="","",YEAR(G476))</f>
        <v/>
      </c>
      <c r="F476" s="33">
        <f>IF(G476="","",CHOOSE(MONTH(G476),"Janeiro","Fevereiro","Março","Abril","Maio","Junho","Julho","Agosto","Setembro","Outubro","Novembro","Dezembro"))</f>
        <v/>
      </c>
      <c r="G476" s="64" t="n">
        <v>46068</v>
      </c>
      <c r="H476" s="65" t="n">
        <v>0.1190393518518519</v>
      </c>
      <c r="I476" s="66" t="inlineStr">
        <is>
          <t>https://docs.google.com/spreadsheets/d/1ZiCGoPjLCjuYvujDTXK9Ixbth3tekiLtFBzBrGjPCr4/edit?gid=0#gid=0</t>
        </is>
      </c>
      <c r="J476" s="67" t="inlineStr">
        <is>
          <t>Transferência de LOB (Driver) - [TIDV]</t>
        </is>
      </c>
      <c r="K476" s="67" t="inlineStr"/>
      <c r="L476" s="68" t="b">
        <v>0</v>
      </c>
      <c r="M476" s="20" t="n"/>
      <c r="N476" s="69">
        <f>IF($J476="","",IFERROR(INDEX(B!$F$2:$F$61,MATCH($J476,B!$E$2:$E$61,0))&amp;"",""))</f>
        <v/>
      </c>
      <c r="O476" s="69">
        <f>IF($J476="","",IFERROR(INDEX(B!$G$2:$G$61,MATCH($J476,B!$E$2:$E$61,0))&amp;"",""))</f>
        <v/>
      </c>
      <c r="P476" s="69">
        <f>IF($J476="","",IFERROR(INDEX(B!$H$2:$H$61,MATCH($J476,B!$E$2:$E$61,0))&amp;"",""))</f>
        <v/>
      </c>
      <c r="Q476" s="69">
        <f>IF($J476="","",IFERROR(INDEX(B!$I$2:$I$61,MATCH($J476,B!$E$2:$E$61,0))&amp;"",""))</f>
        <v/>
      </c>
      <c r="R476" s="69">
        <f>IF($J476="","",IFERROR(INDEX(B!$J$2:$J$61,MATCH($J476,B!$E$2:$E$61,0))&amp;"",""))</f>
        <v/>
      </c>
      <c r="S476" s="69">
        <f>IF($J476="","",IFERROR(INDEX(B!$K$2:$K$61,MATCH($J476,B!$E$2:$E$61,0))&amp;"",""))</f>
        <v/>
      </c>
      <c r="T476" s="69">
        <f>IF($J476="","",IFERROR(INDEX(B!$L$2:$L$61,MATCH($J476,B!$E$2:$E$61,0))&amp;"",""))</f>
        <v/>
      </c>
      <c r="U476" s="20" t="n"/>
      <c r="V476" s="70">
        <f>IF($J476="","",IFERROR(INDEX(B!$M$2:$M$61,MATCH($J476,B!$E$2:$E$61,0))&amp;"",""))</f>
        <v/>
      </c>
      <c r="W476" s="71">
        <f>IF(I476="","",IFERROR(MID(I476,FIND("/d/",I476)+3,FIND("/edit",I476)-FIND("/d/",I476)-3),I476))</f>
        <v/>
      </c>
      <c r="X476" s="71">
        <f>IF($J476="","",IFERROR(INDEX(B!$C$2:$C$61,MATCH($J476,B!$E$2:$E$61,0))&amp;"",""))</f>
        <v/>
      </c>
      <c r="Y476" s="20" t="n"/>
      <c r="Z476" s="72">
        <f>IF($J476="",FALSE,ISNUMBER(SEARCH("scout",$K476)))</f>
        <v/>
      </c>
      <c r="AA476" s="72">
        <f>IF($J476="",FALSE,IFERROR(INDEX(B!$N$2:$N$61,MATCH($J476,B!$E$2:$E$61,0))="Sim",FALSE))</f>
        <v/>
      </c>
      <c r="AB476" s="72">
        <f>IF($J476="",FALSE,LEFT($X476,2)="XX")</f>
        <v/>
      </c>
      <c r="AC476" s="72">
        <f>IF($J476="",FALSE,IFERROR(INDEX(B!$P$2:$P$61,MATCH($J476,B!$E$2:$E$61,0))="Sim",FALSE))</f>
        <v/>
      </c>
      <c r="AD476" s="20" t="n"/>
      <c r="AE476" s="52">
        <f>IF(H476="","",HOUR(H476))</f>
        <v/>
      </c>
      <c r="AF476" s="52" t="n"/>
    </row>
    <row r="477" ht="19.5" customHeight="1" s="58">
      <c r="A477" s="62">
        <f>IF(G477="","",IF(G477=G476,"",COUNTIF($G$3:$G$976,G477)))</f>
        <v/>
      </c>
      <c r="B477" s="20" t="n"/>
      <c r="C477" s="63">
        <f>IF(G477="","",DAY(G477))</f>
        <v/>
      </c>
      <c r="D477" s="63">
        <f>IF(G477="","",MONTH(G477))</f>
        <v/>
      </c>
      <c r="E477" s="63">
        <f>IF(G477="","",YEAR(G477))</f>
        <v/>
      </c>
      <c r="F477" s="33">
        <f>IF(G477="","",CHOOSE(MONTH(G477),"Janeiro","Fevereiro","Março","Abril","Maio","Junho","Julho","Agosto","Setembro","Outubro","Novembro","Dezembro"))</f>
        <v/>
      </c>
      <c r="G477" s="64" t="n">
        <v>46068</v>
      </c>
      <c r="H477" s="65" t="n">
        <v>0.1334837962962963</v>
      </c>
      <c r="I477" s="66" t="inlineStr">
        <is>
          <t>https://docs.google.com/spreadsheets/d/1ZiCGoPjLCjuYvujDTXK9Ixbth3tekiLtFBzBrGjPCr4/edit?gid=0#gid=0</t>
        </is>
      </c>
      <c r="J477" s="67" t="inlineStr">
        <is>
          <t>Pushback - [XX]</t>
        </is>
      </c>
      <c r="K477" s="67" t="inlineStr"/>
      <c r="L477" s="68" t="b">
        <v>1</v>
      </c>
      <c r="M477" s="20" t="n"/>
      <c r="N477" s="69">
        <f>IF($J477="","",IFERROR(INDEX(B!$F$2:$F$61,MATCH($J477,B!$E$2:$E$61,0))&amp;"",""))</f>
        <v/>
      </c>
      <c r="O477" s="69">
        <f>IF($J477="","",IFERROR(INDEX(B!$G$2:$G$61,MATCH($J477,B!$E$2:$E$61,0))&amp;"",""))</f>
        <v/>
      </c>
      <c r="P477" s="69">
        <f>IF($J477="","",IFERROR(INDEX(B!$H$2:$H$61,MATCH($J477,B!$E$2:$E$61,0))&amp;"",""))</f>
        <v/>
      </c>
      <c r="Q477" s="69">
        <f>IF($J477="","",IFERROR(INDEX(B!$I$2:$I$61,MATCH($J477,B!$E$2:$E$61,0))&amp;"",""))</f>
        <v/>
      </c>
      <c r="R477" s="69">
        <f>IF($J477="","",IFERROR(INDEX(B!$J$2:$J$61,MATCH($J477,B!$E$2:$E$61,0))&amp;"",""))</f>
        <v/>
      </c>
      <c r="S477" s="69">
        <f>IF($J477="","",IFERROR(INDEX(B!$K$2:$K$61,MATCH($J477,B!$E$2:$E$61,0))&amp;"",""))</f>
        <v/>
      </c>
      <c r="T477" s="69">
        <f>IF($J477="","",IFERROR(INDEX(B!$L$2:$L$61,MATCH($J477,B!$E$2:$E$61,0))&amp;"",""))</f>
        <v/>
      </c>
      <c r="U477" s="20" t="n"/>
      <c r="V477" s="70">
        <f>IF($J477="","",IFERROR(INDEX(B!$M$2:$M$61,MATCH($J477,B!$E$2:$E$61,0))&amp;"",""))</f>
        <v/>
      </c>
      <c r="W477" s="71">
        <f>IF(I477="","",IFERROR(MID(I477,FIND("/d/",I477)+3,FIND("/edit",I477)-FIND("/d/",I477)-3),I477))</f>
        <v/>
      </c>
      <c r="X477" s="71">
        <f>IF($J477="","",IFERROR(INDEX(B!$C$2:$C$61,MATCH($J477,B!$E$2:$E$61,0))&amp;"",""))</f>
        <v/>
      </c>
      <c r="Y477" s="20" t="n"/>
      <c r="Z477" s="72">
        <f>IF($J477="",FALSE,ISNUMBER(SEARCH("scout",$K477)))</f>
        <v/>
      </c>
      <c r="AA477" s="72">
        <f>IF($J477="",FALSE,IFERROR(INDEX(B!$N$2:$N$61,MATCH($J477,B!$E$2:$E$61,0))="Sim",FALSE))</f>
        <v/>
      </c>
      <c r="AB477" s="72">
        <f>IF($J477="",FALSE,LEFT($X477,2)="XX")</f>
        <v/>
      </c>
      <c r="AC477" s="72">
        <f>IF($J477="",FALSE,IFERROR(INDEX(B!$P$2:$P$61,MATCH($J477,B!$E$2:$E$61,0))="Sim",FALSE))</f>
        <v/>
      </c>
      <c r="AD477" s="20" t="n"/>
      <c r="AE477" s="52">
        <f>IF(H477="","",HOUR(H477))</f>
        <v/>
      </c>
      <c r="AF477" s="52" t="n"/>
    </row>
    <row r="478" ht="19.5" customHeight="1" s="58">
      <c r="A478" s="62">
        <f>IF(G478="","",IF(G478=G477,"",COUNTIF($G$3:$G$976,G478)))</f>
        <v/>
      </c>
      <c r="B478" s="20" t="n"/>
      <c r="C478" s="63">
        <f>IF(G478="","",DAY(G478))</f>
        <v/>
      </c>
      <c r="D478" s="63">
        <f>IF(G478="","",MONTH(G478))</f>
        <v/>
      </c>
      <c r="E478" s="63">
        <f>IF(G478="","",YEAR(G478))</f>
        <v/>
      </c>
      <c r="F478" s="33">
        <f>IF(G478="","",CHOOSE(MONTH(G478),"Janeiro","Fevereiro","Março","Abril","Maio","Junho","Julho","Agosto","Setembro","Outubro","Novembro","Dezembro"))</f>
        <v/>
      </c>
      <c r="G478" s="64" t="n">
        <v>46068</v>
      </c>
      <c r="H478" s="65" t="n">
        <v>0.1348842592592593</v>
      </c>
      <c r="I478" s="66" t="inlineStr">
        <is>
          <t>https://docs.google.com/spreadsheets/d/1ZiCGoPjLCjuYvujDTXK9Ixbth3tekiLtFBzBrGjPCr4/edit?gid=0#gid=0</t>
        </is>
      </c>
      <c r="J478" s="67" t="inlineStr">
        <is>
          <t>Overpaid, Não excede o limite, Com comprovante - [OPNC]</t>
        </is>
      </c>
      <c r="K478" s="67" t="inlineStr">
        <is>
          <t>Scout</t>
        </is>
      </c>
      <c r="L478" s="68" t="b">
        <v>0</v>
      </c>
      <c r="M478" s="20" t="n"/>
      <c r="N478" s="69">
        <f>IF($J478="","",IFERROR(INDEX(B!$F$2:$F$61,MATCH($J478,B!$E$2:$E$61,0))&amp;"",""))</f>
        <v/>
      </c>
      <c r="O478" s="69">
        <f>IF($J478="","",IFERROR(INDEX(B!$G$2:$G$61,MATCH($J478,B!$E$2:$E$61,0))&amp;"",""))</f>
        <v/>
      </c>
      <c r="P478" s="69">
        <f>IF($J478="","",IFERROR(INDEX(B!$H$2:$H$61,MATCH($J478,B!$E$2:$E$61,0))&amp;"",""))</f>
        <v/>
      </c>
      <c r="Q478" s="69">
        <f>IF($J478="","",IFERROR(INDEX(B!$I$2:$I$61,MATCH($J478,B!$E$2:$E$61,0))&amp;"",""))</f>
        <v/>
      </c>
      <c r="R478" s="69">
        <f>IF($J478="","",IFERROR(INDEX(B!$J$2:$J$61,MATCH($J478,B!$E$2:$E$61,0))&amp;"",""))</f>
        <v/>
      </c>
      <c r="S478" s="69">
        <f>IF($J478="","",IFERROR(INDEX(B!$K$2:$K$61,MATCH($J478,B!$E$2:$E$61,0))&amp;"",""))</f>
        <v/>
      </c>
      <c r="T478" s="69">
        <f>IF($J478="","",IFERROR(INDEX(B!$L$2:$L$61,MATCH($J478,B!$E$2:$E$61,0))&amp;"",""))</f>
        <v/>
      </c>
      <c r="U478" s="20" t="n"/>
      <c r="V478" s="70">
        <f>IF($J478="","",IFERROR(INDEX(B!$M$2:$M$61,MATCH($J478,B!$E$2:$E$61,0))&amp;"",""))</f>
        <v/>
      </c>
      <c r="W478" s="71">
        <f>IF(I478="","",IFERROR(MID(I478,FIND("/d/",I478)+3,FIND("/edit",I478)-FIND("/d/",I478)-3),I478))</f>
        <v/>
      </c>
      <c r="X478" s="71">
        <f>IF($J478="","",IFERROR(INDEX(B!$C$2:$C$61,MATCH($J478,B!$E$2:$E$61,0))&amp;"",""))</f>
        <v/>
      </c>
      <c r="Y478" s="20" t="n"/>
      <c r="Z478" s="72">
        <f>IF($J478="",FALSE,ISNUMBER(SEARCH("scout",$K478)))</f>
        <v/>
      </c>
      <c r="AA478" s="72">
        <f>IF($J478="",FALSE,IFERROR(INDEX(B!$N$2:$N$61,MATCH($J478,B!$E$2:$E$61,0))="Sim",FALSE))</f>
        <v/>
      </c>
      <c r="AB478" s="72">
        <f>IF($J478="",FALSE,LEFT($X478,2)="XX")</f>
        <v/>
      </c>
      <c r="AC478" s="72">
        <f>IF($J478="",FALSE,IFERROR(INDEX(B!$P$2:$P$61,MATCH($J478,B!$E$2:$E$61,0))="Sim",FALSE))</f>
        <v/>
      </c>
      <c r="AD478" s="20" t="n"/>
      <c r="AE478" s="52">
        <f>IF(H478="","",HOUR(H478))</f>
        <v/>
      </c>
      <c r="AF478" s="52" t="n"/>
    </row>
    <row r="479" ht="19.5" customHeight="1" s="58">
      <c r="A479" s="62">
        <f>IF(G479="","",IF(G479=G478,"",COUNTIF($G$3:$G$976,G479)))</f>
        <v/>
      </c>
      <c r="B479" s="20" t="n"/>
      <c r="C479" s="63">
        <f>IF(G479="","",DAY(G479))</f>
        <v/>
      </c>
      <c r="D479" s="63">
        <f>IF(G479="","",MONTH(G479))</f>
        <v/>
      </c>
      <c r="E479" s="63">
        <f>IF(G479="","",YEAR(G479))</f>
        <v/>
      </c>
      <c r="F479" s="33">
        <f>IF(G479="","",CHOOSE(MONTH(G479),"Janeiro","Fevereiro","Março","Abril","Maio","Junho","Julho","Agosto","Setembro","Outubro","Novembro","Dezembro"))</f>
        <v/>
      </c>
      <c r="G479" s="64" t="n">
        <v>46068</v>
      </c>
      <c r="H479" s="65" t="n">
        <v>0.1391550925925926</v>
      </c>
      <c r="I479" s="66" t="inlineStr">
        <is>
          <t>https://docs.google.com/spreadsheets/d/1ZiCGoPjLCjuYvujDTXK9Ixbth3tekiLtFBzBrGjPCr4/edit?gid=0#gid=0</t>
        </is>
      </c>
      <c r="J479" s="67" t="inlineStr">
        <is>
          <t>Erro de Gps (Problema Técnico) - [GPS]</t>
        </is>
      </c>
      <c r="K479" s="67" t="inlineStr"/>
      <c r="L479" s="68" t="b">
        <v>0</v>
      </c>
      <c r="M479" s="20" t="n"/>
      <c r="N479" s="69">
        <f>IF($J479="","",IFERROR(INDEX(B!$F$2:$F$61,MATCH($J479,B!$E$2:$E$61,0))&amp;"",""))</f>
        <v/>
      </c>
      <c r="O479" s="69">
        <f>IF($J479="","",IFERROR(INDEX(B!$G$2:$G$61,MATCH($J479,B!$E$2:$E$61,0))&amp;"",""))</f>
        <v/>
      </c>
      <c r="P479" s="69">
        <f>IF($J479="","",IFERROR(INDEX(B!$H$2:$H$61,MATCH($J479,B!$E$2:$E$61,0))&amp;"",""))</f>
        <v/>
      </c>
      <c r="Q479" s="69">
        <f>IF($J479="","",IFERROR(INDEX(B!$I$2:$I$61,MATCH($J479,B!$E$2:$E$61,0))&amp;"",""))</f>
        <v/>
      </c>
      <c r="R479" s="69">
        <f>IF($J479="","",IFERROR(INDEX(B!$J$2:$J$61,MATCH($J479,B!$E$2:$E$61,0))&amp;"",""))</f>
        <v/>
      </c>
      <c r="S479" s="69">
        <f>IF($J479="","",IFERROR(INDEX(B!$K$2:$K$61,MATCH($J479,B!$E$2:$E$61,0))&amp;"",""))</f>
        <v/>
      </c>
      <c r="T479" s="69">
        <f>IF($J479="","",IFERROR(INDEX(B!$L$2:$L$61,MATCH($J479,B!$E$2:$E$61,0))&amp;"",""))</f>
        <v/>
      </c>
      <c r="U479" s="20" t="n"/>
      <c r="V479" s="70">
        <f>IF($J479="","",IFERROR(INDEX(B!$M$2:$M$61,MATCH($J479,B!$E$2:$E$61,0))&amp;"",""))</f>
        <v/>
      </c>
      <c r="W479" s="71">
        <f>IF(I479="","",IFERROR(MID(I479,FIND("/d/",I479)+3,FIND("/edit",I479)-FIND("/d/",I479)-3),I479))</f>
        <v/>
      </c>
      <c r="X479" s="71">
        <f>IF($J479="","",IFERROR(INDEX(B!$C$2:$C$61,MATCH($J479,B!$E$2:$E$61,0))&amp;"",""))</f>
        <v/>
      </c>
      <c r="Y479" s="20" t="n"/>
      <c r="Z479" s="72">
        <f>IF($J479="",FALSE,ISNUMBER(SEARCH("scout",$K479)))</f>
        <v/>
      </c>
      <c r="AA479" s="72">
        <f>IF($J479="",FALSE,IFERROR(INDEX(B!$N$2:$N$61,MATCH($J479,B!$E$2:$E$61,0))="Sim",FALSE))</f>
        <v/>
      </c>
      <c r="AB479" s="72">
        <f>IF($J479="",FALSE,LEFT($X479,2)="XX")</f>
        <v/>
      </c>
      <c r="AC479" s="72">
        <f>IF($J479="",FALSE,IFERROR(INDEX(B!$P$2:$P$61,MATCH($J479,B!$E$2:$E$61,0))="Sim",FALSE))</f>
        <v/>
      </c>
      <c r="AD479" s="20" t="n"/>
      <c r="AE479" s="52">
        <f>IF(H479="","",HOUR(H479))</f>
        <v/>
      </c>
      <c r="AF479" s="52" t="n"/>
    </row>
    <row r="480" ht="19.5" customHeight="1" s="58">
      <c r="A480" s="62">
        <f>IF(G480="","",IF(G480=G479,"",COUNTIF($G$3:$G$976,G480)))</f>
        <v/>
      </c>
      <c r="B480" s="20" t="n"/>
      <c r="C480" s="63">
        <f>IF(G480="","",DAY(G480))</f>
        <v/>
      </c>
      <c r="D480" s="63">
        <f>IF(G480="","",MONTH(G480))</f>
        <v/>
      </c>
      <c r="E480" s="63">
        <f>IF(G480="","",YEAR(G480))</f>
        <v/>
      </c>
      <c r="F480" s="33">
        <f>IF(G480="","",CHOOSE(MONTH(G480),"Janeiro","Fevereiro","Março","Abril","Maio","Junho","Julho","Agosto","Setembro","Outubro","Novembro","Dezembro"))</f>
        <v/>
      </c>
      <c r="G480" s="64" t="n">
        <v>46068</v>
      </c>
      <c r="H480" s="65" t="n">
        <v>0.1453819444444444</v>
      </c>
      <c r="I480" s="66" t="inlineStr">
        <is>
          <t>https://docs.google.com/spreadsheets/d/1ZiCGoPjLCjuYvujDTXK9Ixbth3tekiLtFBzBrGjPCr4/edit?gid=0#gid=0</t>
        </is>
      </c>
      <c r="J480" s="67" t="inlineStr">
        <is>
          <t>Taxa de Limpeza, Sem ajustes - [TXLO]</t>
        </is>
      </c>
      <c r="K480" s="67" t="inlineStr"/>
      <c r="L480" s="68" t="b">
        <v>0</v>
      </c>
      <c r="M480" s="20" t="n"/>
      <c r="N480" s="69">
        <f>IF($J480="","",IFERROR(INDEX(B!$F$2:$F$61,MATCH($J480,B!$E$2:$E$61,0))&amp;"",""))</f>
        <v/>
      </c>
      <c r="O480" s="69">
        <f>IF($J480="","",IFERROR(INDEX(B!$G$2:$G$61,MATCH($J480,B!$E$2:$E$61,0))&amp;"",""))</f>
        <v/>
      </c>
      <c r="P480" s="69">
        <f>IF($J480="","",IFERROR(INDEX(B!$H$2:$H$61,MATCH($J480,B!$E$2:$E$61,0))&amp;"",""))</f>
        <v/>
      </c>
      <c r="Q480" s="69">
        <f>IF($J480="","",IFERROR(INDEX(B!$I$2:$I$61,MATCH($J480,B!$E$2:$E$61,0))&amp;"",""))</f>
        <v/>
      </c>
      <c r="R480" s="69">
        <f>IF($J480="","",IFERROR(INDEX(B!$J$2:$J$61,MATCH($J480,B!$E$2:$E$61,0))&amp;"",""))</f>
        <v/>
      </c>
      <c r="S480" s="69">
        <f>IF($J480="","",IFERROR(INDEX(B!$K$2:$K$61,MATCH($J480,B!$E$2:$E$61,0))&amp;"",""))</f>
        <v/>
      </c>
      <c r="T480" s="69">
        <f>IF($J480="","",IFERROR(INDEX(B!$L$2:$L$61,MATCH($J480,B!$E$2:$E$61,0))&amp;"",""))</f>
        <v/>
      </c>
      <c r="U480" s="20" t="n"/>
      <c r="V480" s="70">
        <f>IF($J480="","",IFERROR(INDEX(B!$M$2:$M$61,MATCH($J480,B!$E$2:$E$61,0))&amp;"",""))</f>
        <v/>
      </c>
      <c r="W480" s="71">
        <f>IF(I480="","",IFERROR(MID(I480,FIND("/d/",I480)+3,FIND("/edit",I480)-FIND("/d/",I480)-3),I480))</f>
        <v/>
      </c>
      <c r="X480" s="71">
        <f>IF($J480="","",IFERROR(INDEX(B!$C$2:$C$61,MATCH($J480,B!$E$2:$E$61,0))&amp;"",""))</f>
        <v/>
      </c>
      <c r="Y480" s="20" t="n"/>
      <c r="Z480" s="72">
        <f>IF($J480="",FALSE,ISNUMBER(SEARCH("scout",$K480)))</f>
        <v/>
      </c>
      <c r="AA480" s="72">
        <f>IF($J480="",FALSE,IFERROR(INDEX(B!$N$2:$N$61,MATCH($J480,B!$E$2:$E$61,0))="Sim",FALSE))</f>
        <v/>
      </c>
      <c r="AB480" s="72">
        <f>IF($J480="",FALSE,LEFT($X480,2)="XX")</f>
        <v/>
      </c>
      <c r="AC480" s="72">
        <f>IF($J480="",FALSE,IFERROR(INDEX(B!$P$2:$P$61,MATCH($J480,B!$E$2:$E$61,0))="Sim",FALSE))</f>
        <v/>
      </c>
      <c r="AD480" s="20" t="n"/>
      <c r="AE480" s="52">
        <f>IF(H480="","",HOUR(H480))</f>
        <v/>
      </c>
      <c r="AF480" s="52" t="n"/>
    </row>
    <row r="481" ht="19.5" customHeight="1" s="58">
      <c r="A481" s="62">
        <f>IF(G481="","",IF(G481=G480,"",COUNTIF($G$3:$G$976,G481)))</f>
        <v/>
      </c>
      <c r="B481" s="20" t="n"/>
      <c r="C481" s="63">
        <f>IF(G481="","",DAY(G481))</f>
        <v/>
      </c>
      <c r="D481" s="63">
        <f>IF(G481="","",MONTH(G481))</f>
        <v/>
      </c>
      <c r="E481" s="63">
        <f>IF(G481="","",YEAR(G481))</f>
        <v/>
      </c>
      <c r="F481" s="33">
        <f>IF(G481="","",CHOOSE(MONTH(G481),"Janeiro","Fevereiro","Março","Abril","Maio","Junho","Julho","Agosto","Setembro","Outubro","Novembro","Dezembro"))</f>
        <v/>
      </c>
      <c r="G481" s="64" t="n">
        <v>46068</v>
      </c>
      <c r="H481" s="65" t="n">
        <v>0.1472685185185185</v>
      </c>
      <c r="I481" s="66" t="inlineStr">
        <is>
          <t>https://docs.google.com/spreadsheets/d/1ZiCGoPjLCjuYvujDTXK9Ixbth3tekiLtFBzBrGjPCr4/edit?gid=0#gid=0</t>
        </is>
      </c>
      <c r="J481" s="67" t="inlineStr">
        <is>
          <t>Taxa de Limpeza, Reembolsado ao cliente - [TXLR]</t>
        </is>
      </c>
      <c r="K481" s="67" t="inlineStr"/>
      <c r="L481" s="68" t="b">
        <v>0</v>
      </c>
      <c r="M481" s="20" t="n"/>
      <c r="N481" s="69">
        <f>IF($J481="","",IFERROR(INDEX(B!$F$2:$F$61,MATCH($J481,B!$E$2:$E$61,0))&amp;"",""))</f>
        <v/>
      </c>
      <c r="O481" s="69">
        <f>IF($J481="","",IFERROR(INDEX(B!$G$2:$G$61,MATCH($J481,B!$E$2:$E$61,0))&amp;"",""))</f>
        <v/>
      </c>
      <c r="P481" s="69">
        <f>IF($J481="","",IFERROR(INDEX(B!$H$2:$H$61,MATCH($J481,B!$E$2:$E$61,0))&amp;"",""))</f>
        <v/>
      </c>
      <c r="Q481" s="69">
        <f>IF($J481="","",IFERROR(INDEX(B!$I$2:$I$61,MATCH($J481,B!$E$2:$E$61,0))&amp;"",""))</f>
        <v/>
      </c>
      <c r="R481" s="69">
        <f>IF($J481="","",IFERROR(INDEX(B!$J$2:$J$61,MATCH($J481,B!$E$2:$E$61,0))&amp;"",""))</f>
        <v/>
      </c>
      <c r="S481" s="69">
        <f>IF($J481="","",IFERROR(INDEX(B!$K$2:$K$61,MATCH($J481,B!$E$2:$E$61,0))&amp;"",""))</f>
        <v/>
      </c>
      <c r="T481" s="69">
        <f>IF($J481="","",IFERROR(INDEX(B!$L$2:$L$61,MATCH($J481,B!$E$2:$E$61,0))&amp;"",""))</f>
        <v/>
      </c>
      <c r="U481" s="20" t="n"/>
      <c r="V481" s="70">
        <f>IF($J481="","",IFERROR(INDEX(B!$M$2:$M$61,MATCH($J481,B!$E$2:$E$61,0))&amp;"",""))</f>
        <v/>
      </c>
      <c r="W481" s="71">
        <f>IF(I481="","",IFERROR(MID(I481,FIND("/d/",I481)+3,FIND("/edit",I481)-FIND("/d/",I481)-3),I481))</f>
        <v/>
      </c>
      <c r="X481" s="71">
        <f>IF($J481="","",IFERROR(INDEX(B!$C$2:$C$61,MATCH($J481,B!$E$2:$E$61,0))&amp;"",""))</f>
        <v/>
      </c>
      <c r="Y481" s="20" t="n"/>
      <c r="Z481" s="72">
        <f>IF($J481="",FALSE,ISNUMBER(SEARCH("scout",$K481)))</f>
        <v/>
      </c>
      <c r="AA481" s="72">
        <f>IF($J481="",FALSE,IFERROR(INDEX(B!$N$2:$N$61,MATCH($J481,B!$E$2:$E$61,0))="Sim",FALSE))</f>
        <v/>
      </c>
      <c r="AB481" s="72">
        <f>IF($J481="",FALSE,LEFT($X481,2)="XX")</f>
        <v/>
      </c>
      <c r="AC481" s="72">
        <f>IF($J481="",FALSE,IFERROR(INDEX(B!$P$2:$P$61,MATCH($J481,B!$E$2:$E$61,0))="Sim",FALSE))</f>
        <v/>
      </c>
      <c r="AD481" s="20" t="n"/>
      <c r="AE481" s="52">
        <f>IF(H481="","",HOUR(H481))</f>
        <v/>
      </c>
      <c r="AF481" s="52" t="n"/>
    </row>
    <row r="482" ht="19.5" customHeight="1" s="58">
      <c r="A482" s="62">
        <f>IF(G482="","",IF(G482=G481,"",COUNTIF($G$3:$G$976,G482)))</f>
        <v/>
      </c>
      <c r="B482" s="20" t="n"/>
      <c r="C482" s="63">
        <f>IF(G482="","",DAY(G482))</f>
        <v/>
      </c>
      <c r="D482" s="63">
        <f>IF(G482="","",MONTH(G482))</f>
        <v/>
      </c>
      <c r="E482" s="63">
        <f>IF(G482="","",YEAR(G482))</f>
        <v/>
      </c>
      <c r="F482" s="33">
        <f>IF(G482="","",CHOOSE(MONTH(G482),"Janeiro","Fevereiro","Março","Abril","Maio","Junho","Julho","Agosto","Setembro","Outubro","Novembro","Dezembro"))</f>
        <v/>
      </c>
      <c r="G482" s="64" t="n">
        <v>46068</v>
      </c>
      <c r="H482" s="65" t="n">
        <v>0.1519212962962963</v>
      </c>
      <c r="I482" s="66" t="inlineStr">
        <is>
          <t>https://docs.google.com/spreadsheets/d/1ZiCGoPjLCjuYvujDTXK9Ixbth3tekiLtFBzBrGjPCr4/edit?gid=0#gid=0</t>
        </is>
      </c>
      <c r="J482" s="67" t="inlineStr">
        <is>
          <t>Erro de Gps (Problema Técnico) - [GPS]</t>
        </is>
      </c>
      <c r="K482" s="67" t="inlineStr">
        <is>
          <t>Scout</t>
        </is>
      </c>
      <c r="L482" s="68" t="b">
        <v>0</v>
      </c>
      <c r="M482" s="20" t="n"/>
      <c r="N482" s="69">
        <f>IF($J482="","",IFERROR(INDEX(B!$F$2:$F$61,MATCH($J482,B!$E$2:$E$61,0))&amp;"",""))</f>
        <v/>
      </c>
      <c r="O482" s="69">
        <f>IF($J482="","",IFERROR(INDEX(B!$G$2:$G$61,MATCH($J482,B!$E$2:$E$61,0))&amp;"",""))</f>
        <v/>
      </c>
      <c r="P482" s="69">
        <f>IF($J482="","",IFERROR(INDEX(B!$H$2:$H$61,MATCH($J482,B!$E$2:$E$61,0))&amp;"",""))</f>
        <v/>
      </c>
      <c r="Q482" s="69">
        <f>IF($J482="","",IFERROR(INDEX(B!$I$2:$I$61,MATCH($J482,B!$E$2:$E$61,0))&amp;"",""))</f>
        <v/>
      </c>
      <c r="R482" s="69">
        <f>IF($J482="","",IFERROR(INDEX(B!$J$2:$J$61,MATCH($J482,B!$E$2:$E$61,0))&amp;"",""))</f>
        <v/>
      </c>
      <c r="S482" s="69">
        <f>IF($J482="","",IFERROR(INDEX(B!$K$2:$K$61,MATCH($J482,B!$E$2:$E$61,0))&amp;"",""))</f>
        <v/>
      </c>
      <c r="T482" s="69">
        <f>IF($J482="","",IFERROR(INDEX(B!$L$2:$L$61,MATCH($J482,B!$E$2:$E$61,0))&amp;"",""))</f>
        <v/>
      </c>
      <c r="U482" s="20" t="n"/>
      <c r="V482" s="70">
        <f>IF($J482="","",IFERROR(INDEX(B!$M$2:$M$61,MATCH($J482,B!$E$2:$E$61,0))&amp;"",""))</f>
        <v/>
      </c>
      <c r="W482" s="71">
        <f>IF(I482="","",IFERROR(MID(I482,FIND("/d/",I482)+3,FIND("/edit",I482)-FIND("/d/",I482)-3),I482))</f>
        <v/>
      </c>
      <c r="X482" s="71">
        <f>IF($J482="","",IFERROR(INDEX(B!$C$2:$C$61,MATCH($J482,B!$E$2:$E$61,0))&amp;"",""))</f>
        <v/>
      </c>
      <c r="Y482" s="20" t="n"/>
      <c r="Z482" s="72">
        <f>IF($J482="",FALSE,ISNUMBER(SEARCH("scout",$K482)))</f>
        <v/>
      </c>
      <c r="AA482" s="72">
        <f>IF($J482="",FALSE,IFERROR(INDEX(B!$N$2:$N$61,MATCH($J482,B!$E$2:$E$61,0))="Sim",FALSE))</f>
        <v/>
      </c>
      <c r="AB482" s="72">
        <f>IF($J482="",FALSE,LEFT($X482,2)="XX")</f>
        <v/>
      </c>
      <c r="AC482" s="72">
        <f>IF($J482="",FALSE,IFERROR(INDEX(B!$P$2:$P$61,MATCH($J482,B!$E$2:$E$61,0))="Sim",FALSE))</f>
        <v/>
      </c>
      <c r="AD482" s="20" t="n"/>
      <c r="AE482" s="52">
        <f>IF(H482="","",HOUR(H482))</f>
        <v/>
      </c>
      <c r="AF482" s="52" t="n"/>
    </row>
    <row r="483" ht="19.5" customHeight="1" s="58">
      <c r="A483" s="62">
        <f>IF(G483="","",IF(G483=G482,"",COUNTIF($G$3:$G$976,G483)))</f>
        <v/>
      </c>
      <c r="B483" s="20" t="n"/>
      <c r="C483" s="63">
        <f>IF(G483="","",DAY(G483))</f>
        <v/>
      </c>
      <c r="D483" s="63">
        <f>IF(G483="","",MONTH(G483))</f>
        <v/>
      </c>
      <c r="E483" s="63">
        <f>IF(G483="","",YEAR(G483))</f>
        <v/>
      </c>
      <c r="F483" s="33">
        <f>IF(G483="","",CHOOSE(MONTH(G483),"Janeiro","Fevereiro","Março","Abril","Maio","Junho","Julho","Agosto","Setembro","Outubro","Novembro","Dezembro"))</f>
        <v/>
      </c>
      <c r="G483" s="64" t="n">
        <v>46068</v>
      </c>
      <c r="H483" s="65" t="n">
        <v>0.1567361111111111</v>
      </c>
      <c r="I483" s="66" t="inlineStr">
        <is>
          <t>https://docs.google.com/spreadsheets/d/1ZiCGoPjLCjuYvujDTXK9Ixbth3tekiLtFBzBrGjPCr4/edit?gid=0#gid=0</t>
        </is>
      </c>
      <c r="J483" s="67" t="inlineStr">
        <is>
          <t>Comprovante de Pagamento - [CP]</t>
        </is>
      </c>
      <c r="K483" s="67" t="inlineStr"/>
      <c r="L483" s="68" t="b">
        <v>0</v>
      </c>
      <c r="M483" s="20" t="n"/>
      <c r="N483" s="69">
        <f>IF($J483="","",IFERROR(INDEX(B!$F$2:$F$61,MATCH($J483,B!$E$2:$E$61,0))&amp;"",""))</f>
        <v/>
      </c>
      <c r="O483" s="69">
        <f>IF($J483="","",IFERROR(INDEX(B!$G$2:$G$61,MATCH($J483,B!$E$2:$E$61,0))&amp;"",""))</f>
        <v/>
      </c>
      <c r="P483" s="69">
        <f>IF($J483="","",IFERROR(INDEX(B!$H$2:$H$61,MATCH($J483,B!$E$2:$E$61,0))&amp;"",""))</f>
        <v/>
      </c>
      <c r="Q483" s="69">
        <f>IF($J483="","",IFERROR(INDEX(B!$I$2:$I$61,MATCH($J483,B!$E$2:$E$61,0))&amp;"",""))</f>
        <v/>
      </c>
      <c r="R483" s="69">
        <f>IF($J483="","",IFERROR(INDEX(B!$J$2:$J$61,MATCH($J483,B!$E$2:$E$61,0))&amp;"",""))</f>
        <v/>
      </c>
      <c r="S483" s="69">
        <f>IF($J483="","",IFERROR(INDEX(B!$K$2:$K$61,MATCH($J483,B!$E$2:$E$61,0))&amp;"",""))</f>
        <v/>
      </c>
      <c r="T483" s="69">
        <f>IF($J483="","",IFERROR(INDEX(B!$L$2:$L$61,MATCH($J483,B!$E$2:$E$61,0))&amp;"",""))</f>
        <v/>
      </c>
      <c r="U483" s="20" t="n"/>
      <c r="V483" s="70">
        <f>IF($J483="","",IFERROR(INDEX(B!$M$2:$M$61,MATCH($J483,B!$E$2:$E$61,0))&amp;"",""))</f>
        <v/>
      </c>
      <c r="W483" s="71">
        <f>IF(I483="","",IFERROR(MID(I483,FIND("/d/",I483)+3,FIND("/edit",I483)-FIND("/d/",I483)-3),I483))</f>
        <v/>
      </c>
      <c r="X483" s="71">
        <f>IF($J483="","",IFERROR(INDEX(B!$C$2:$C$61,MATCH($J483,B!$E$2:$E$61,0))&amp;"",""))</f>
        <v/>
      </c>
      <c r="Y483" s="20" t="n"/>
      <c r="Z483" s="72">
        <f>IF($J483="",FALSE,ISNUMBER(SEARCH("scout",$K483)))</f>
        <v/>
      </c>
      <c r="AA483" s="72">
        <f>IF($J483="",FALSE,IFERROR(INDEX(B!$N$2:$N$61,MATCH($J483,B!$E$2:$E$61,0))="Sim",FALSE))</f>
        <v/>
      </c>
      <c r="AB483" s="72">
        <f>IF($J483="",FALSE,LEFT($X483,2)="XX")</f>
        <v/>
      </c>
      <c r="AC483" s="72">
        <f>IF($J483="",FALSE,IFERROR(INDEX(B!$P$2:$P$61,MATCH($J483,B!$E$2:$E$61,0))="Sim",FALSE))</f>
        <v/>
      </c>
      <c r="AD483" s="20" t="n"/>
      <c r="AE483" s="52">
        <f>IF(H483="","",HOUR(H483))</f>
        <v/>
      </c>
      <c r="AF483" s="52" t="n"/>
    </row>
    <row r="484" ht="19.5" customHeight="1" s="58">
      <c r="A484" s="62">
        <f>IF(G484="","",IF(G484=G483,"",COUNTIF($G$3:$G$976,G484)))</f>
        <v/>
      </c>
      <c r="B484" s="20" t="n"/>
      <c r="C484" s="63">
        <f>IF(G484="","",DAY(G484))</f>
        <v/>
      </c>
      <c r="D484" s="63">
        <f>IF(G484="","",MONTH(G484))</f>
        <v/>
      </c>
      <c r="E484" s="63">
        <f>IF(G484="","",YEAR(G484))</f>
        <v/>
      </c>
      <c r="F484" s="33">
        <f>IF(G484="","",CHOOSE(MONTH(G484),"Janeiro","Fevereiro","Março","Abril","Maio","Junho","Julho","Agosto","Setembro","Outubro","Novembro","Dezembro"))</f>
        <v/>
      </c>
      <c r="G484" s="64" t="n">
        <v>46068</v>
      </c>
      <c r="H484" s="65" t="n">
        <v>0.1568981481481481</v>
      </c>
      <c r="I484" s="66" t="inlineStr">
        <is>
          <t>https://docs.google.com/spreadsheets/d/1ZiCGoPjLCjuYvujDTXK9Ixbth3tekiLtFBzBrGjPCr4/edit?gid=0#gid=0</t>
        </is>
      </c>
      <c r="J484" s="67" t="inlineStr">
        <is>
          <t>Outros Valores Retidos (Pedágio, Cartão, Taxa de Cancelamento...) - [OTV]</t>
        </is>
      </c>
      <c r="K484" s="67" t="inlineStr"/>
      <c r="L484" s="68" t="b">
        <v>0</v>
      </c>
      <c r="M484" s="20" t="n"/>
      <c r="N484" s="69">
        <f>IF($J484="","",IFERROR(INDEX(B!$F$2:$F$61,MATCH($J484,B!$E$2:$E$61,0))&amp;"",""))</f>
        <v/>
      </c>
      <c r="O484" s="69">
        <f>IF($J484="","",IFERROR(INDEX(B!$G$2:$G$61,MATCH($J484,B!$E$2:$E$61,0))&amp;"",""))</f>
        <v/>
      </c>
      <c r="P484" s="69">
        <f>IF($J484="","",IFERROR(INDEX(B!$H$2:$H$61,MATCH($J484,B!$E$2:$E$61,0))&amp;"",""))</f>
        <v/>
      </c>
      <c r="Q484" s="69">
        <f>IF($J484="","",IFERROR(INDEX(B!$I$2:$I$61,MATCH($J484,B!$E$2:$E$61,0))&amp;"",""))</f>
        <v/>
      </c>
      <c r="R484" s="69">
        <f>IF($J484="","",IFERROR(INDEX(B!$J$2:$J$61,MATCH($J484,B!$E$2:$E$61,0))&amp;"",""))</f>
        <v/>
      </c>
      <c r="S484" s="69">
        <f>IF($J484="","",IFERROR(INDEX(B!$K$2:$K$61,MATCH($J484,B!$E$2:$E$61,0))&amp;"",""))</f>
        <v/>
      </c>
      <c r="T484" s="69">
        <f>IF($J484="","",IFERROR(INDEX(B!$L$2:$L$61,MATCH($J484,B!$E$2:$E$61,0))&amp;"",""))</f>
        <v/>
      </c>
      <c r="U484" s="20" t="n"/>
      <c r="V484" s="70">
        <f>IF($J484="","",IFERROR(INDEX(B!$M$2:$M$61,MATCH($J484,B!$E$2:$E$61,0))&amp;"",""))</f>
        <v/>
      </c>
      <c r="W484" s="71">
        <f>IF(I484="","",IFERROR(MID(I484,FIND("/d/",I484)+3,FIND("/edit",I484)-FIND("/d/",I484)-3),I484))</f>
        <v/>
      </c>
      <c r="X484" s="71">
        <f>IF($J484="","",IFERROR(INDEX(B!$C$2:$C$61,MATCH($J484,B!$E$2:$E$61,0))&amp;"",""))</f>
        <v/>
      </c>
      <c r="Y484" s="20" t="n"/>
      <c r="Z484" s="72">
        <f>IF($J484="",FALSE,ISNUMBER(SEARCH("scout",$K484)))</f>
        <v/>
      </c>
      <c r="AA484" s="72">
        <f>IF($J484="",FALSE,IFERROR(INDEX(B!$N$2:$N$61,MATCH($J484,B!$E$2:$E$61,0))="Sim",FALSE))</f>
        <v/>
      </c>
      <c r="AB484" s="72">
        <f>IF($J484="",FALSE,LEFT($X484,2)="XX")</f>
        <v/>
      </c>
      <c r="AC484" s="72">
        <f>IF($J484="",FALSE,IFERROR(INDEX(B!$P$2:$P$61,MATCH($J484,B!$E$2:$E$61,0))="Sim",FALSE))</f>
        <v/>
      </c>
      <c r="AD484" s="20" t="n"/>
      <c r="AE484" s="52">
        <f>IF(H484="","",HOUR(H484))</f>
        <v/>
      </c>
      <c r="AF484" s="52" t="n"/>
    </row>
    <row r="485" ht="19.5" customHeight="1" s="58">
      <c r="A485" s="62">
        <f>IF(G485="","",IF(G485=G484,"",COUNTIF($G$3:$G$976,G485)))</f>
        <v/>
      </c>
      <c r="B485" s="20" t="n"/>
      <c r="C485" s="63">
        <f>IF(G485="","",DAY(G485))</f>
        <v/>
      </c>
      <c r="D485" s="63">
        <f>IF(G485="","",MONTH(G485))</f>
        <v/>
      </c>
      <c r="E485" s="63">
        <f>IF(G485="","",YEAR(G485))</f>
        <v/>
      </c>
      <c r="F485" s="33">
        <f>IF(G485="","",CHOOSE(MONTH(G485),"Janeiro","Fevereiro","Março","Abril","Maio","Junho","Julho","Agosto","Setembro","Outubro","Novembro","Dezembro"))</f>
        <v/>
      </c>
      <c r="G485" s="64" t="n">
        <v>46068</v>
      </c>
      <c r="H485" s="65" t="n">
        <v>0.1667361111111111</v>
      </c>
      <c r="I485" s="66" t="inlineStr">
        <is>
          <t>https://docs.google.com/spreadsheets/d/1ZiCGoPjLCjuYvujDTXK9Ixbth3tekiLtFBzBrGjPCr4/edit?gid=0#gid=0</t>
        </is>
      </c>
      <c r="J485" s="67" t="inlineStr">
        <is>
          <t>Taxa de Cancelamento - [TXC]</t>
        </is>
      </c>
      <c r="K485" s="67" t="inlineStr">
        <is>
          <t>Scout</t>
        </is>
      </c>
      <c r="L485" s="68" t="b">
        <v>0</v>
      </c>
      <c r="M485" s="20" t="n"/>
      <c r="N485" s="69">
        <f>IF($J485="","",IFERROR(INDEX(B!$F$2:$F$61,MATCH($J485,B!$E$2:$E$61,0))&amp;"",""))</f>
        <v/>
      </c>
      <c r="O485" s="69">
        <f>IF($J485="","",IFERROR(INDEX(B!$G$2:$G$61,MATCH($J485,B!$E$2:$E$61,0))&amp;"",""))</f>
        <v/>
      </c>
      <c r="P485" s="69">
        <f>IF($J485="","",IFERROR(INDEX(B!$H$2:$H$61,MATCH($J485,B!$E$2:$E$61,0))&amp;"",""))</f>
        <v/>
      </c>
      <c r="Q485" s="69">
        <f>IF($J485="","",IFERROR(INDEX(B!$I$2:$I$61,MATCH($J485,B!$E$2:$E$61,0))&amp;"",""))</f>
        <v/>
      </c>
      <c r="R485" s="69">
        <f>IF($J485="","",IFERROR(INDEX(B!$J$2:$J$61,MATCH($J485,B!$E$2:$E$61,0))&amp;"",""))</f>
        <v/>
      </c>
      <c r="S485" s="69">
        <f>IF($J485="","",IFERROR(INDEX(B!$K$2:$K$61,MATCH($J485,B!$E$2:$E$61,0))&amp;"",""))</f>
        <v/>
      </c>
      <c r="T485" s="69">
        <f>IF($J485="","",IFERROR(INDEX(B!$L$2:$L$61,MATCH($J485,B!$E$2:$E$61,0))&amp;"",""))</f>
        <v/>
      </c>
      <c r="U485" s="20" t="n"/>
      <c r="V485" s="70">
        <f>IF($J485="","",IFERROR(INDEX(B!$M$2:$M$61,MATCH($J485,B!$E$2:$E$61,0))&amp;"",""))</f>
        <v/>
      </c>
      <c r="W485" s="71">
        <f>IF(I485="","",IFERROR(MID(I485,FIND("/d/",I485)+3,FIND("/edit",I485)-FIND("/d/",I485)-3),I485))</f>
        <v/>
      </c>
      <c r="X485" s="71">
        <f>IF($J485="","",IFERROR(INDEX(B!$C$2:$C$61,MATCH($J485,B!$E$2:$E$61,0))&amp;"",""))</f>
        <v/>
      </c>
      <c r="Y485" s="20" t="n"/>
      <c r="Z485" s="72">
        <f>IF($J485="",FALSE,ISNUMBER(SEARCH("scout",$K485)))</f>
        <v/>
      </c>
      <c r="AA485" s="72">
        <f>IF($J485="",FALSE,IFERROR(INDEX(B!$N$2:$N$61,MATCH($J485,B!$E$2:$E$61,0))="Sim",FALSE))</f>
        <v/>
      </c>
      <c r="AB485" s="72">
        <f>IF($J485="",FALSE,LEFT($X485,2)="XX")</f>
        <v/>
      </c>
      <c r="AC485" s="72">
        <f>IF($J485="",FALSE,IFERROR(INDEX(B!$P$2:$P$61,MATCH($J485,B!$E$2:$E$61,0))="Sim",FALSE))</f>
        <v/>
      </c>
      <c r="AD485" s="20" t="n"/>
      <c r="AE485" s="52">
        <f>IF(H485="","",HOUR(H485))</f>
        <v/>
      </c>
      <c r="AF485" s="52" t="n"/>
    </row>
    <row r="486" ht="19.5" customHeight="1" s="58">
      <c r="A486" s="62">
        <f>IF(G486="","",IF(G486=G485,"",COUNTIF($G$3:$G$976,G486)))</f>
        <v/>
      </c>
      <c r="B486" s="20" t="n"/>
      <c r="C486" s="63">
        <f>IF(G486="","",DAY(G486))</f>
        <v/>
      </c>
      <c r="D486" s="63">
        <f>IF(G486="","",MONTH(G486))</f>
        <v/>
      </c>
      <c r="E486" s="63">
        <f>IF(G486="","",YEAR(G486))</f>
        <v/>
      </c>
      <c r="F486" s="33">
        <f>IF(G486="","",CHOOSE(MONTH(G486),"Janeiro","Fevereiro","Março","Abril","Maio","Junho","Julho","Agosto","Setembro","Outubro","Novembro","Dezembro"))</f>
        <v/>
      </c>
      <c r="G486" s="64" t="n">
        <v>46068</v>
      </c>
      <c r="H486" s="65" t="n">
        <v>0.1676851851851852</v>
      </c>
      <c r="I486" s="66" t="inlineStr">
        <is>
          <t>https://docs.google.com/spreadsheets/d/1ZiCGoPjLCjuYvujDTXK9Ixbth3tekiLtFBzBrGjPCr4/edit?gid=0#gid=0</t>
        </is>
      </c>
      <c r="J486" s="67" t="inlineStr">
        <is>
          <t>Transferência de LOB (Profissionalismo) - [TIPR]</t>
        </is>
      </c>
      <c r="K486" s="67" t="inlineStr">
        <is>
          <t>Scout</t>
        </is>
      </c>
      <c r="L486" s="68" t="b">
        <v>0</v>
      </c>
      <c r="M486" s="20" t="n"/>
      <c r="N486" s="69">
        <f>IF($J486="","",IFERROR(INDEX(B!$F$2:$F$61,MATCH($J486,B!$E$2:$E$61,0))&amp;"",""))</f>
        <v/>
      </c>
      <c r="O486" s="69">
        <f>IF($J486="","",IFERROR(INDEX(B!$G$2:$G$61,MATCH($J486,B!$E$2:$E$61,0))&amp;"",""))</f>
        <v/>
      </c>
      <c r="P486" s="69">
        <f>IF($J486="","",IFERROR(INDEX(B!$H$2:$H$61,MATCH($J486,B!$E$2:$E$61,0))&amp;"",""))</f>
        <v/>
      </c>
      <c r="Q486" s="69">
        <f>IF($J486="","",IFERROR(INDEX(B!$I$2:$I$61,MATCH($J486,B!$E$2:$E$61,0))&amp;"",""))</f>
        <v/>
      </c>
      <c r="R486" s="69">
        <f>IF($J486="","",IFERROR(INDEX(B!$J$2:$J$61,MATCH($J486,B!$E$2:$E$61,0))&amp;"",""))</f>
        <v/>
      </c>
      <c r="S486" s="69">
        <f>IF($J486="","",IFERROR(INDEX(B!$K$2:$K$61,MATCH($J486,B!$E$2:$E$61,0))&amp;"",""))</f>
        <v/>
      </c>
      <c r="T486" s="69">
        <f>IF($J486="","",IFERROR(INDEX(B!$L$2:$L$61,MATCH($J486,B!$E$2:$E$61,0))&amp;"",""))</f>
        <v/>
      </c>
      <c r="U486" s="20" t="n"/>
      <c r="V486" s="70">
        <f>IF($J486="","",IFERROR(INDEX(B!$M$2:$M$61,MATCH($J486,B!$E$2:$E$61,0))&amp;"",""))</f>
        <v/>
      </c>
      <c r="W486" s="71">
        <f>IF(I486="","",IFERROR(MID(I486,FIND("/d/",I486)+3,FIND("/edit",I486)-FIND("/d/",I486)-3),I486))</f>
        <v/>
      </c>
      <c r="X486" s="71">
        <f>IF($J486="","",IFERROR(INDEX(B!$C$2:$C$61,MATCH($J486,B!$E$2:$E$61,0))&amp;"",""))</f>
        <v/>
      </c>
      <c r="Y486" s="20" t="n"/>
      <c r="Z486" s="72">
        <f>IF($J486="",FALSE,ISNUMBER(SEARCH("scout",$K486)))</f>
        <v/>
      </c>
      <c r="AA486" s="72">
        <f>IF($J486="",FALSE,IFERROR(INDEX(B!$N$2:$N$61,MATCH($J486,B!$E$2:$E$61,0))="Sim",FALSE))</f>
        <v/>
      </c>
      <c r="AB486" s="72">
        <f>IF($J486="",FALSE,LEFT($X486,2)="XX")</f>
        <v/>
      </c>
      <c r="AC486" s="72">
        <f>IF($J486="",FALSE,IFERROR(INDEX(B!$P$2:$P$61,MATCH($J486,B!$E$2:$E$61,0))="Sim",FALSE))</f>
        <v/>
      </c>
      <c r="AD486" s="20" t="n"/>
      <c r="AE486" s="52">
        <f>IF(H486="","",HOUR(H486))</f>
        <v/>
      </c>
      <c r="AF486" s="52" t="n"/>
    </row>
    <row r="487" ht="19.5" customHeight="1" s="58">
      <c r="A487" s="62">
        <f>IF(G487="","",IF(G487=G486,"",COUNTIF($G$3:$G$976,G487)))</f>
        <v/>
      </c>
      <c r="B487" s="20" t="n"/>
      <c r="C487" s="63">
        <f>IF(G487="","",DAY(G487))</f>
        <v/>
      </c>
      <c r="D487" s="63">
        <f>IF(G487="","",MONTH(G487))</f>
        <v/>
      </c>
      <c r="E487" s="63">
        <f>IF(G487="","",YEAR(G487))</f>
        <v/>
      </c>
      <c r="F487" s="33">
        <f>IF(G487="","",CHOOSE(MONTH(G487),"Janeiro","Fevereiro","Março","Abril","Maio","Junho","Julho","Agosto","Setembro","Outubro","Novembro","Dezembro"))</f>
        <v/>
      </c>
      <c r="G487" s="64" t="n">
        <v>46068</v>
      </c>
      <c r="H487" s="65" t="n">
        <v>0.1790625</v>
      </c>
      <c r="I487" s="66" t="inlineStr">
        <is>
          <t>https://docs.google.com/spreadsheets/d/1ZiCGoPjLCjuYvujDTXK9Ixbth3tekiLtFBzBrGjPCr4/edit?gid=0#gid=0</t>
        </is>
      </c>
      <c r="J487" s="67" t="inlineStr">
        <is>
          <t>Overpaid, Excede o limite, Sem comprovante - [OPEN]</t>
        </is>
      </c>
      <c r="K487" s="67" t="inlineStr"/>
      <c r="L487" s="68" t="b">
        <v>1</v>
      </c>
      <c r="M487" s="20" t="n"/>
      <c r="N487" s="69">
        <f>IF($J487="","",IFERROR(INDEX(B!$F$2:$F$61,MATCH($J487,B!$E$2:$E$61,0))&amp;"",""))</f>
        <v/>
      </c>
      <c r="O487" s="69">
        <f>IF($J487="","",IFERROR(INDEX(B!$G$2:$G$61,MATCH($J487,B!$E$2:$E$61,0))&amp;"",""))</f>
        <v/>
      </c>
      <c r="P487" s="69">
        <f>IF($J487="","",IFERROR(INDEX(B!$H$2:$H$61,MATCH($J487,B!$E$2:$E$61,0))&amp;"",""))</f>
        <v/>
      </c>
      <c r="Q487" s="69">
        <f>IF($J487="","",IFERROR(INDEX(B!$I$2:$I$61,MATCH($J487,B!$E$2:$E$61,0))&amp;"",""))</f>
        <v/>
      </c>
      <c r="R487" s="69">
        <f>IF($J487="","",IFERROR(INDEX(B!$J$2:$J$61,MATCH($J487,B!$E$2:$E$61,0))&amp;"",""))</f>
        <v/>
      </c>
      <c r="S487" s="69">
        <f>IF($J487="","",IFERROR(INDEX(B!$K$2:$K$61,MATCH($J487,B!$E$2:$E$61,0))&amp;"",""))</f>
        <v/>
      </c>
      <c r="T487" s="69">
        <f>IF($J487="","",IFERROR(INDEX(B!$L$2:$L$61,MATCH($J487,B!$E$2:$E$61,0))&amp;"",""))</f>
        <v/>
      </c>
      <c r="U487" s="20" t="n"/>
      <c r="V487" s="70">
        <f>IF($J487="","",IFERROR(INDEX(B!$M$2:$M$61,MATCH($J487,B!$E$2:$E$61,0))&amp;"",""))</f>
        <v/>
      </c>
      <c r="W487" s="71">
        <f>IF(I487="","",IFERROR(MID(I487,FIND("/d/",I487)+3,FIND("/edit",I487)-FIND("/d/",I487)-3),I487))</f>
        <v/>
      </c>
      <c r="X487" s="71">
        <f>IF($J487="","",IFERROR(INDEX(B!$C$2:$C$61,MATCH($J487,B!$E$2:$E$61,0))&amp;"",""))</f>
        <v/>
      </c>
      <c r="Y487" s="20" t="n"/>
      <c r="Z487" s="72">
        <f>IF($J487="",FALSE,ISNUMBER(SEARCH("scout",$K487)))</f>
        <v/>
      </c>
      <c r="AA487" s="72">
        <f>IF($J487="",FALSE,IFERROR(INDEX(B!$N$2:$N$61,MATCH($J487,B!$E$2:$E$61,0))="Sim",FALSE))</f>
        <v/>
      </c>
      <c r="AB487" s="72">
        <f>IF($J487="",FALSE,LEFT($X487,2)="XX")</f>
        <v/>
      </c>
      <c r="AC487" s="72">
        <f>IF($J487="",FALSE,IFERROR(INDEX(B!$P$2:$P$61,MATCH($J487,B!$E$2:$E$61,0))="Sim",FALSE))</f>
        <v/>
      </c>
      <c r="AD487" s="20" t="n"/>
      <c r="AE487" s="52">
        <f>IF(H487="","",HOUR(H487))</f>
        <v/>
      </c>
      <c r="AF487" s="52" t="n"/>
    </row>
    <row r="488" ht="19.5" customHeight="1" s="58">
      <c r="A488" s="62">
        <f>IF(G488="","",IF(G488=G487,"",COUNTIF($G$3:$G$976,G488)))</f>
        <v/>
      </c>
      <c r="B488" s="20" t="n"/>
      <c r="C488" s="63">
        <f>IF(G488="","",DAY(G488))</f>
        <v/>
      </c>
      <c r="D488" s="63">
        <f>IF(G488="","",MONTH(G488))</f>
        <v/>
      </c>
      <c r="E488" s="63">
        <f>IF(G488="","",YEAR(G488))</f>
        <v/>
      </c>
      <c r="F488" s="33">
        <f>IF(G488="","",CHOOSE(MONTH(G488),"Janeiro","Fevereiro","Março","Abril","Maio","Junho","Julho","Agosto","Setembro","Outubro","Novembro","Dezembro"))</f>
        <v/>
      </c>
      <c r="G488" s="64" t="n">
        <v>46068</v>
      </c>
      <c r="H488" s="65" t="n">
        <v>0.1858101851851852</v>
      </c>
      <c r="I488" s="66" t="inlineStr">
        <is>
          <t>https://docs.google.com/spreadsheets/d/1ZiCGoPjLCjuYvujDTXK9Ixbth3tekiLtFBzBrGjPCr4/edit?gid=0#gid=0</t>
        </is>
      </c>
      <c r="J488" s="67" t="inlineStr">
        <is>
          <t>Overpaid, Não excede o limite, Com comprovante - [OPNC]</t>
        </is>
      </c>
      <c r="K488" s="67" t="inlineStr">
        <is>
          <t>Scout</t>
        </is>
      </c>
      <c r="L488" s="68" t="b">
        <v>0</v>
      </c>
      <c r="M488" s="20" t="n"/>
      <c r="N488" s="69">
        <f>IF($J488="","",IFERROR(INDEX(B!$F$2:$F$61,MATCH($J488,B!$E$2:$E$61,0))&amp;"",""))</f>
        <v/>
      </c>
      <c r="O488" s="69">
        <f>IF($J488="","",IFERROR(INDEX(B!$G$2:$G$61,MATCH($J488,B!$E$2:$E$61,0))&amp;"",""))</f>
        <v/>
      </c>
      <c r="P488" s="69">
        <f>IF($J488="","",IFERROR(INDEX(B!$H$2:$H$61,MATCH($J488,B!$E$2:$E$61,0))&amp;"",""))</f>
        <v/>
      </c>
      <c r="Q488" s="69">
        <f>IF($J488="","",IFERROR(INDEX(B!$I$2:$I$61,MATCH($J488,B!$E$2:$E$61,0))&amp;"",""))</f>
        <v/>
      </c>
      <c r="R488" s="69">
        <f>IF($J488="","",IFERROR(INDEX(B!$J$2:$J$61,MATCH($J488,B!$E$2:$E$61,0))&amp;"",""))</f>
        <v/>
      </c>
      <c r="S488" s="69">
        <f>IF($J488="","",IFERROR(INDEX(B!$K$2:$K$61,MATCH($J488,B!$E$2:$E$61,0))&amp;"",""))</f>
        <v/>
      </c>
      <c r="T488" s="69">
        <f>IF($J488="","",IFERROR(INDEX(B!$L$2:$L$61,MATCH($J488,B!$E$2:$E$61,0))&amp;"",""))</f>
        <v/>
      </c>
      <c r="U488" s="20" t="n"/>
      <c r="V488" s="70">
        <f>IF($J488="","",IFERROR(INDEX(B!$M$2:$M$61,MATCH($J488,B!$E$2:$E$61,0))&amp;"",""))</f>
        <v/>
      </c>
      <c r="W488" s="71">
        <f>IF(I488="","",IFERROR(MID(I488,FIND("/d/",I488)+3,FIND("/edit",I488)-FIND("/d/",I488)-3),I488))</f>
        <v/>
      </c>
      <c r="X488" s="71">
        <f>IF($J488="","",IFERROR(INDEX(B!$C$2:$C$61,MATCH($J488,B!$E$2:$E$61,0))&amp;"",""))</f>
        <v/>
      </c>
      <c r="Y488" s="20" t="n"/>
      <c r="Z488" s="72">
        <f>IF($J488="",FALSE,ISNUMBER(SEARCH("scout",$K488)))</f>
        <v/>
      </c>
      <c r="AA488" s="72">
        <f>IF($J488="",FALSE,IFERROR(INDEX(B!$N$2:$N$61,MATCH($J488,B!$E$2:$E$61,0))="Sim",FALSE))</f>
        <v/>
      </c>
      <c r="AB488" s="72">
        <f>IF($J488="",FALSE,LEFT($X488,2)="XX")</f>
        <v/>
      </c>
      <c r="AC488" s="72">
        <f>IF($J488="",FALSE,IFERROR(INDEX(B!$P$2:$P$61,MATCH($J488,B!$E$2:$E$61,0))="Sim",FALSE))</f>
        <v/>
      </c>
      <c r="AD488" s="20" t="n"/>
      <c r="AE488" s="52">
        <f>IF(H488="","",HOUR(H488))</f>
        <v/>
      </c>
      <c r="AF488" s="52" t="n"/>
    </row>
    <row r="489" ht="19.5" customHeight="1" s="58">
      <c r="A489" s="62">
        <f>IF(G489="","",IF(G489=G488,"",COUNTIF($G$3:$G$976,G489)))</f>
        <v/>
      </c>
      <c r="B489" s="20" t="n"/>
      <c r="C489" s="63">
        <f>IF(G489="","",DAY(G489))</f>
        <v/>
      </c>
      <c r="D489" s="63">
        <f>IF(G489="","",MONTH(G489))</f>
        <v/>
      </c>
      <c r="E489" s="63">
        <f>IF(G489="","",YEAR(G489))</f>
        <v/>
      </c>
      <c r="F489" s="33">
        <f>IF(G489="","",CHOOSE(MONTH(G489),"Janeiro","Fevereiro","Março","Abril","Maio","Junho","Julho","Agosto","Setembro","Outubro","Novembro","Dezembro"))</f>
        <v/>
      </c>
      <c r="G489" s="64" t="n">
        <v>46068</v>
      </c>
      <c r="H489" s="65" t="n">
        <v>0.1860648148148148</v>
      </c>
      <c r="I489" s="66" t="inlineStr">
        <is>
          <t>https://docs.google.com/spreadsheets/d/1ZiCGoPjLCjuYvujDTXK9Ixbth3tekiLtFBzBrGjPCr4/edit?gid=0#gid=0</t>
        </is>
      </c>
      <c r="J489" s="67" t="inlineStr">
        <is>
          <t>Evento Raro - [ER]</t>
        </is>
      </c>
      <c r="K489" s="67" t="inlineStr">
        <is>
          <t>Scout</t>
        </is>
      </c>
      <c r="L489" s="68" t="b">
        <v>1</v>
      </c>
      <c r="M489" s="20" t="n"/>
      <c r="N489" s="69">
        <f>IF($J489="","",IFERROR(INDEX(B!$F$2:$F$61,MATCH($J489,B!$E$2:$E$61,0))&amp;"",""))</f>
        <v/>
      </c>
      <c r="O489" s="69">
        <f>IF($J489="","",IFERROR(INDEX(B!$G$2:$G$61,MATCH($J489,B!$E$2:$E$61,0))&amp;"",""))</f>
        <v/>
      </c>
      <c r="P489" s="69">
        <f>IF($J489="","",IFERROR(INDEX(B!$H$2:$H$61,MATCH($J489,B!$E$2:$E$61,0))&amp;"",""))</f>
        <v/>
      </c>
      <c r="Q489" s="69">
        <f>IF($J489="","",IFERROR(INDEX(B!$I$2:$I$61,MATCH($J489,B!$E$2:$E$61,0))&amp;"",""))</f>
        <v/>
      </c>
      <c r="R489" s="69">
        <f>IF($J489="","",IFERROR(INDEX(B!$J$2:$J$61,MATCH($J489,B!$E$2:$E$61,0))&amp;"",""))</f>
        <v/>
      </c>
      <c r="S489" s="69">
        <f>IF($J489="","",IFERROR(INDEX(B!$K$2:$K$61,MATCH($J489,B!$E$2:$E$61,0))&amp;"",""))</f>
        <v/>
      </c>
      <c r="T489" s="69">
        <f>IF($J489="","",IFERROR(INDEX(B!$L$2:$L$61,MATCH($J489,B!$E$2:$E$61,0))&amp;"",""))</f>
        <v/>
      </c>
      <c r="U489" s="20" t="n"/>
      <c r="V489" s="70">
        <f>IF($J489="","",IFERROR(INDEX(B!$M$2:$M$61,MATCH($J489,B!$E$2:$E$61,0))&amp;"",""))</f>
        <v/>
      </c>
      <c r="W489" s="71">
        <f>IF(I489="","",IFERROR(MID(I489,FIND("/d/",I489)+3,FIND("/edit",I489)-FIND("/d/",I489)-3),I489))</f>
        <v/>
      </c>
      <c r="X489" s="71">
        <f>IF($J489="","",IFERROR(INDEX(B!$C$2:$C$61,MATCH($J489,B!$E$2:$E$61,0))&amp;"",""))</f>
        <v/>
      </c>
      <c r="Y489" s="20" t="n"/>
      <c r="Z489" s="72">
        <f>IF($J489="",FALSE,ISNUMBER(SEARCH("scout",$K489)))</f>
        <v/>
      </c>
      <c r="AA489" s="72">
        <f>IF($J489="",FALSE,IFERROR(INDEX(B!$N$2:$N$61,MATCH($J489,B!$E$2:$E$61,0))="Sim",FALSE))</f>
        <v/>
      </c>
      <c r="AB489" s="72">
        <f>IF($J489="",FALSE,LEFT($X489,2)="XX")</f>
        <v/>
      </c>
      <c r="AC489" s="72">
        <f>IF($J489="",FALSE,IFERROR(INDEX(B!$P$2:$P$61,MATCH($J489,B!$E$2:$E$61,0))="Sim",FALSE))</f>
        <v/>
      </c>
      <c r="AD489" s="20" t="n"/>
      <c r="AE489" s="52">
        <f>IF(H489="","",HOUR(H489))</f>
        <v/>
      </c>
      <c r="AF489" s="52" t="n"/>
    </row>
    <row r="490" ht="19.5" customHeight="1" s="58">
      <c r="A490" s="62">
        <f>IF(G490="","",IF(G490=G489,"",COUNTIF($G$3:$G$976,G490)))</f>
        <v/>
      </c>
      <c r="B490" s="20" t="n"/>
      <c r="C490" s="63">
        <f>IF(G490="","",DAY(G490))</f>
        <v/>
      </c>
      <c r="D490" s="63">
        <f>IF(G490="","",MONTH(G490))</f>
        <v/>
      </c>
      <c r="E490" s="63">
        <f>IF(G490="","",YEAR(G490))</f>
        <v/>
      </c>
      <c r="F490" s="33">
        <f>IF(G490="","",CHOOSE(MONTH(G490),"Janeiro","Fevereiro","Março","Abril","Maio","Junho","Julho","Agosto","Setembro","Outubro","Novembro","Dezembro"))</f>
        <v/>
      </c>
      <c r="G490" s="64" t="n">
        <v>46068</v>
      </c>
      <c r="H490" s="65" t="n">
        <v>0.1895717592592593</v>
      </c>
      <c r="I490" s="66" t="inlineStr">
        <is>
          <t>https://docs.google.com/spreadsheets/d/1ZiCGoPjLCjuYvujDTXK9Ixbth3tekiLtFBzBrGjPCr4/edit?gid=0#gid=0</t>
        </is>
      </c>
      <c r="J490" s="67" t="inlineStr">
        <is>
          <t>Taxa de Cancelamento Cobrada Corretamente - [TXCO]</t>
        </is>
      </c>
      <c r="K490" s="67" t="inlineStr"/>
      <c r="L490" s="68" t="b">
        <v>0</v>
      </c>
      <c r="M490" s="20" t="n"/>
      <c r="N490" s="69">
        <f>IF($J490="","",IFERROR(INDEX(B!$F$2:$F$61,MATCH($J490,B!$E$2:$E$61,0))&amp;"",""))</f>
        <v/>
      </c>
      <c r="O490" s="69">
        <f>IF($J490="","",IFERROR(INDEX(B!$G$2:$G$61,MATCH($J490,B!$E$2:$E$61,0))&amp;"",""))</f>
        <v/>
      </c>
      <c r="P490" s="69">
        <f>IF($J490="","",IFERROR(INDEX(B!$H$2:$H$61,MATCH($J490,B!$E$2:$E$61,0))&amp;"",""))</f>
        <v/>
      </c>
      <c r="Q490" s="69">
        <f>IF($J490="","",IFERROR(INDEX(B!$I$2:$I$61,MATCH($J490,B!$E$2:$E$61,0))&amp;"",""))</f>
        <v/>
      </c>
      <c r="R490" s="69">
        <f>IF($J490="","",IFERROR(INDEX(B!$J$2:$J$61,MATCH($J490,B!$E$2:$E$61,0))&amp;"",""))</f>
        <v/>
      </c>
      <c r="S490" s="69">
        <f>IF($J490="","",IFERROR(INDEX(B!$K$2:$K$61,MATCH($J490,B!$E$2:$E$61,0))&amp;"",""))</f>
        <v/>
      </c>
      <c r="T490" s="69">
        <f>IF($J490="","",IFERROR(INDEX(B!$L$2:$L$61,MATCH($J490,B!$E$2:$E$61,0))&amp;"",""))</f>
        <v/>
      </c>
      <c r="U490" s="20" t="n"/>
      <c r="V490" s="70">
        <f>IF($J490="","",IFERROR(INDEX(B!$M$2:$M$61,MATCH($J490,B!$E$2:$E$61,0))&amp;"",""))</f>
        <v/>
      </c>
      <c r="W490" s="71">
        <f>IF(I490="","",IFERROR(MID(I490,FIND("/d/",I490)+3,FIND("/edit",I490)-FIND("/d/",I490)-3),I490))</f>
        <v/>
      </c>
      <c r="X490" s="71">
        <f>IF($J490="","",IFERROR(INDEX(B!$C$2:$C$61,MATCH($J490,B!$E$2:$E$61,0))&amp;"",""))</f>
        <v/>
      </c>
      <c r="Y490" s="20" t="n"/>
      <c r="Z490" s="72">
        <f>IF($J490="",FALSE,ISNUMBER(SEARCH("scout",$K490)))</f>
        <v/>
      </c>
      <c r="AA490" s="72">
        <f>IF($J490="",FALSE,IFERROR(INDEX(B!$N$2:$N$61,MATCH($J490,B!$E$2:$E$61,0))="Sim",FALSE))</f>
        <v/>
      </c>
      <c r="AB490" s="72">
        <f>IF($J490="",FALSE,LEFT($X490,2)="XX")</f>
        <v/>
      </c>
      <c r="AC490" s="72">
        <f>IF($J490="",FALSE,IFERROR(INDEX(B!$P$2:$P$61,MATCH($J490,B!$E$2:$E$61,0))="Sim",FALSE))</f>
        <v/>
      </c>
      <c r="AD490" s="20" t="n"/>
      <c r="AE490" s="52">
        <f>IF(H490="","",HOUR(H490))</f>
        <v/>
      </c>
      <c r="AF490" s="52" t="n"/>
    </row>
    <row r="491" ht="19.5" customHeight="1" s="58">
      <c r="A491" s="62">
        <f>IF(G491="","",IF(G491=G490,"",COUNTIF($G$3:$G$976,G491)))</f>
        <v/>
      </c>
      <c r="B491" s="20" t="n"/>
      <c r="C491" s="63">
        <f>IF(G491="","",DAY(G491))</f>
        <v/>
      </c>
      <c r="D491" s="63">
        <f>IF(G491="","",MONTH(G491))</f>
        <v/>
      </c>
      <c r="E491" s="63">
        <f>IF(G491="","",YEAR(G491))</f>
        <v/>
      </c>
      <c r="F491" s="33">
        <f>IF(G491="","",CHOOSE(MONTH(G491),"Janeiro","Fevereiro","Março","Abril","Maio","Junho","Julho","Agosto","Setembro","Outubro","Novembro","Dezembro"))</f>
        <v/>
      </c>
      <c r="G491" s="64" t="n">
        <v>46068</v>
      </c>
      <c r="H491" s="65" t="n">
        <v>0.1910763888888889</v>
      </c>
      <c r="I491" s="66" t="inlineStr">
        <is>
          <t>https://docs.google.com/spreadsheets/d/1ZiCGoPjLCjuYvujDTXK9Ixbth3tekiLtFBzBrGjPCr4/edit?gid=0#gid=0</t>
        </is>
      </c>
      <c r="J491" s="67" t="inlineStr">
        <is>
          <t>Taxa de Cancelamento Cobrada Corretamente - [TXCO]</t>
        </is>
      </c>
      <c r="K491" s="67" t="inlineStr"/>
      <c r="L491" s="68" t="b">
        <v>0</v>
      </c>
      <c r="M491" s="20" t="n"/>
      <c r="N491" s="69">
        <f>IF($J491="","",IFERROR(INDEX(B!$F$2:$F$61,MATCH($J491,B!$E$2:$E$61,0))&amp;"",""))</f>
        <v/>
      </c>
      <c r="O491" s="69">
        <f>IF($J491="","",IFERROR(INDEX(B!$G$2:$G$61,MATCH($J491,B!$E$2:$E$61,0))&amp;"",""))</f>
        <v/>
      </c>
      <c r="P491" s="69">
        <f>IF($J491="","",IFERROR(INDEX(B!$H$2:$H$61,MATCH($J491,B!$E$2:$E$61,0))&amp;"",""))</f>
        <v/>
      </c>
      <c r="Q491" s="69">
        <f>IF($J491="","",IFERROR(INDEX(B!$I$2:$I$61,MATCH($J491,B!$E$2:$E$61,0))&amp;"",""))</f>
        <v/>
      </c>
      <c r="R491" s="69">
        <f>IF($J491="","",IFERROR(INDEX(B!$J$2:$J$61,MATCH($J491,B!$E$2:$E$61,0))&amp;"",""))</f>
        <v/>
      </c>
      <c r="S491" s="69">
        <f>IF($J491="","",IFERROR(INDEX(B!$K$2:$K$61,MATCH($J491,B!$E$2:$E$61,0))&amp;"",""))</f>
        <v/>
      </c>
      <c r="T491" s="69">
        <f>IF($J491="","",IFERROR(INDEX(B!$L$2:$L$61,MATCH($J491,B!$E$2:$E$61,0))&amp;"",""))</f>
        <v/>
      </c>
      <c r="U491" s="20" t="n"/>
      <c r="V491" s="70">
        <f>IF($J491="","",IFERROR(INDEX(B!$M$2:$M$61,MATCH($J491,B!$E$2:$E$61,0))&amp;"",""))</f>
        <v/>
      </c>
      <c r="W491" s="71">
        <f>IF(I491="","",IFERROR(MID(I491,FIND("/d/",I491)+3,FIND("/edit",I491)-FIND("/d/",I491)-3),I491))</f>
        <v/>
      </c>
      <c r="X491" s="71">
        <f>IF($J491="","",IFERROR(INDEX(B!$C$2:$C$61,MATCH($J491,B!$E$2:$E$61,0))&amp;"",""))</f>
        <v/>
      </c>
      <c r="Y491" s="20" t="n"/>
      <c r="Z491" s="72">
        <f>IF($J491="",FALSE,ISNUMBER(SEARCH("scout",$K491)))</f>
        <v/>
      </c>
      <c r="AA491" s="72">
        <f>IF($J491="",FALSE,IFERROR(INDEX(B!$N$2:$N$61,MATCH($J491,B!$E$2:$E$61,0))="Sim",FALSE))</f>
        <v/>
      </c>
      <c r="AB491" s="72">
        <f>IF($J491="",FALSE,LEFT($X491,2)="XX")</f>
        <v/>
      </c>
      <c r="AC491" s="72">
        <f>IF($J491="",FALSE,IFERROR(INDEX(B!$P$2:$P$61,MATCH($J491,B!$E$2:$E$61,0))="Sim",FALSE))</f>
        <v/>
      </c>
      <c r="AD491" s="20" t="n"/>
      <c r="AE491" s="52">
        <f>IF(H491="","",HOUR(H491))</f>
        <v/>
      </c>
      <c r="AF491" s="52" t="n"/>
    </row>
    <row r="492" ht="19.5" customHeight="1" s="58">
      <c r="A492" s="62">
        <f>IF(G492="","",IF(G492=G491,"",COUNTIF($G$3:$G$976,G492)))</f>
        <v/>
      </c>
      <c r="B492" s="20" t="n"/>
      <c r="C492" s="63">
        <f>IF(G492="","",DAY(G492))</f>
        <v/>
      </c>
      <c r="D492" s="63">
        <f>IF(G492="","",MONTH(G492))</f>
        <v/>
      </c>
      <c r="E492" s="63">
        <f>IF(G492="","",YEAR(G492))</f>
        <v/>
      </c>
      <c r="F492" s="33">
        <f>IF(G492="","",CHOOSE(MONTH(G492),"Janeiro","Fevereiro","Março","Abril","Maio","Junho","Julho","Agosto","Setembro","Outubro","Novembro","Dezembro"))</f>
        <v/>
      </c>
      <c r="G492" s="64" t="n">
        <v>46068</v>
      </c>
      <c r="H492" s="65" t="n">
        <v>0.1911805555555555</v>
      </c>
      <c r="I492" s="66" t="inlineStr">
        <is>
          <t>https://docs.google.com/spreadsheets/d/1ZiCGoPjLCjuYvujDTXK9Ixbth3tekiLtFBzBrGjPCr4/edit?gid=0#gid=0</t>
        </is>
      </c>
      <c r="J492" s="67" t="inlineStr">
        <is>
          <t>Erro de Gps (Problema Técnico) - [GPS]</t>
        </is>
      </c>
      <c r="K492" s="67" t="inlineStr">
        <is>
          <t>Scout</t>
        </is>
      </c>
      <c r="L492" s="68" t="b">
        <v>0</v>
      </c>
      <c r="M492" s="20" t="n"/>
      <c r="N492" s="69">
        <f>IF($J492="","",IFERROR(INDEX(B!$F$2:$F$61,MATCH($J492,B!$E$2:$E$61,0))&amp;"",""))</f>
        <v/>
      </c>
      <c r="O492" s="69">
        <f>IF($J492="","",IFERROR(INDEX(B!$G$2:$G$61,MATCH($J492,B!$E$2:$E$61,0))&amp;"",""))</f>
        <v/>
      </c>
      <c r="P492" s="69">
        <f>IF($J492="","",IFERROR(INDEX(B!$H$2:$H$61,MATCH($J492,B!$E$2:$E$61,0))&amp;"",""))</f>
        <v/>
      </c>
      <c r="Q492" s="69">
        <f>IF($J492="","",IFERROR(INDEX(B!$I$2:$I$61,MATCH($J492,B!$E$2:$E$61,0))&amp;"",""))</f>
        <v/>
      </c>
      <c r="R492" s="69">
        <f>IF($J492="","",IFERROR(INDEX(B!$J$2:$J$61,MATCH($J492,B!$E$2:$E$61,0))&amp;"",""))</f>
        <v/>
      </c>
      <c r="S492" s="69">
        <f>IF($J492="","",IFERROR(INDEX(B!$K$2:$K$61,MATCH($J492,B!$E$2:$E$61,0))&amp;"",""))</f>
        <v/>
      </c>
      <c r="T492" s="69">
        <f>IF($J492="","",IFERROR(INDEX(B!$L$2:$L$61,MATCH($J492,B!$E$2:$E$61,0))&amp;"",""))</f>
        <v/>
      </c>
      <c r="U492" s="20" t="n"/>
      <c r="V492" s="70">
        <f>IF($J492="","",IFERROR(INDEX(B!$M$2:$M$61,MATCH($J492,B!$E$2:$E$61,0))&amp;"",""))</f>
        <v/>
      </c>
      <c r="W492" s="71">
        <f>IF(I492="","",IFERROR(MID(I492,FIND("/d/",I492)+3,FIND("/edit",I492)-FIND("/d/",I492)-3),I492))</f>
        <v/>
      </c>
      <c r="X492" s="71">
        <f>IF($J492="","",IFERROR(INDEX(B!$C$2:$C$61,MATCH($J492,B!$E$2:$E$61,0))&amp;"",""))</f>
        <v/>
      </c>
      <c r="Y492" s="20" t="n"/>
      <c r="Z492" s="72">
        <f>IF($J492="",FALSE,ISNUMBER(SEARCH("scout",$K492)))</f>
        <v/>
      </c>
      <c r="AA492" s="72">
        <f>IF($J492="",FALSE,IFERROR(INDEX(B!$N$2:$N$61,MATCH($J492,B!$E$2:$E$61,0))="Sim",FALSE))</f>
        <v/>
      </c>
      <c r="AB492" s="72">
        <f>IF($J492="",FALSE,LEFT($X492,2)="XX")</f>
        <v/>
      </c>
      <c r="AC492" s="72">
        <f>IF($J492="",FALSE,IFERROR(INDEX(B!$P$2:$P$61,MATCH($J492,B!$E$2:$E$61,0))="Sim",FALSE))</f>
        <v/>
      </c>
      <c r="AD492" s="20" t="n"/>
      <c r="AE492" s="52">
        <f>IF(H492="","",HOUR(H492))</f>
        <v/>
      </c>
      <c r="AF492" s="52" t="n"/>
    </row>
    <row r="493" ht="19.5" customHeight="1" s="58">
      <c r="A493" s="62">
        <f>IF(G493="","",IF(G493=G492,"",COUNTIF($G$3:$G$976,G493)))</f>
        <v/>
      </c>
      <c r="B493" s="20" t="n"/>
      <c r="C493" s="63">
        <f>IF(G493="","",DAY(G493))</f>
        <v/>
      </c>
      <c r="D493" s="63">
        <f>IF(G493="","",MONTH(G493))</f>
        <v/>
      </c>
      <c r="E493" s="63">
        <f>IF(G493="","",YEAR(G493))</f>
        <v/>
      </c>
      <c r="F493" s="33">
        <f>IF(G493="","",CHOOSE(MONTH(G493),"Janeiro","Fevereiro","Março","Abril","Maio","Junho","Julho","Agosto","Setembro","Outubro","Novembro","Dezembro"))</f>
        <v/>
      </c>
      <c r="G493" s="64" t="n">
        <v>46068</v>
      </c>
      <c r="H493" s="65" t="n">
        <v>0.1970601851851852</v>
      </c>
      <c r="I493" s="66" t="inlineStr">
        <is>
          <t>https://docs.google.com/spreadsheets/d/1ZiCGoPjLCjuYvujDTXK9Ixbth3tekiLtFBzBrGjPCr4/edit?gid=0#gid=0</t>
        </is>
      </c>
      <c r="J493" s="67" t="inlineStr">
        <is>
          <t>Evento Raro - [ER]</t>
        </is>
      </c>
      <c r="K493" s="67" t="inlineStr"/>
      <c r="L493" s="68" t="b">
        <v>0</v>
      </c>
      <c r="M493" s="20" t="n"/>
      <c r="N493" s="69">
        <f>IF($J493="","",IFERROR(INDEX(B!$F$2:$F$61,MATCH($J493,B!$E$2:$E$61,0))&amp;"",""))</f>
        <v/>
      </c>
      <c r="O493" s="69">
        <f>IF($J493="","",IFERROR(INDEX(B!$G$2:$G$61,MATCH($J493,B!$E$2:$E$61,0))&amp;"",""))</f>
        <v/>
      </c>
      <c r="P493" s="69">
        <f>IF($J493="","",IFERROR(INDEX(B!$H$2:$H$61,MATCH($J493,B!$E$2:$E$61,0))&amp;"",""))</f>
        <v/>
      </c>
      <c r="Q493" s="69">
        <f>IF($J493="","",IFERROR(INDEX(B!$I$2:$I$61,MATCH($J493,B!$E$2:$E$61,0))&amp;"",""))</f>
        <v/>
      </c>
      <c r="R493" s="69">
        <f>IF($J493="","",IFERROR(INDEX(B!$J$2:$J$61,MATCH($J493,B!$E$2:$E$61,0))&amp;"",""))</f>
        <v/>
      </c>
      <c r="S493" s="69">
        <f>IF($J493="","",IFERROR(INDEX(B!$K$2:$K$61,MATCH($J493,B!$E$2:$E$61,0))&amp;"",""))</f>
        <v/>
      </c>
      <c r="T493" s="69">
        <f>IF($J493="","",IFERROR(INDEX(B!$L$2:$L$61,MATCH($J493,B!$E$2:$E$61,0))&amp;"",""))</f>
        <v/>
      </c>
      <c r="U493" s="20" t="n"/>
      <c r="V493" s="70">
        <f>IF($J493="","",IFERROR(INDEX(B!$M$2:$M$61,MATCH($J493,B!$E$2:$E$61,0))&amp;"",""))</f>
        <v/>
      </c>
      <c r="W493" s="71">
        <f>IF(I493="","",IFERROR(MID(I493,FIND("/d/",I493)+3,FIND("/edit",I493)-FIND("/d/",I493)-3),I493))</f>
        <v/>
      </c>
      <c r="X493" s="71">
        <f>IF($J493="","",IFERROR(INDEX(B!$C$2:$C$61,MATCH($J493,B!$E$2:$E$61,0))&amp;"",""))</f>
        <v/>
      </c>
      <c r="Y493" s="20" t="n"/>
      <c r="Z493" s="72">
        <f>IF($J493="",FALSE,ISNUMBER(SEARCH("scout",$K493)))</f>
        <v/>
      </c>
      <c r="AA493" s="72">
        <f>IF($J493="",FALSE,IFERROR(INDEX(B!$N$2:$N$61,MATCH($J493,B!$E$2:$E$61,0))="Sim",FALSE))</f>
        <v/>
      </c>
      <c r="AB493" s="72">
        <f>IF($J493="",FALSE,LEFT($X493,2)="XX")</f>
        <v/>
      </c>
      <c r="AC493" s="72">
        <f>IF($J493="",FALSE,IFERROR(INDEX(B!$P$2:$P$61,MATCH($J493,B!$E$2:$E$61,0))="Sim",FALSE))</f>
        <v/>
      </c>
      <c r="AD493" s="20" t="n"/>
      <c r="AE493" s="52">
        <f>IF(H493="","",HOUR(H493))</f>
        <v/>
      </c>
      <c r="AF493" s="52" t="n"/>
    </row>
    <row r="494" ht="19.5" customHeight="1" s="58">
      <c r="A494" s="62">
        <f>IF(G494="","",IF(G494=G493,"",COUNTIF($G$3:$G$976,G494)))</f>
        <v/>
      </c>
      <c r="B494" s="20" t="n"/>
      <c r="C494" s="63">
        <f>IF(G494="","",DAY(G494))</f>
        <v/>
      </c>
      <c r="D494" s="63">
        <f>IF(G494="","",MONTH(G494))</f>
        <v/>
      </c>
      <c r="E494" s="63">
        <f>IF(G494="","",YEAR(G494))</f>
        <v/>
      </c>
      <c r="F494" s="33">
        <f>IF(G494="","",CHOOSE(MONTH(G494),"Janeiro","Fevereiro","Março","Abril","Maio","Junho","Julho","Agosto","Setembro","Outubro","Novembro","Dezembro"))</f>
        <v/>
      </c>
      <c r="G494" s="64" t="n">
        <v>46068</v>
      </c>
      <c r="H494" s="65" t="n">
        <v>0.1978703703703704</v>
      </c>
      <c r="I494" s="66" t="inlineStr">
        <is>
          <t>https://docs.google.com/spreadsheets/d/1ZiCGoPjLCjuYvujDTXK9Ixbth3tekiLtFBzBrGjPCr4/edit?gid=0#gid=0</t>
        </is>
      </c>
      <c r="J494" s="67" t="inlineStr">
        <is>
          <t>Evento Raro - [ER]</t>
        </is>
      </c>
      <c r="K494" s="67" t="inlineStr">
        <is>
          <t>Scout</t>
        </is>
      </c>
      <c r="L494" s="68" t="b">
        <v>0</v>
      </c>
      <c r="M494" s="20" t="n"/>
      <c r="N494" s="69">
        <f>IF($J494="","",IFERROR(INDEX(B!$F$2:$F$61,MATCH($J494,B!$E$2:$E$61,0))&amp;"",""))</f>
        <v/>
      </c>
      <c r="O494" s="69">
        <f>IF($J494="","",IFERROR(INDEX(B!$G$2:$G$61,MATCH($J494,B!$E$2:$E$61,0))&amp;"",""))</f>
        <v/>
      </c>
      <c r="P494" s="69">
        <f>IF($J494="","",IFERROR(INDEX(B!$H$2:$H$61,MATCH($J494,B!$E$2:$E$61,0))&amp;"",""))</f>
        <v/>
      </c>
      <c r="Q494" s="69">
        <f>IF($J494="","",IFERROR(INDEX(B!$I$2:$I$61,MATCH($J494,B!$E$2:$E$61,0))&amp;"",""))</f>
        <v/>
      </c>
      <c r="R494" s="69">
        <f>IF($J494="","",IFERROR(INDEX(B!$J$2:$J$61,MATCH($J494,B!$E$2:$E$61,0))&amp;"",""))</f>
        <v/>
      </c>
      <c r="S494" s="69">
        <f>IF($J494="","",IFERROR(INDEX(B!$K$2:$K$61,MATCH($J494,B!$E$2:$E$61,0))&amp;"",""))</f>
        <v/>
      </c>
      <c r="T494" s="69">
        <f>IF($J494="","",IFERROR(INDEX(B!$L$2:$L$61,MATCH($J494,B!$E$2:$E$61,0))&amp;"",""))</f>
        <v/>
      </c>
      <c r="U494" s="20" t="n"/>
      <c r="V494" s="70">
        <f>IF($J494="","",IFERROR(INDEX(B!$M$2:$M$61,MATCH($J494,B!$E$2:$E$61,0))&amp;"",""))</f>
        <v/>
      </c>
      <c r="W494" s="71">
        <f>IF(I494="","",IFERROR(MID(I494,FIND("/d/",I494)+3,FIND("/edit",I494)-FIND("/d/",I494)-3),I494))</f>
        <v/>
      </c>
      <c r="X494" s="71">
        <f>IF($J494="","",IFERROR(INDEX(B!$C$2:$C$61,MATCH($J494,B!$E$2:$E$61,0))&amp;"",""))</f>
        <v/>
      </c>
      <c r="Y494" s="20" t="n"/>
      <c r="Z494" s="72">
        <f>IF($J494="",FALSE,ISNUMBER(SEARCH("scout",$K494)))</f>
        <v/>
      </c>
      <c r="AA494" s="72">
        <f>IF($J494="",FALSE,IFERROR(INDEX(B!$N$2:$N$61,MATCH($J494,B!$E$2:$E$61,0))="Sim",FALSE))</f>
        <v/>
      </c>
      <c r="AB494" s="72">
        <f>IF($J494="",FALSE,LEFT($X494,2)="XX")</f>
        <v/>
      </c>
      <c r="AC494" s="72">
        <f>IF($J494="",FALSE,IFERROR(INDEX(B!$P$2:$P$61,MATCH($J494,B!$E$2:$E$61,0))="Sim",FALSE))</f>
        <v/>
      </c>
      <c r="AD494" s="20" t="n"/>
      <c r="AE494" s="52">
        <f>IF(H494="","",HOUR(H494))</f>
        <v/>
      </c>
      <c r="AF494" s="52" t="n"/>
    </row>
    <row r="495" ht="19.5" customHeight="1" s="58">
      <c r="A495" s="62">
        <f>IF(G495="","",IF(G495=G494,"",COUNTIF($G$3:$G$976,G495)))</f>
        <v/>
      </c>
      <c r="B495" s="20" t="n"/>
      <c r="C495" s="63">
        <f>IF(G495="","",DAY(G495))</f>
        <v/>
      </c>
      <c r="D495" s="63">
        <f>IF(G495="","",MONTH(G495))</f>
        <v/>
      </c>
      <c r="E495" s="63">
        <f>IF(G495="","",YEAR(G495))</f>
        <v/>
      </c>
      <c r="F495" s="33">
        <f>IF(G495="","",CHOOSE(MONTH(G495),"Janeiro","Fevereiro","Março","Abril","Maio","Junho","Julho","Agosto","Setembro","Outubro","Novembro","Dezembro"))</f>
        <v/>
      </c>
      <c r="G495" s="64" t="n">
        <v>46068</v>
      </c>
      <c r="H495" s="65" t="n">
        <v>0.2029166666666667</v>
      </c>
      <c r="I495" s="66" t="inlineStr">
        <is>
          <t>https://docs.google.com/spreadsheets/d/1ZiCGoPjLCjuYvujDTXK9Ixbth3tekiLtFBzBrGjPCr4/edit?gid=0#gid=0</t>
        </is>
      </c>
      <c r="J495" s="67" t="inlineStr">
        <is>
          <t>Taxa de Limpeza, Sem ajustes - [TXLO]</t>
        </is>
      </c>
      <c r="K495" s="67" t="inlineStr"/>
      <c r="L495" s="68" t="b">
        <v>0</v>
      </c>
      <c r="M495" s="20" t="n"/>
      <c r="N495" s="69">
        <f>IF($J495="","",IFERROR(INDEX(B!$F$2:$F$61,MATCH($J495,B!$E$2:$E$61,0))&amp;"",""))</f>
        <v/>
      </c>
      <c r="O495" s="69">
        <f>IF($J495="","",IFERROR(INDEX(B!$G$2:$G$61,MATCH($J495,B!$E$2:$E$61,0))&amp;"",""))</f>
        <v/>
      </c>
      <c r="P495" s="69">
        <f>IF($J495="","",IFERROR(INDEX(B!$H$2:$H$61,MATCH($J495,B!$E$2:$E$61,0))&amp;"",""))</f>
        <v/>
      </c>
      <c r="Q495" s="69">
        <f>IF($J495="","",IFERROR(INDEX(B!$I$2:$I$61,MATCH($J495,B!$E$2:$E$61,0))&amp;"",""))</f>
        <v/>
      </c>
      <c r="R495" s="69">
        <f>IF($J495="","",IFERROR(INDEX(B!$J$2:$J$61,MATCH($J495,B!$E$2:$E$61,0))&amp;"",""))</f>
        <v/>
      </c>
      <c r="S495" s="69">
        <f>IF($J495="","",IFERROR(INDEX(B!$K$2:$K$61,MATCH($J495,B!$E$2:$E$61,0))&amp;"",""))</f>
        <v/>
      </c>
      <c r="T495" s="69">
        <f>IF($J495="","",IFERROR(INDEX(B!$L$2:$L$61,MATCH($J495,B!$E$2:$E$61,0))&amp;"",""))</f>
        <v/>
      </c>
      <c r="U495" s="20" t="n"/>
      <c r="V495" s="70">
        <f>IF($J495="","",IFERROR(INDEX(B!$M$2:$M$61,MATCH($J495,B!$E$2:$E$61,0))&amp;"",""))</f>
        <v/>
      </c>
      <c r="W495" s="71">
        <f>IF(I495="","",IFERROR(MID(I495,FIND("/d/",I495)+3,FIND("/edit",I495)-FIND("/d/",I495)-3),I495))</f>
        <v/>
      </c>
      <c r="X495" s="71">
        <f>IF($J495="","",IFERROR(INDEX(B!$C$2:$C$61,MATCH($J495,B!$E$2:$E$61,0))&amp;"",""))</f>
        <v/>
      </c>
      <c r="Y495" s="20" t="n"/>
      <c r="Z495" s="72">
        <f>IF($J495="",FALSE,ISNUMBER(SEARCH("scout",$K495)))</f>
        <v/>
      </c>
      <c r="AA495" s="72">
        <f>IF($J495="",FALSE,IFERROR(INDEX(B!$N$2:$N$61,MATCH($J495,B!$E$2:$E$61,0))="Sim",FALSE))</f>
        <v/>
      </c>
      <c r="AB495" s="72">
        <f>IF($J495="",FALSE,LEFT($X495,2)="XX")</f>
        <v/>
      </c>
      <c r="AC495" s="72">
        <f>IF($J495="",FALSE,IFERROR(INDEX(B!$P$2:$P$61,MATCH($J495,B!$E$2:$E$61,0))="Sim",FALSE))</f>
        <v/>
      </c>
      <c r="AD495" s="20" t="n"/>
      <c r="AE495" s="52">
        <f>IF(H495="","",HOUR(H495))</f>
        <v/>
      </c>
      <c r="AF495" s="52" t="n"/>
    </row>
    <row r="496" ht="19.5" customHeight="1" s="58">
      <c r="A496" s="62">
        <f>IF(G496="","",IF(G496=G495,"",COUNTIF($G$3:$G$976,G496)))</f>
        <v/>
      </c>
      <c r="B496" s="20" t="n"/>
      <c r="C496" s="63">
        <f>IF(G496="","",DAY(G496))</f>
        <v/>
      </c>
      <c r="D496" s="63">
        <f>IF(G496="","",MONTH(G496))</f>
        <v/>
      </c>
      <c r="E496" s="63">
        <f>IF(G496="","",YEAR(G496))</f>
        <v/>
      </c>
      <c r="F496" s="33">
        <f>IF(G496="","",CHOOSE(MONTH(G496),"Janeiro","Fevereiro","Março","Abril","Maio","Junho","Julho","Agosto","Setembro","Outubro","Novembro","Dezembro"))</f>
        <v/>
      </c>
      <c r="G496" s="64" t="n">
        <v>46068</v>
      </c>
      <c r="H496" s="65" t="n">
        <v>0.203900462962963</v>
      </c>
      <c r="I496" s="66" t="inlineStr">
        <is>
          <t>https://docs.google.com/spreadsheets/d/1ZiCGoPjLCjuYvujDTXK9Ixbth3tekiLtFBzBrGjPCr4/edit?gid=0#gid=0</t>
        </is>
      </c>
      <c r="J496" s="67" t="inlineStr">
        <is>
          <t>Overpaid, Não excede o limite, Com comprovante - [OPNC]</t>
        </is>
      </c>
      <c r="K496" s="67" t="inlineStr"/>
      <c r="L496" s="68" t="b">
        <v>0</v>
      </c>
      <c r="M496" s="20" t="n"/>
      <c r="N496" s="69">
        <f>IF($J496="","",IFERROR(INDEX(B!$F$2:$F$61,MATCH($J496,B!$E$2:$E$61,0))&amp;"",""))</f>
        <v/>
      </c>
      <c r="O496" s="69">
        <f>IF($J496="","",IFERROR(INDEX(B!$G$2:$G$61,MATCH($J496,B!$E$2:$E$61,0))&amp;"",""))</f>
        <v/>
      </c>
      <c r="P496" s="69">
        <f>IF($J496="","",IFERROR(INDEX(B!$H$2:$H$61,MATCH($J496,B!$E$2:$E$61,0))&amp;"",""))</f>
        <v/>
      </c>
      <c r="Q496" s="69">
        <f>IF($J496="","",IFERROR(INDEX(B!$I$2:$I$61,MATCH($J496,B!$E$2:$E$61,0))&amp;"",""))</f>
        <v/>
      </c>
      <c r="R496" s="69">
        <f>IF($J496="","",IFERROR(INDEX(B!$J$2:$J$61,MATCH($J496,B!$E$2:$E$61,0))&amp;"",""))</f>
        <v/>
      </c>
      <c r="S496" s="69">
        <f>IF($J496="","",IFERROR(INDEX(B!$K$2:$K$61,MATCH($J496,B!$E$2:$E$61,0))&amp;"",""))</f>
        <v/>
      </c>
      <c r="T496" s="69">
        <f>IF($J496="","",IFERROR(INDEX(B!$L$2:$L$61,MATCH($J496,B!$E$2:$E$61,0))&amp;"",""))</f>
        <v/>
      </c>
      <c r="U496" s="20" t="n"/>
      <c r="V496" s="70">
        <f>IF($J496="","",IFERROR(INDEX(B!$M$2:$M$61,MATCH($J496,B!$E$2:$E$61,0))&amp;"",""))</f>
        <v/>
      </c>
      <c r="W496" s="71">
        <f>IF(I496="","",IFERROR(MID(I496,FIND("/d/",I496)+3,FIND("/edit",I496)-FIND("/d/",I496)-3),I496))</f>
        <v/>
      </c>
      <c r="X496" s="71">
        <f>IF($J496="","",IFERROR(INDEX(B!$C$2:$C$61,MATCH($J496,B!$E$2:$E$61,0))&amp;"",""))</f>
        <v/>
      </c>
      <c r="Y496" s="20" t="n"/>
      <c r="Z496" s="72">
        <f>IF($J496="",FALSE,ISNUMBER(SEARCH("scout",$K496)))</f>
        <v/>
      </c>
      <c r="AA496" s="72">
        <f>IF($J496="",FALSE,IFERROR(INDEX(B!$N$2:$N$61,MATCH($J496,B!$E$2:$E$61,0))="Sim",FALSE))</f>
        <v/>
      </c>
      <c r="AB496" s="72">
        <f>IF($J496="",FALSE,LEFT($X496,2)="XX")</f>
        <v/>
      </c>
      <c r="AC496" s="72">
        <f>IF($J496="",FALSE,IFERROR(INDEX(B!$P$2:$P$61,MATCH($J496,B!$E$2:$E$61,0))="Sim",FALSE))</f>
        <v/>
      </c>
      <c r="AD496" s="20" t="n"/>
      <c r="AE496" s="52">
        <f>IF(H496="","",HOUR(H496))</f>
        <v/>
      </c>
      <c r="AF496" s="52" t="n"/>
    </row>
    <row r="497" ht="19.5" customHeight="1" s="58">
      <c r="A497" s="62">
        <f>IF(G497="","",IF(G497=G496,"",COUNTIF($G$3:$G$976,G497)))</f>
        <v/>
      </c>
      <c r="B497" s="20" t="n"/>
      <c r="C497" s="63">
        <f>IF(G497="","",DAY(G497))</f>
        <v/>
      </c>
      <c r="D497" s="63">
        <f>IF(G497="","",MONTH(G497))</f>
        <v/>
      </c>
      <c r="E497" s="63">
        <f>IF(G497="","",YEAR(G497))</f>
        <v/>
      </c>
      <c r="F497" s="33">
        <f>IF(G497="","",CHOOSE(MONTH(G497),"Janeiro","Fevereiro","Março","Abril","Maio","Junho","Julho","Agosto","Setembro","Outubro","Novembro","Dezembro"))</f>
        <v/>
      </c>
      <c r="G497" s="64" t="n">
        <v>46068</v>
      </c>
      <c r="H497" s="65" t="n">
        <v>0.2081944444444444</v>
      </c>
      <c r="I497" s="66" t="inlineStr">
        <is>
          <t>https://docs.google.com/spreadsheets/d/1ZiCGoPjLCjuYvujDTXK9Ixbth3tekiLtFBzBrGjPCr4/edit?gid=0#gid=0</t>
        </is>
      </c>
      <c r="J497" s="67" t="inlineStr">
        <is>
          <t>Overpaid, Não excede o limite, Com comprovante - [OPNC]</t>
        </is>
      </c>
      <c r="K497" s="67" t="inlineStr"/>
      <c r="L497" s="68" t="b">
        <v>0</v>
      </c>
      <c r="M497" s="20" t="n"/>
      <c r="N497" s="69">
        <f>IF($J497="","",IFERROR(INDEX(B!$F$2:$F$61,MATCH($J497,B!$E$2:$E$61,0))&amp;"",""))</f>
        <v/>
      </c>
      <c r="O497" s="69">
        <f>IF($J497="","",IFERROR(INDEX(B!$G$2:$G$61,MATCH($J497,B!$E$2:$E$61,0))&amp;"",""))</f>
        <v/>
      </c>
      <c r="P497" s="69">
        <f>IF($J497="","",IFERROR(INDEX(B!$H$2:$H$61,MATCH($J497,B!$E$2:$E$61,0))&amp;"",""))</f>
        <v/>
      </c>
      <c r="Q497" s="69">
        <f>IF($J497="","",IFERROR(INDEX(B!$I$2:$I$61,MATCH($J497,B!$E$2:$E$61,0))&amp;"",""))</f>
        <v/>
      </c>
      <c r="R497" s="69">
        <f>IF($J497="","",IFERROR(INDEX(B!$J$2:$J$61,MATCH($J497,B!$E$2:$E$61,0))&amp;"",""))</f>
        <v/>
      </c>
      <c r="S497" s="69">
        <f>IF($J497="","",IFERROR(INDEX(B!$K$2:$K$61,MATCH($J497,B!$E$2:$E$61,0))&amp;"",""))</f>
        <v/>
      </c>
      <c r="T497" s="69">
        <f>IF($J497="","",IFERROR(INDEX(B!$L$2:$L$61,MATCH($J497,B!$E$2:$E$61,0))&amp;"",""))</f>
        <v/>
      </c>
      <c r="U497" s="20" t="n"/>
      <c r="V497" s="70">
        <f>IF($J497="","",IFERROR(INDEX(B!$M$2:$M$61,MATCH($J497,B!$E$2:$E$61,0))&amp;"",""))</f>
        <v/>
      </c>
      <c r="W497" s="71">
        <f>IF(I497="","",IFERROR(MID(I497,FIND("/d/",I497)+3,FIND("/edit",I497)-FIND("/d/",I497)-3),I497))</f>
        <v/>
      </c>
      <c r="X497" s="71">
        <f>IF($J497="","",IFERROR(INDEX(B!$C$2:$C$61,MATCH($J497,B!$E$2:$E$61,0))&amp;"",""))</f>
        <v/>
      </c>
      <c r="Y497" s="20" t="n"/>
      <c r="Z497" s="72">
        <f>IF($J497="",FALSE,ISNUMBER(SEARCH("scout",$K497)))</f>
        <v/>
      </c>
      <c r="AA497" s="72">
        <f>IF($J497="",FALSE,IFERROR(INDEX(B!$N$2:$N$61,MATCH($J497,B!$E$2:$E$61,0))="Sim",FALSE))</f>
        <v/>
      </c>
      <c r="AB497" s="72">
        <f>IF($J497="",FALSE,LEFT($X497,2)="XX")</f>
        <v/>
      </c>
      <c r="AC497" s="72">
        <f>IF($J497="",FALSE,IFERROR(INDEX(B!$P$2:$P$61,MATCH($J497,B!$E$2:$E$61,0))="Sim",FALSE))</f>
        <v/>
      </c>
      <c r="AD497" s="20" t="n"/>
      <c r="AE497" s="52">
        <f>IF(H497="","",HOUR(H497))</f>
        <v/>
      </c>
      <c r="AF497" s="52" t="n"/>
    </row>
    <row r="498" ht="19.5" customHeight="1" s="58">
      <c r="A498" s="62">
        <f>IF(G498="","",IF(G498=G497,"",COUNTIF($G$3:$G$976,G498)))</f>
        <v/>
      </c>
      <c r="B498" s="20" t="n"/>
      <c r="C498" s="63">
        <f>IF(G498="","",DAY(G498))</f>
        <v/>
      </c>
      <c r="D498" s="63">
        <f>IF(G498="","",MONTH(G498))</f>
        <v/>
      </c>
      <c r="E498" s="63">
        <f>IF(G498="","",YEAR(G498))</f>
        <v/>
      </c>
      <c r="F498" s="33">
        <f>IF(G498="","",CHOOSE(MONTH(G498),"Janeiro","Fevereiro","Março","Abril","Maio","Junho","Julho","Agosto","Setembro","Outubro","Novembro","Dezembro"))</f>
        <v/>
      </c>
      <c r="G498" s="64" t="n">
        <v>46068</v>
      </c>
      <c r="H498" s="65" t="n">
        <v>0.2153240740740741</v>
      </c>
      <c r="I498" s="66" t="inlineStr">
        <is>
          <t>https://docs.google.com/spreadsheets/d/1ZiCGoPjLCjuYvujDTXK9Ixbth3tekiLtFBzBrGjPCr4/edit?gid=0#gid=0</t>
        </is>
      </c>
      <c r="J498" s="67" t="inlineStr">
        <is>
          <t>Overpaid, Não excede o limite, Com comprovante - [OPNC]</t>
        </is>
      </c>
      <c r="K498" s="67" t="inlineStr"/>
      <c r="L498" s="68" t="b">
        <v>0</v>
      </c>
      <c r="M498" s="20" t="n"/>
      <c r="N498" s="69">
        <f>IF($J498="","",IFERROR(INDEX(B!$F$2:$F$61,MATCH($J498,B!$E$2:$E$61,0))&amp;"",""))</f>
        <v/>
      </c>
      <c r="O498" s="69">
        <f>IF($J498="","",IFERROR(INDEX(B!$G$2:$G$61,MATCH($J498,B!$E$2:$E$61,0))&amp;"",""))</f>
        <v/>
      </c>
      <c r="P498" s="69">
        <f>IF($J498="","",IFERROR(INDEX(B!$H$2:$H$61,MATCH($J498,B!$E$2:$E$61,0))&amp;"",""))</f>
        <v/>
      </c>
      <c r="Q498" s="69">
        <f>IF($J498="","",IFERROR(INDEX(B!$I$2:$I$61,MATCH($J498,B!$E$2:$E$61,0))&amp;"",""))</f>
        <v/>
      </c>
      <c r="R498" s="69">
        <f>IF($J498="","",IFERROR(INDEX(B!$J$2:$J$61,MATCH($J498,B!$E$2:$E$61,0))&amp;"",""))</f>
        <v/>
      </c>
      <c r="S498" s="69">
        <f>IF($J498="","",IFERROR(INDEX(B!$K$2:$K$61,MATCH($J498,B!$E$2:$E$61,0))&amp;"",""))</f>
        <v/>
      </c>
      <c r="T498" s="69">
        <f>IF($J498="","",IFERROR(INDEX(B!$L$2:$L$61,MATCH($J498,B!$E$2:$E$61,0))&amp;"",""))</f>
        <v/>
      </c>
      <c r="U498" s="20" t="n"/>
      <c r="V498" s="70">
        <f>IF($J498="","",IFERROR(INDEX(B!$M$2:$M$61,MATCH($J498,B!$E$2:$E$61,0))&amp;"",""))</f>
        <v/>
      </c>
      <c r="W498" s="71">
        <f>IF(I498="","",IFERROR(MID(I498,FIND("/d/",I498)+3,FIND("/edit",I498)-FIND("/d/",I498)-3),I498))</f>
        <v/>
      </c>
      <c r="X498" s="71">
        <f>IF($J498="","",IFERROR(INDEX(B!$C$2:$C$61,MATCH($J498,B!$E$2:$E$61,0))&amp;"",""))</f>
        <v/>
      </c>
      <c r="Y498" s="20" t="n"/>
      <c r="Z498" s="72">
        <f>IF($J498="",FALSE,ISNUMBER(SEARCH("scout",$K498)))</f>
        <v/>
      </c>
      <c r="AA498" s="72">
        <f>IF($J498="",FALSE,IFERROR(INDEX(B!$N$2:$N$61,MATCH($J498,B!$E$2:$E$61,0))="Sim",FALSE))</f>
        <v/>
      </c>
      <c r="AB498" s="72">
        <f>IF($J498="",FALSE,LEFT($X498,2)="XX")</f>
        <v/>
      </c>
      <c r="AC498" s="72">
        <f>IF($J498="",FALSE,IFERROR(INDEX(B!$P$2:$P$61,MATCH($J498,B!$E$2:$E$61,0))="Sim",FALSE))</f>
        <v/>
      </c>
      <c r="AD498" s="20" t="n"/>
      <c r="AE498" s="52">
        <f>IF(H498="","",HOUR(H498))</f>
        <v/>
      </c>
      <c r="AF498" s="52" t="n"/>
    </row>
    <row r="499" ht="19.5" customHeight="1" s="58">
      <c r="A499" s="62">
        <f>IF(G499="","",IF(G499=G498,"",COUNTIF($G$3:$G$976,G499)))</f>
        <v/>
      </c>
      <c r="B499" s="20" t="n"/>
      <c r="C499" s="63">
        <f>IF(G499="","",DAY(G499))</f>
        <v/>
      </c>
      <c r="D499" s="63">
        <f>IF(G499="","",MONTH(G499))</f>
        <v/>
      </c>
      <c r="E499" s="63">
        <f>IF(G499="","",YEAR(G499))</f>
        <v/>
      </c>
      <c r="F499" s="33">
        <f>IF(G499="","",CHOOSE(MONTH(G499),"Janeiro","Fevereiro","Março","Abril","Maio","Junho","Julho","Agosto","Setembro","Outubro","Novembro","Dezembro"))</f>
        <v/>
      </c>
      <c r="G499" s="64" t="n">
        <v>46068</v>
      </c>
      <c r="H499" s="65" t="n">
        <v>0.2172685185185185</v>
      </c>
      <c r="I499" s="66" t="inlineStr">
        <is>
          <t>https://docs.google.com/spreadsheets/d/1ZiCGoPjLCjuYvujDTXK9Ixbth3tekiLtFBzBrGjPCr4/edit?gid=0#gid=0</t>
        </is>
      </c>
      <c r="J499" s="67" t="inlineStr">
        <is>
          <t>Viagem Calculada Incorretamente - [VCI]</t>
        </is>
      </c>
      <c r="K499" s="67" t="inlineStr">
        <is>
          <t>Scout</t>
        </is>
      </c>
      <c r="L499" s="68" t="b">
        <v>1</v>
      </c>
      <c r="M499" s="20" t="n"/>
      <c r="N499" s="69">
        <f>IF($J499="","",IFERROR(INDEX(B!$F$2:$F$61,MATCH($J499,B!$E$2:$E$61,0))&amp;"",""))</f>
        <v/>
      </c>
      <c r="O499" s="69">
        <f>IF($J499="","",IFERROR(INDEX(B!$G$2:$G$61,MATCH($J499,B!$E$2:$E$61,0))&amp;"",""))</f>
        <v/>
      </c>
      <c r="P499" s="69">
        <f>IF($J499="","",IFERROR(INDEX(B!$H$2:$H$61,MATCH($J499,B!$E$2:$E$61,0))&amp;"",""))</f>
        <v/>
      </c>
      <c r="Q499" s="69">
        <f>IF($J499="","",IFERROR(INDEX(B!$I$2:$I$61,MATCH($J499,B!$E$2:$E$61,0))&amp;"",""))</f>
        <v/>
      </c>
      <c r="R499" s="69">
        <f>IF($J499="","",IFERROR(INDEX(B!$J$2:$J$61,MATCH($J499,B!$E$2:$E$61,0))&amp;"",""))</f>
        <v/>
      </c>
      <c r="S499" s="69">
        <f>IF($J499="","",IFERROR(INDEX(B!$K$2:$K$61,MATCH($J499,B!$E$2:$E$61,0))&amp;"",""))</f>
        <v/>
      </c>
      <c r="T499" s="69">
        <f>IF($J499="","",IFERROR(INDEX(B!$L$2:$L$61,MATCH($J499,B!$E$2:$E$61,0))&amp;"",""))</f>
        <v/>
      </c>
      <c r="U499" s="20" t="n"/>
      <c r="V499" s="70">
        <f>IF($J499="","",IFERROR(INDEX(B!$M$2:$M$61,MATCH($J499,B!$E$2:$E$61,0))&amp;"",""))</f>
        <v/>
      </c>
      <c r="W499" s="71">
        <f>IF(I499="","",IFERROR(MID(I499,FIND("/d/",I499)+3,FIND("/edit",I499)-FIND("/d/",I499)-3),I499))</f>
        <v/>
      </c>
      <c r="X499" s="71">
        <f>IF($J499="","",IFERROR(INDEX(B!$C$2:$C$61,MATCH($J499,B!$E$2:$E$61,0))&amp;"",""))</f>
        <v/>
      </c>
      <c r="Y499" s="20" t="n"/>
      <c r="Z499" s="72">
        <f>IF($J499="",FALSE,ISNUMBER(SEARCH("scout",$K499)))</f>
        <v/>
      </c>
      <c r="AA499" s="72">
        <f>IF($J499="",FALSE,IFERROR(INDEX(B!$N$2:$N$61,MATCH($J499,B!$E$2:$E$61,0))="Sim",FALSE))</f>
        <v/>
      </c>
      <c r="AB499" s="72">
        <f>IF($J499="",FALSE,LEFT($X499,2)="XX")</f>
        <v/>
      </c>
      <c r="AC499" s="72">
        <f>IF($J499="",FALSE,IFERROR(INDEX(B!$P$2:$P$61,MATCH($J499,B!$E$2:$E$61,0))="Sim",FALSE))</f>
        <v/>
      </c>
      <c r="AD499" s="20" t="n"/>
      <c r="AE499" s="52">
        <f>IF(H499="","",HOUR(H499))</f>
        <v/>
      </c>
      <c r="AF499" s="52" t="n"/>
    </row>
    <row r="500" ht="19.5" customHeight="1" s="58">
      <c r="A500" s="62">
        <f>IF(G500="","",IF(G500=G499,"",COUNTIF($G$3:$G$976,G500)))</f>
        <v/>
      </c>
      <c r="B500" s="20" t="n"/>
      <c r="C500" s="63">
        <f>IF(G500="","",DAY(G500))</f>
        <v/>
      </c>
      <c r="D500" s="63">
        <f>IF(G500="","",MONTH(G500))</f>
        <v/>
      </c>
      <c r="E500" s="63">
        <f>IF(G500="","",YEAR(G500))</f>
        <v/>
      </c>
      <c r="F500" s="33">
        <f>IF(G500="","",CHOOSE(MONTH(G500),"Janeiro","Fevereiro","Março","Abril","Maio","Junho","Julho","Agosto","Setembro","Outubro","Novembro","Dezembro"))</f>
        <v/>
      </c>
      <c r="G500" s="64" t="n">
        <v>46068</v>
      </c>
      <c r="H500" s="65" t="n">
        <v>0.2194212962962963</v>
      </c>
      <c r="I500" s="66" t="inlineStr">
        <is>
          <t>https://docs.google.com/spreadsheets/d/1ZiCGoPjLCjuYvujDTXK9Ixbth3tekiLtFBzBrGjPCr4/edit?gid=0#gid=0</t>
        </is>
      </c>
      <c r="J500" s="67" t="inlineStr">
        <is>
          <t>Taxa de Cancelamento - [TXC]</t>
        </is>
      </c>
      <c r="K500" s="67" t="inlineStr"/>
      <c r="L500" s="68" t="b">
        <v>0</v>
      </c>
      <c r="M500" s="20" t="n"/>
      <c r="N500" s="69">
        <f>IF($J500="","",IFERROR(INDEX(B!$F$2:$F$61,MATCH($J500,B!$E$2:$E$61,0))&amp;"",""))</f>
        <v/>
      </c>
      <c r="O500" s="69">
        <f>IF($J500="","",IFERROR(INDEX(B!$G$2:$G$61,MATCH($J500,B!$E$2:$E$61,0))&amp;"",""))</f>
        <v/>
      </c>
      <c r="P500" s="69">
        <f>IF($J500="","",IFERROR(INDEX(B!$H$2:$H$61,MATCH($J500,B!$E$2:$E$61,0))&amp;"",""))</f>
        <v/>
      </c>
      <c r="Q500" s="69">
        <f>IF($J500="","",IFERROR(INDEX(B!$I$2:$I$61,MATCH($J500,B!$E$2:$E$61,0))&amp;"",""))</f>
        <v/>
      </c>
      <c r="R500" s="69">
        <f>IF($J500="","",IFERROR(INDEX(B!$J$2:$J$61,MATCH($J500,B!$E$2:$E$61,0))&amp;"",""))</f>
        <v/>
      </c>
      <c r="S500" s="69">
        <f>IF($J500="","",IFERROR(INDEX(B!$K$2:$K$61,MATCH($J500,B!$E$2:$E$61,0))&amp;"",""))</f>
        <v/>
      </c>
      <c r="T500" s="69">
        <f>IF($J500="","",IFERROR(INDEX(B!$L$2:$L$61,MATCH($J500,B!$E$2:$E$61,0))&amp;"",""))</f>
        <v/>
      </c>
      <c r="U500" s="20" t="n"/>
      <c r="V500" s="70">
        <f>IF($J500="","",IFERROR(INDEX(B!$M$2:$M$61,MATCH($J500,B!$E$2:$E$61,0))&amp;"",""))</f>
        <v/>
      </c>
      <c r="W500" s="71">
        <f>IF(I500="","",IFERROR(MID(I500,FIND("/d/",I500)+3,FIND("/edit",I500)-FIND("/d/",I500)-3),I500))</f>
        <v/>
      </c>
      <c r="X500" s="71">
        <f>IF($J500="","",IFERROR(INDEX(B!$C$2:$C$61,MATCH($J500,B!$E$2:$E$61,0))&amp;"",""))</f>
        <v/>
      </c>
      <c r="Y500" s="20" t="n"/>
      <c r="Z500" s="72">
        <f>IF($J500="",FALSE,ISNUMBER(SEARCH("scout",$K500)))</f>
        <v/>
      </c>
      <c r="AA500" s="72">
        <f>IF($J500="",FALSE,IFERROR(INDEX(B!$N$2:$N$61,MATCH($J500,B!$E$2:$E$61,0))="Sim",FALSE))</f>
        <v/>
      </c>
      <c r="AB500" s="72">
        <f>IF($J500="",FALSE,LEFT($X500,2)="XX")</f>
        <v/>
      </c>
      <c r="AC500" s="72">
        <f>IF($J500="",FALSE,IFERROR(INDEX(B!$P$2:$P$61,MATCH($J500,B!$E$2:$E$61,0))="Sim",FALSE))</f>
        <v/>
      </c>
      <c r="AD500" s="20" t="n"/>
      <c r="AE500" s="52">
        <f>IF(H500="","",HOUR(H500))</f>
        <v/>
      </c>
      <c r="AF500" s="52" t="n"/>
    </row>
    <row r="501" ht="19.5" customHeight="1" s="58">
      <c r="A501" s="62">
        <f>IF(G501="","",IF(G501=G500,"",COUNTIF($G$3:$G$976,G501)))</f>
        <v/>
      </c>
      <c r="B501" s="20" t="n"/>
      <c r="C501" s="63">
        <f>IF(G501="","",DAY(G501))</f>
        <v/>
      </c>
      <c r="D501" s="63">
        <f>IF(G501="","",MONTH(G501))</f>
        <v/>
      </c>
      <c r="E501" s="63">
        <f>IF(G501="","",YEAR(G501))</f>
        <v/>
      </c>
      <c r="F501" s="33">
        <f>IF(G501="","",CHOOSE(MONTH(G501),"Janeiro","Fevereiro","Março","Abril","Maio","Junho","Julho","Agosto","Setembro","Outubro","Novembro","Dezembro"))</f>
        <v/>
      </c>
      <c r="G501" s="64" t="n">
        <v>46068</v>
      </c>
      <c r="H501" s="65" t="n">
        <v>0.2252662037037037</v>
      </c>
      <c r="I501" s="66" t="inlineStr">
        <is>
          <t>https://docs.google.com/spreadsheets/d/1ZiCGoPjLCjuYvujDTXK9Ixbth3tekiLtFBzBrGjPCr4/edit?gid=0#gid=0</t>
        </is>
      </c>
      <c r="J501" s="67" t="inlineStr">
        <is>
          <t>Viagem Calculada Incorretamente - [VCI]</t>
        </is>
      </c>
      <c r="K501" s="67" t="inlineStr"/>
      <c r="L501" s="68" t="b">
        <v>0</v>
      </c>
      <c r="M501" s="20" t="n"/>
      <c r="N501" s="69">
        <f>IF($J501="","",IFERROR(INDEX(B!$F$2:$F$61,MATCH($J501,B!$E$2:$E$61,0))&amp;"",""))</f>
        <v/>
      </c>
      <c r="O501" s="69">
        <f>IF($J501="","",IFERROR(INDEX(B!$G$2:$G$61,MATCH($J501,B!$E$2:$E$61,0))&amp;"",""))</f>
        <v/>
      </c>
      <c r="P501" s="69">
        <f>IF($J501="","",IFERROR(INDEX(B!$H$2:$H$61,MATCH($J501,B!$E$2:$E$61,0))&amp;"",""))</f>
        <v/>
      </c>
      <c r="Q501" s="69">
        <f>IF($J501="","",IFERROR(INDEX(B!$I$2:$I$61,MATCH($J501,B!$E$2:$E$61,0))&amp;"",""))</f>
        <v/>
      </c>
      <c r="R501" s="69">
        <f>IF($J501="","",IFERROR(INDEX(B!$J$2:$J$61,MATCH($J501,B!$E$2:$E$61,0))&amp;"",""))</f>
        <v/>
      </c>
      <c r="S501" s="69">
        <f>IF($J501="","",IFERROR(INDEX(B!$K$2:$K$61,MATCH($J501,B!$E$2:$E$61,0))&amp;"",""))</f>
        <v/>
      </c>
      <c r="T501" s="69">
        <f>IF($J501="","",IFERROR(INDEX(B!$L$2:$L$61,MATCH($J501,B!$E$2:$E$61,0))&amp;"",""))</f>
        <v/>
      </c>
      <c r="U501" s="20" t="n"/>
      <c r="V501" s="70">
        <f>IF($J501="","",IFERROR(INDEX(B!$M$2:$M$61,MATCH($J501,B!$E$2:$E$61,0))&amp;"",""))</f>
        <v/>
      </c>
      <c r="W501" s="71">
        <f>IF(I501="","",IFERROR(MID(I501,FIND("/d/",I501)+3,FIND("/edit",I501)-FIND("/d/",I501)-3),I501))</f>
        <v/>
      </c>
      <c r="X501" s="71">
        <f>IF($J501="","",IFERROR(INDEX(B!$C$2:$C$61,MATCH($J501,B!$E$2:$E$61,0))&amp;"",""))</f>
        <v/>
      </c>
      <c r="Y501" s="20" t="n"/>
      <c r="Z501" s="72">
        <f>IF($J501="",FALSE,ISNUMBER(SEARCH("scout",$K501)))</f>
        <v/>
      </c>
      <c r="AA501" s="72">
        <f>IF($J501="",FALSE,IFERROR(INDEX(B!$N$2:$N$61,MATCH($J501,B!$E$2:$E$61,0))="Sim",FALSE))</f>
        <v/>
      </c>
      <c r="AB501" s="72">
        <f>IF($J501="",FALSE,LEFT($X501,2)="XX")</f>
        <v/>
      </c>
      <c r="AC501" s="72">
        <f>IF($J501="",FALSE,IFERROR(INDEX(B!$P$2:$P$61,MATCH($J501,B!$E$2:$E$61,0))="Sim",FALSE))</f>
        <v/>
      </c>
      <c r="AD501" s="20" t="n"/>
      <c r="AE501" s="52">
        <f>IF(H501="","",HOUR(H501))</f>
        <v/>
      </c>
      <c r="AF501" s="52" t="n"/>
    </row>
    <row r="502" ht="19.5" customHeight="1" s="58">
      <c r="A502" s="62">
        <f>IF(G502="","",IF(G502=G501,"",COUNTIF($G$3:$G$976,G502)))</f>
        <v/>
      </c>
      <c r="B502" s="20" t="n"/>
      <c r="C502" s="63">
        <f>IF(G502="","",DAY(G502))</f>
        <v/>
      </c>
      <c r="D502" s="63">
        <f>IF(G502="","",MONTH(G502))</f>
        <v/>
      </c>
      <c r="E502" s="63">
        <f>IF(G502="","",YEAR(G502))</f>
        <v/>
      </c>
      <c r="F502" s="33">
        <f>IF(G502="","",CHOOSE(MONTH(G502),"Janeiro","Fevereiro","Março","Abril","Maio","Junho","Julho","Agosto","Setembro","Outubro","Novembro","Dezembro"))</f>
        <v/>
      </c>
      <c r="G502" s="64" t="n">
        <v>46068</v>
      </c>
      <c r="H502" s="65" t="n">
        <v>0.22625</v>
      </c>
      <c r="I502" s="66" t="inlineStr">
        <is>
          <t>https://docs.google.com/spreadsheets/d/1ZiCGoPjLCjuYvujDTXK9Ixbth3tekiLtFBzBrGjPCr4/edit?gid=0#gid=0</t>
        </is>
      </c>
      <c r="J502" s="67" t="inlineStr">
        <is>
          <t>Overpaid, Não excede o limite, Com comprovante - [OPNC]</t>
        </is>
      </c>
      <c r="K502" s="67" t="inlineStr"/>
      <c r="L502" s="68" t="b">
        <v>0</v>
      </c>
      <c r="M502" s="20" t="n"/>
      <c r="N502" s="69">
        <f>IF($J502="","",IFERROR(INDEX(B!$F$2:$F$61,MATCH($J502,B!$E$2:$E$61,0))&amp;"",""))</f>
        <v/>
      </c>
      <c r="O502" s="69">
        <f>IF($J502="","",IFERROR(INDEX(B!$G$2:$G$61,MATCH($J502,B!$E$2:$E$61,0))&amp;"",""))</f>
        <v/>
      </c>
      <c r="P502" s="69">
        <f>IF($J502="","",IFERROR(INDEX(B!$H$2:$H$61,MATCH($J502,B!$E$2:$E$61,0))&amp;"",""))</f>
        <v/>
      </c>
      <c r="Q502" s="69">
        <f>IF($J502="","",IFERROR(INDEX(B!$I$2:$I$61,MATCH($J502,B!$E$2:$E$61,0))&amp;"",""))</f>
        <v/>
      </c>
      <c r="R502" s="69">
        <f>IF($J502="","",IFERROR(INDEX(B!$J$2:$J$61,MATCH($J502,B!$E$2:$E$61,0))&amp;"",""))</f>
        <v/>
      </c>
      <c r="S502" s="69">
        <f>IF($J502="","",IFERROR(INDEX(B!$K$2:$K$61,MATCH($J502,B!$E$2:$E$61,0))&amp;"",""))</f>
        <v/>
      </c>
      <c r="T502" s="69">
        <f>IF($J502="","",IFERROR(INDEX(B!$L$2:$L$61,MATCH($J502,B!$E$2:$E$61,0))&amp;"",""))</f>
        <v/>
      </c>
      <c r="U502" s="20" t="n"/>
      <c r="V502" s="70">
        <f>IF($J502="","",IFERROR(INDEX(B!$M$2:$M$61,MATCH($J502,B!$E$2:$E$61,0))&amp;"",""))</f>
        <v/>
      </c>
      <c r="W502" s="71">
        <f>IF(I502="","",IFERROR(MID(I502,FIND("/d/",I502)+3,FIND("/edit",I502)-FIND("/d/",I502)-3),I502))</f>
        <v/>
      </c>
      <c r="X502" s="71">
        <f>IF($J502="","",IFERROR(INDEX(B!$C$2:$C$61,MATCH($J502,B!$E$2:$E$61,0))&amp;"",""))</f>
        <v/>
      </c>
      <c r="Y502" s="20" t="n"/>
      <c r="Z502" s="72">
        <f>IF($J502="",FALSE,ISNUMBER(SEARCH("scout",$K502)))</f>
        <v/>
      </c>
      <c r="AA502" s="72">
        <f>IF($J502="",FALSE,IFERROR(INDEX(B!$N$2:$N$61,MATCH($J502,B!$E$2:$E$61,0))="Sim",FALSE))</f>
        <v/>
      </c>
      <c r="AB502" s="72">
        <f>IF($J502="",FALSE,LEFT($X502,2)="XX")</f>
        <v/>
      </c>
      <c r="AC502" s="72">
        <f>IF($J502="",FALSE,IFERROR(INDEX(B!$P$2:$P$61,MATCH($J502,B!$E$2:$E$61,0))="Sim",FALSE))</f>
        <v/>
      </c>
      <c r="AD502" s="20" t="n"/>
      <c r="AE502" s="52">
        <f>IF(H502="","",HOUR(H502))</f>
        <v/>
      </c>
      <c r="AF502" s="52" t="n"/>
    </row>
    <row r="503" ht="19.5" customHeight="1" s="58">
      <c r="A503" s="62">
        <f>IF(G503="","",IF(G503=G502,"",COUNTIF($G$3:$G$976,G503)))</f>
        <v/>
      </c>
      <c r="B503" s="20" t="n"/>
      <c r="C503" s="63">
        <f>IF(G503="","",DAY(G503))</f>
        <v/>
      </c>
      <c r="D503" s="63">
        <f>IF(G503="","",MONTH(G503))</f>
        <v/>
      </c>
      <c r="E503" s="63">
        <f>IF(G503="","",YEAR(G503))</f>
        <v/>
      </c>
      <c r="F503" s="33">
        <f>IF(G503="","",CHOOSE(MONTH(G503),"Janeiro","Fevereiro","Março","Abril","Maio","Junho","Julho","Agosto","Setembro","Outubro","Novembro","Dezembro"))</f>
        <v/>
      </c>
      <c r="G503" s="64" t="n">
        <v>46068</v>
      </c>
      <c r="H503" s="65" t="n">
        <v>0.2344675925925926</v>
      </c>
      <c r="I503" s="66" t="inlineStr">
        <is>
          <t>https://docs.google.com/spreadsheets/d/1ZiCGoPjLCjuYvujDTXK9Ixbth3tekiLtFBzBrGjPCr4/edit?gid=0#gid=0</t>
        </is>
      </c>
      <c r="J503" s="67" t="inlineStr">
        <is>
          <t>Taxa de Limpeza, Sem ajustes - [TXLO]</t>
        </is>
      </c>
      <c r="K503" s="67" t="inlineStr"/>
      <c r="L503" s="68" t="b">
        <v>0</v>
      </c>
      <c r="M503" s="20" t="n"/>
      <c r="N503" s="69">
        <f>IF($J503="","",IFERROR(INDEX(B!$F$2:$F$61,MATCH($J503,B!$E$2:$E$61,0))&amp;"",""))</f>
        <v/>
      </c>
      <c r="O503" s="69">
        <f>IF($J503="","",IFERROR(INDEX(B!$G$2:$G$61,MATCH($J503,B!$E$2:$E$61,0))&amp;"",""))</f>
        <v/>
      </c>
      <c r="P503" s="69">
        <f>IF($J503="","",IFERROR(INDEX(B!$H$2:$H$61,MATCH($J503,B!$E$2:$E$61,0))&amp;"",""))</f>
        <v/>
      </c>
      <c r="Q503" s="69">
        <f>IF($J503="","",IFERROR(INDEX(B!$I$2:$I$61,MATCH($J503,B!$E$2:$E$61,0))&amp;"",""))</f>
        <v/>
      </c>
      <c r="R503" s="69">
        <f>IF($J503="","",IFERROR(INDEX(B!$J$2:$J$61,MATCH($J503,B!$E$2:$E$61,0))&amp;"",""))</f>
        <v/>
      </c>
      <c r="S503" s="69">
        <f>IF($J503="","",IFERROR(INDEX(B!$K$2:$K$61,MATCH($J503,B!$E$2:$E$61,0))&amp;"",""))</f>
        <v/>
      </c>
      <c r="T503" s="69">
        <f>IF($J503="","",IFERROR(INDEX(B!$L$2:$L$61,MATCH($J503,B!$E$2:$E$61,0))&amp;"",""))</f>
        <v/>
      </c>
      <c r="U503" s="20" t="n"/>
      <c r="V503" s="70">
        <f>IF($J503="","",IFERROR(INDEX(B!$M$2:$M$61,MATCH($J503,B!$E$2:$E$61,0))&amp;"",""))</f>
        <v/>
      </c>
      <c r="W503" s="71">
        <f>IF(I503="","",IFERROR(MID(I503,FIND("/d/",I503)+3,FIND("/edit",I503)-FIND("/d/",I503)-3),I503))</f>
        <v/>
      </c>
      <c r="X503" s="71">
        <f>IF($J503="","",IFERROR(INDEX(B!$C$2:$C$61,MATCH($J503,B!$E$2:$E$61,0))&amp;"",""))</f>
        <v/>
      </c>
      <c r="Y503" s="20" t="n"/>
      <c r="Z503" s="72">
        <f>IF($J503="",FALSE,ISNUMBER(SEARCH("scout",$K503)))</f>
        <v/>
      </c>
      <c r="AA503" s="72">
        <f>IF($J503="",FALSE,IFERROR(INDEX(B!$N$2:$N$61,MATCH($J503,B!$E$2:$E$61,0))="Sim",FALSE))</f>
        <v/>
      </c>
      <c r="AB503" s="72">
        <f>IF($J503="",FALSE,LEFT($X503,2)="XX")</f>
        <v/>
      </c>
      <c r="AC503" s="72">
        <f>IF($J503="",FALSE,IFERROR(INDEX(B!$P$2:$P$61,MATCH($J503,B!$E$2:$E$61,0))="Sim",FALSE))</f>
        <v/>
      </c>
      <c r="AD503" s="20" t="n"/>
      <c r="AE503" s="52">
        <f>IF(H503="","",HOUR(H503))</f>
        <v/>
      </c>
      <c r="AF503" s="52" t="n"/>
    </row>
    <row r="504" ht="19.5" customHeight="1" s="58">
      <c r="A504" s="62">
        <f>IF(G504="","",IF(G504=G503,"",COUNTIF($G$3:$G$976,G504)))</f>
        <v/>
      </c>
      <c r="B504" s="20" t="n"/>
      <c r="C504" s="63">
        <f>IF(G504="","",DAY(G504))</f>
        <v/>
      </c>
      <c r="D504" s="63">
        <f>IF(G504="","",MONTH(G504))</f>
        <v/>
      </c>
      <c r="E504" s="63">
        <f>IF(G504="","",YEAR(G504))</f>
        <v/>
      </c>
      <c r="F504" s="33">
        <f>IF(G504="","",CHOOSE(MONTH(G504),"Janeiro","Fevereiro","Março","Abril","Maio","Junho","Julho","Agosto","Setembro","Outubro","Novembro","Dezembro"))</f>
        <v/>
      </c>
      <c r="G504" s="64" t="n">
        <v>46068</v>
      </c>
      <c r="H504" s="65" t="n">
        <v>0.2353472222222222</v>
      </c>
      <c r="I504" s="66" t="inlineStr">
        <is>
          <t>https://docs.google.com/spreadsheets/d/1ZiCGoPjLCjuYvujDTXK9Ixbth3tekiLtFBzBrGjPCr4/edit?gid=0#gid=0</t>
        </is>
      </c>
      <c r="J504" s="67" t="inlineStr">
        <is>
          <t>Overpaid, Excede o limite Com comprovante - [OPEC]</t>
        </is>
      </c>
      <c r="K504" s="67" t="inlineStr"/>
      <c r="L504" s="68" t="b">
        <v>0</v>
      </c>
      <c r="M504" s="20" t="n"/>
      <c r="N504" s="69">
        <f>IF($J504="","",IFERROR(INDEX(B!$F$2:$F$61,MATCH($J504,B!$E$2:$E$61,0))&amp;"",""))</f>
        <v/>
      </c>
      <c r="O504" s="69">
        <f>IF($J504="","",IFERROR(INDEX(B!$G$2:$G$61,MATCH($J504,B!$E$2:$E$61,0))&amp;"",""))</f>
        <v/>
      </c>
      <c r="P504" s="69">
        <f>IF($J504="","",IFERROR(INDEX(B!$H$2:$H$61,MATCH($J504,B!$E$2:$E$61,0))&amp;"",""))</f>
        <v/>
      </c>
      <c r="Q504" s="69">
        <f>IF($J504="","",IFERROR(INDEX(B!$I$2:$I$61,MATCH($J504,B!$E$2:$E$61,0))&amp;"",""))</f>
        <v/>
      </c>
      <c r="R504" s="69">
        <f>IF($J504="","",IFERROR(INDEX(B!$J$2:$J$61,MATCH($J504,B!$E$2:$E$61,0))&amp;"",""))</f>
        <v/>
      </c>
      <c r="S504" s="69">
        <f>IF($J504="","",IFERROR(INDEX(B!$K$2:$K$61,MATCH($J504,B!$E$2:$E$61,0))&amp;"",""))</f>
        <v/>
      </c>
      <c r="T504" s="69">
        <f>IF($J504="","",IFERROR(INDEX(B!$L$2:$L$61,MATCH($J504,B!$E$2:$E$61,0))&amp;"",""))</f>
        <v/>
      </c>
      <c r="U504" s="20" t="n"/>
      <c r="V504" s="70">
        <f>IF($J504="","",IFERROR(INDEX(B!$M$2:$M$61,MATCH($J504,B!$E$2:$E$61,0))&amp;"",""))</f>
        <v/>
      </c>
      <c r="W504" s="71">
        <f>IF(I504="","",IFERROR(MID(I504,FIND("/d/",I504)+3,FIND("/edit",I504)-FIND("/d/",I504)-3),I504))</f>
        <v/>
      </c>
      <c r="X504" s="71">
        <f>IF($J504="","",IFERROR(INDEX(B!$C$2:$C$61,MATCH($J504,B!$E$2:$E$61,0))&amp;"",""))</f>
        <v/>
      </c>
      <c r="Y504" s="20" t="n"/>
      <c r="Z504" s="72">
        <f>IF($J504="",FALSE,ISNUMBER(SEARCH("scout",$K504)))</f>
        <v/>
      </c>
      <c r="AA504" s="72">
        <f>IF($J504="",FALSE,IFERROR(INDEX(B!$N$2:$N$61,MATCH($J504,B!$E$2:$E$61,0))="Sim",FALSE))</f>
        <v/>
      </c>
      <c r="AB504" s="72">
        <f>IF($J504="",FALSE,LEFT($X504,2)="XX")</f>
        <v/>
      </c>
      <c r="AC504" s="72">
        <f>IF($J504="",FALSE,IFERROR(INDEX(B!$P$2:$P$61,MATCH($J504,B!$E$2:$E$61,0))="Sim",FALSE))</f>
        <v/>
      </c>
      <c r="AD504" s="20" t="n"/>
      <c r="AE504" s="52">
        <f>IF(H504="","",HOUR(H504))</f>
        <v/>
      </c>
      <c r="AF504" s="52" t="n"/>
    </row>
    <row r="505" ht="19.5" customHeight="1" s="58">
      <c r="A505" s="62">
        <f>IF(G505="","",IF(G505=G504,"",COUNTIF($G$3:$G$976,G505)))</f>
        <v/>
      </c>
      <c r="B505" s="20" t="n"/>
      <c r="C505" s="63">
        <f>IF(G505="","",DAY(G505))</f>
        <v/>
      </c>
      <c r="D505" s="63">
        <f>IF(G505="","",MONTH(G505))</f>
        <v/>
      </c>
      <c r="E505" s="63">
        <f>IF(G505="","",YEAR(G505))</f>
        <v/>
      </c>
      <c r="F505" s="33">
        <f>IF(G505="","",CHOOSE(MONTH(G505),"Janeiro","Fevereiro","Março","Abril","Maio","Junho","Julho","Agosto","Setembro","Outubro","Novembro","Dezembro"))</f>
        <v/>
      </c>
      <c r="G505" s="64" t="n">
        <v>46068</v>
      </c>
      <c r="H505" s="65" t="n">
        <v>0.2374074074074074</v>
      </c>
      <c r="I505" s="66" t="inlineStr">
        <is>
          <t>https://docs.google.com/spreadsheets/d/1ZiCGoPjLCjuYvujDTXK9Ixbth3tekiLtFBzBrGjPCr4/edit?gid=0#gid=0</t>
        </is>
      </c>
      <c r="J505" s="67" t="inlineStr">
        <is>
          <t>Viagem Calculada Incorretamente - [VCI]</t>
        </is>
      </c>
      <c r="K505" s="67" t="inlineStr"/>
      <c r="L505" s="68" t="b">
        <v>0</v>
      </c>
      <c r="M505" s="20" t="n"/>
      <c r="N505" s="69">
        <f>IF($J505="","",IFERROR(INDEX(B!$F$2:$F$61,MATCH($J505,B!$E$2:$E$61,0))&amp;"",""))</f>
        <v/>
      </c>
      <c r="O505" s="69">
        <f>IF($J505="","",IFERROR(INDEX(B!$G$2:$G$61,MATCH($J505,B!$E$2:$E$61,0))&amp;"",""))</f>
        <v/>
      </c>
      <c r="P505" s="69">
        <f>IF($J505="","",IFERROR(INDEX(B!$H$2:$H$61,MATCH($J505,B!$E$2:$E$61,0))&amp;"",""))</f>
        <v/>
      </c>
      <c r="Q505" s="69">
        <f>IF($J505="","",IFERROR(INDEX(B!$I$2:$I$61,MATCH($J505,B!$E$2:$E$61,0))&amp;"",""))</f>
        <v/>
      </c>
      <c r="R505" s="69">
        <f>IF($J505="","",IFERROR(INDEX(B!$J$2:$J$61,MATCH($J505,B!$E$2:$E$61,0))&amp;"",""))</f>
        <v/>
      </c>
      <c r="S505" s="69">
        <f>IF($J505="","",IFERROR(INDEX(B!$K$2:$K$61,MATCH($J505,B!$E$2:$E$61,0))&amp;"",""))</f>
        <v/>
      </c>
      <c r="T505" s="69">
        <f>IF($J505="","",IFERROR(INDEX(B!$L$2:$L$61,MATCH($J505,B!$E$2:$E$61,0))&amp;"",""))</f>
        <v/>
      </c>
      <c r="U505" s="20" t="n"/>
      <c r="V505" s="70">
        <f>IF($J505="","",IFERROR(INDEX(B!$M$2:$M$61,MATCH($J505,B!$E$2:$E$61,0))&amp;"",""))</f>
        <v/>
      </c>
      <c r="W505" s="71">
        <f>IF(I505="","",IFERROR(MID(I505,FIND("/d/",I505)+3,FIND("/edit",I505)-FIND("/d/",I505)-3),I505))</f>
        <v/>
      </c>
      <c r="X505" s="71">
        <f>IF($J505="","",IFERROR(INDEX(B!$C$2:$C$61,MATCH($J505,B!$E$2:$E$61,0))&amp;"",""))</f>
        <v/>
      </c>
      <c r="Y505" s="20" t="n"/>
      <c r="Z505" s="72">
        <f>IF($J505="",FALSE,ISNUMBER(SEARCH("scout",$K505)))</f>
        <v/>
      </c>
      <c r="AA505" s="72">
        <f>IF($J505="",FALSE,IFERROR(INDEX(B!$N$2:$N$61,MATCH($J505,B!$E$2:$E$61,0))="Sim",FALSE))</f>
        <v/>
      </c>
      <c r="AB505" s="72">
        <f>IF($J505="",FALSE,LEFT($X505,2)="XX")</f>
        <v/>
      </c>
      <c r="AC505" s="72">
        <f>IF($J505="",FALSE,IFERROR(INDEX(B!$P$2:$P$61,MATCH($J505,B!$E$2:$E$61,0))="Sim",FALSE))</f>
        <v/>
      </c>
      <c r="AD505" s="20" t="n"/>
      <c r="AE505" s="52">
        <f>IF(H505="","",HOUR(H505))</f>
        <v/>
      </c>
      <c r="AF505" s="52" t="n"/>
    </row>
    <row r="506" ht="19.5" customHeight="1" s="58">
      <c r="A506" s="62">
        <f>IF(G506="","",IF(G506=G505,"",COUNTIF($G$3:$G$976,G506)))</f>
        <v/>
      </c>
      <c r="B506" s="20" t="n"/>
      <c r="C506" s="63">
        <f>IF(G506="","",DAY(G506))</f>
        <v/>
      </c>
      <c r="D506" s="63">
        <f>IF(G506="","",MONTH(G506))</f>
        <v/>
      </c>
      <c r="E506" s="63">
        <f>IF(G506="","",YEAR(G506))</f>
        <v/>
      </c>
      <c r="F506" s="33">
        <f>IF(G506="","",CHOOSE(MONTH(G506),"Janeiro","Fevereiro","Março","Abril","Maio","Junho","Julho","Agosto","Setembro","Outubro","Novembro","Dezembro"))</f>
        <v/>
      </c>
      <c r="G506" s="64" t="n">
        <v>46068</v>
      </c>
      <c r="H506" s="65" t="n">
        <v>0.2381365740740741</v>
      </c>
      <c r="I506" s="66" t="inlineStr">
        <is>
          <t>https://docs.google.com/spreadsheets/d/1ZiCGoPjLCjuYvujDTXK9Ixbth3tekiLtFBzBrGjPCr4/edit?gid=0#gid=0</t>
        </is>
      </c>
      <c r="J506" s="67" t="inlineStr">
        <is>
          <t>Pushback - [XX]</t>
        </is>
      </c>
      <c r="K506" s="67" t="inlineStr"/>
      <c r="L506" s="68" t="b">
        <v>0</v>
      </c>
      <c r="M506" s="20" t="n"/>
      <c r="N506" s="69">
        <f>IF($J506="","",IFERROR(INDEX(B!$F$2:$F$61,MATCH($J506,B!$E$2:$E$61,0))&amp;"",""))</f>
        <v/>
      </c>
      <c r="O506" s="69">
        <f>IF($J506="","",IFERROR(INDEX(B!$G$2:$G$61,MATCH($J506,B!$E$2:$E$61,0))&amp;"",""))</f>
        <v/>
      </c>
      <c r="P506" s="69">
        <f>IF($J506="","",IFERROR(INDEX(B!$H$2:$H$61,MATCH($J506,B!$E$2:$E$61,0))&amp;"",""))</f>
        <v/>
      </c>
      <c r="Q506" s="69">
        <f>IF($J506="","",IFERROR(INDEX(B!$I$2:$I$61,MATCH($J506,B!$E$2:$E$61,0))&amp;"",""))</f>
        <v/>
      </c>
      <c r="R506" s="69">
        <f>IF($J506="","",IFERROR(INDEX(B!$J$2:$J$61,MATCH($J506,B!$E$2:$E$61,0))&amp;"",""))</f>
        <v/>
      </c>
      <c r="S506" s="69">
        <f>IF($J506="","",IFERROR(INDEX(B!$K$2:$K$61,MATCH($J506,B!$E$2:$E$61,0))&amp;"",""))</f>
        <v/>
      </c>
      <c r="T506" s="69">
        <f>IF($J506="","",IFERROR(INDEX(B!$L$2:$L$61,MATCH($J506,B!$E$2:$E$61,0))&amp;"",""))</f>
        <v/>
      </c>
      <c r="U506" s="20" t="n"/>
      <c r="V506" s="70">
        <f>IF($J506="","",IFERROR(INDEX(B!$M$2:$M$61,MATCH($J506,B!$E$2:$E$61,0))&amp;"",""))</f>
        <v/>
      </c>
      <c r="W506" s="71">
        <f>IF(I506="","",IFERROR(MID(I506,FIND("/d/",I506)+3,FIND("/edit",I506)-FIND("/d/",I506)-3),I506))</f>
        <v/>
      </c>
      <c r="X506" s="71">
        <f>IF($J506="","",IFERROR(INDEX(B!$C$2:$C$61,MATCH($J506,B!$E$2:$E$61,0))&amp;"",""))</f>
        <v/>
      </c>
      <c r="Y506" s="20" t="n"/>
      <c r="Z506" s="72">
        <f>IF($J506="",FALSE,ISNUMBER(SEARCH("scout",$K506)))</f>
        <v/>
      </c>
      <c r="AA506" s="72">
        <f>IF($J506="",FALSE,IFERROR(INDEX(B!$N$2:$N$61,MATCH($J506,B!$E$2:$E$61,0))="Sim",FALSE))</f>
        <v/>
      </c>
      <c r="AB506" s="72">
        <f>IF($J506="",FALSE,LEFT($X506,2)="XX")</f>
        <v/>
      </c>
      <c r="AC506" s="72">
        <f>IF($J506="",FALSE,IFERROR(INDEX(B!$P$2:$P$61,MATCH($J506,B!$E$2:$E$61,0))="Sim",FALSE))</f>
        <v/>
      </c>
      <c r="AD506" s="20" t="n"/>
      <c r="AE506" s="52">
        <f>IF(H506="","",HOUR(H506))</f>
        <v/>
      </c>
      <c r="AF506" s="52" t="n"/>
    </row>
    <row r="507" ht="19.5" customHeight="1" s="58">
      <c r="A507" s="62">
        <f>IF(G507="","",IF(G507=G506,"",COUNTIF($G$3:$G$976,G507)))</f>
        <v/>
      </c>
      <c r="B507" s="20" t="n"/>
      <c r="C507" s="63">
        <f>IF(G507="","",DAY(G507))</f>
        <v/>
      </c>
      <c r="D507" s="63">
        <f>IF(G507="","",MONTH(G507))</f>
        <v/>
      </c>
      <c r="E507" s="63">
        <f>IF(G507="","",YEAR(G507))</f>
        <v/>
      </c>
      <c r="F507" s="33">
        <f>IF(G507="","",CHOOSE(MONTH(G507),"Janeiro","Fevereiro","Março","Abril","Maio","Junho","Julho","Agosto","Setembro","Outubro","Novembro","Dezembro"))</f>
        <v/>
      </c>
      <c r="G507" s="64" t="n">
        <v>46068</v>
      </c>
      <c r="H507" s="65" t="n">
        <v>0.2407523148148148</v>
      </c>
      <c r="I507" s="66" t="inlineStr">
        <is>
          <t>https://docs.google.com/spreadsheets/d/1ZiCGoPjLCjuYvujDTXK9Ixbth3tekiLtFBzBrGjPCr4/edit?gid=0#gid=0</t>
        </is>
      </c>
      <c r="J507" s="67" t="inlineStr">
        <is>
          <t>Não houve Taxa de Cancelamento - [NTX]</t>
        </is>
      </c>
      <c r="K507" s="67" t="inlineStr">
        <is>
          <t>Scout</t>
        </is>
      </c>
      <c r="L507" s="68" t="b">
        <v>1</v>
      </c>
      <c r="M507" s="20" t="n"/>
      <c r="N507" s="69">
        <f>IF($J507="","",IFERROR(INDEX(B!$F$2:$F$61,MATCH($J507,B!$E$2:$E$61,0))&amp;"",""))</f>
        <v/>
      </c>
      <c r="O507" s="69">
        <f>IF($J507="","",IFERROR(INDEX(B!$G$2:$G$61,MATCH($J507,B!$E$2:$E$61,0))&amp;"",""))</f>
        <v/>
      </c>
      <c r="P507" s="69">
        <f>IF($J507="","",IFERROR(INDEX(B!$H$2:$H$61,MATCH($J507,B!$E$2:$E$61,0))&amp;"",""))</f>
        <v/>
      </c>
      <c r="Q507" s="69">
        <f>IF($J507="","",IFERROR(INDEX(B!$I$2:$I$61,MATCH($J507,B!$E$2:$E$61,0))&amp;"",""))</f>
        <v/>
      </c>
      <c r="R507" s="69">
        <f>IF($J507="","",IFERROR(INDEX(B!$J$2:$J$61,MATCH($J507,B!$E$2:$E$61,0))&amp;"",""))</f>
        <v/>
      </c>
      <c r="S507" s="69">
        <f>IF($J507="","",IFERROR(INDEX(B!$K$2:$K$61,MATCH($J507,B!$E$2:$E$61,0))&amp;"",""))</f>
        <v/>
      </c>
      <c r="T507" s="69">
        <f>IF($J507="","",IFERROR(INDEX(B!$L$2:$L$61,MATCH($J507,B!$E$2:$E$61,0))&amp;"",""))</f>
        <v/>
      </c>
      <c r="U507" s="20" t="n"/>
      <c r="V507" s="70">
        <f>IF($J507="","",IFERROR(INDEX(B!$M$2:$M$61,MATCH($J507,B!$E$2:$E$61,0))&amp;"",""))</f>
        <v/>
      </c>
      <c r="W507" s="71">
        <f>IF(I507="","",IFERROR(MID(I507,FIND("/d/",I507)+3,FIND("/edit",I507)-FIND("/d/",I507)-3),I507))</f>
        <v/>
      </c>
      <c r="X507" s="71">
        <f>IF($J507="","",IFERROR(INDEX(B!$C$2:$C$61,MATCH($J507,B!$E$2:$E$61,0))&amp;"",""))</f>
        <v/>
      </c>
      <c r="Y507" s="20" t="n"/>
      <c r="Z507" s="72">
        <f>IF($J507="",FALSE,ISNUMBER(SEARCH("scout",$K507)))</f>
        <v/>
      </c>
      <c r="AA507" s="72">
        <f>IF($J507="",FALSE,IFERROR(INDEX(B!$N$2:$N$61,MATCH($J507,B!$E$2:$E$61,0))="Sim",FALSE))</f>
        <v/>
      </c>
      <c r="AB507" s="72">
        <f>IF($J507="",FALSE,LEFT($X507,2)="XX")</f>
        <v/>
      </c>
      <c r="AC507" s="72">
        <f>IF($J507="",FALSE,IFERROR(INDEX(B!$P$2:$P$61,MATCH($J507,B!$E$2:$E$61,0))="Sim",FALSE))</f>
        <v/>
      </c>
      <c r="AD507" s="20" t="n"/>
      <c r="AE507" s="52">
        <f>IF(H507="","",HOUR(H507))</f>
        <v/>
      </c>
      <c r="AF507" s="52" t="n"/>
    </row>
    <row r="508" ht="19.5" customHeight="1" s="58">
      <c r="A508" s="62">
        <f>IF(G508="","",IF(G508=G507,"",COUNTIF($G$3:$G$976,G508)))</f>
        <v/>
      </c>
      <c r="B508" s="20" t="n"/>
      <c r="C508" s="63">
        <f>IF(G508="","",DAY(G508))</f>
        <v/>
      </c>
      <c r="D508" s="63">
        <f>IF(G508="","",MONTH(G508))</f>
        <v/>
      </c>
      <c r="E508" s="63">
        <f>IF(G508="","",YEAR(G508))</f>
        <v/>
      </c>
      <c r="F508" s="33">
        <f>IF(G508="","",CHOOSE(MONTH(G508),"Janeiro","Fevereiro","Março","Abril","Maio","Junho","Julho","Agosto","Setembro","Outubro","Novembro","Dezembro"))</f>
        <v/>
      </c>
      <c r="G508" s="64" t="n">
        <v>46068</v>
      </c>
      <c r="H508" s="65" t="n">
        <v>0.2424768518518519</v>
      </c>
      <c r="I508" s="66" t="inlineStr">
        <is>
          <t>https://docs.google.com/spreadsheets/d/1ZiCGoPjLCjuYvujDTXK9Ixbth3tekiLtFBzBrGjPCr4/edit?gid=0#gid=0</t>
        </is>
      </c>
      <c r="J508" s="67" t="inlineStr">
        <is>
          <t>Taxa de Cancelamento Cobrada Corretamente - [TXCO]</t>
        </is>
      </c>
      <c r="K508" s="67" t="inlineStr">
        <is>
          <t>Scout</t>
        </is>
      </c>
      <c r="L508" s="68" t="b">
        <v>0</v>
      </c>
      <c r="M508" s="20" t="n"/>
      <c r="N508" s="69">
        <f>IF($J508="","",IFERROR(INDEX(B!$F$2:$F$61,MATCH($J508,B!$E$2:$E$61,0))&amp;"",""))</f>
        <v/>
      </c>
      <c r="O508" s="69">
        <f>IF($J508="","",IFERROR(INDEX(B!$G$2:$G$61,MATCH($J508,B!$E$2:$E$61,0))&amp;"",""))</f>
        <v/>
      </c>
      <c r="P508" s="69">
        <f>IF($J508="","",IFERROR(INDEX(B!$H$2:$H$61,MATCH($J508,B!$E$2:$E$61,0))&amp;"",""))</f>
        <v/>
      </c>
      <c r="Q508" s="69">
        <f>IF($J508="","",IFERROR(INDEX(B!$I$2:$I$61,MATCH($J508,B!$E$2:$E$61,0))&amp;"",""))</f>
        <v/>
      </c>
      <c r="R508" s="69">
        <f>IF($J508="","",IFERROR(INDEX(B!$J$2:$J$61,MATCH($J508,B!$E$2:$E$61,0))&amp;"",""))</f>
        <v/>
      </c>
      <c r="S508" s="69">
        <f>IF($J508="","",IFERROR(INDEX(B!$K$2:$K$61,MATCH($J508,B!$E$2:$E$61,0))&amp;"",""))</f>
        <v/>
      </c>
      <c r="T508" s="69">
        <f>IF($J508="","",IFERROR(INDEX(B!$L$2:$L$61,MATCH($J508,B!$E$2:$E$61,0))&amp;"",""))</f>
        <v/>
      </c>
      <c r="U508" s="20" t="n"/>
      <c r="V508" s="70">
        <f>IF($J508="","",IFERROR(INDEX(B!$M$2:$M$61,MATCH($J508,B!$E$2:$E$61,0))&amp;"",""))</f>
        <v/>
      </c>
      <c r="W508" s="71">
        <f>IF(I508="","",IFERROR(MID(I508,FIND("/d/",I508)+3,FIND("/edit",I508)-FIND("/d/",I508)-3),I508))</f>
        <v/>
      </c>
      <c r="X508" s="71">
        <f>IF($J508="","",IFERROR(INDEX(B!$C$2:$C$61,MATCH($J508,B!$E$2:$E$61,0))&amp;"",""))</f>
        <v/>
      </c>
      <c r="Y508" s="20" t="n"/>
      <c r="Z508" s="72">
        <f>IF($J508="",FALSE,ISNUMBER(SEARCH("scout",$K508)))</f>
        <v/>
      </c>
      <c r="AA508" s="72">
        <f>IF($J508="",FALSE,IFERROR(INDEX(B!$N$2:$N$61,MATCH($J508,B!$E$2:$E$61,0))="Sim",FALSE))</f>
        <v/>
      </c>
      <c r="AB508" s="72">
        <f>IF($J508="",FALSE,LEFT($X508,2)="XX")</f>
        <v/>
      </c>
      <c r="AC508" s="72">
        <f>IF($J508="",FALSE,IFERROR(INDEX(B!$P$2:$P$61,MATCH($J508,B!$E$2:$E$61,0))="Sim",FALSE))</f>
        <v/>
      </c>
      <c r="AD508" s="20" t="n"/>
      <c r="AE508" s="52">
        <f>IF(H508="","",HOUR(H508))</f>
        <v/>
      </c>
      <c r="AF508" s="52" t="n"/>
    </row>
    <row r="509" ht="19.5" customHeight="1" s="58">
      <c r="A509" s="62">
        <f>IF(G509="","",IF(G509=G508,"",COUNTIF($G$3:$G$976,G509)))</f>
        <v/>
      </c>
      <c r="B509" s="20" t="n"/>
      <c r="C509" s="63">
        <f>IF(G509="","",DAY(G509))</f>
        <v/>
      </c>
      <c r="D509" s="63">
        <f>IF(G509="","",MONTH(G509))</f>
        <v/>
      </c>
      <c r="E509" s="63">
        <f>IF(G509="","",YEAR(G509))</f>
        <v/>
      </c>
      <c r="F509" s="33">
        <f>IF(G509="","",CHOOSE(MONTH(G509),"Janeiro","Fevereiro","Março","Abril","Maio","Junho","Julho","Agosto","Setembro","Outubro","Novembro","Dezembro"))</f>
        <v/>
      </c>
      <c r="G509" s="64" t="n">
        <v>46068</v>
      </c>
      <c r="H509" s="65" t="n">
        <v>0.2440972222222222</v>
      </c>
      <c r="I509" s="66" t="inlineStr">
        <is>
          <t>https://docs.google.com/spreadsheets/d/1ZiCGoPjLCjuYvujDTXK9Ixbth3tekiLtFBzBrGjPCr4/edit?gid=0#gid=0</t>
        </is>
      </c>
      <c r="J509" s="67" t="inlineStr">
        <is>
          <t>Transferência de LOB (Profissionalismo) - [TIPR]</t>
        </is>
      </c>
      <c r="K509" s="67" t="inlineStr"/>
      <c r="L509" s="68" t="b">
        <v>0</v>
      </c>
      <c r="M509" s="20" t="n"/>
      <c r="N509" s="69">
        <f>IF($J509="","",IFERROR(INDEX(B!$F$2:$F$61,MATCH($J509,B!$E$2:$E$61,0))&amp;"",""))</f>
        <v/>
      </c>
      <c r="O509" s="69">
        <f>IF($J509="","",IFERROR(INDEX(B!$G$2:$G$61,MATCH($J509,B!$E$2:$E$61,0))&amp;"",""))</f>
        <v/>
      </c>
      <c r="P509" s="69">
        <f>IF($J509="","",IFERROR(INDEX(B!$H$2:$H$61,MATCH($J509,B!$E$2:$E$61,0))&amp;"",""))</f>
        <v/>
      </c>
      <c r="Q509" s="69">
        <f>IF($J509="","",IFERROR(INDEX(B!$I$2:$I$61,MATCH($J509,B!$E$2:$E$61,0))&amp;"",""))</f>
        <v/>
      </c>
      <c r="R509" s="69">
        <f>IF($J509="","",IFERROR(INDEX(B!$J$2:$J$61,MATCH($J509,B!$E$2:$E$61,0))&amp;"",""))</f>
        <v/>
      </c>
      <c r="S509" s="69">
        <f>IF($J509="","",IFERROR(INDEX(B!$K$2:$K$61,MATCH($J509,B!$E$2:$E$61,0))&amp;"",""))</f>
        <v/>
      </c>
      <c r="T509" s="69">
        <f>IF($J509="","",IFERROR(INDEX(B!$L$2:$L$61,MATCH($J509,B!$E$2:$E$61,0))&amp;"",""))</f>
        <v/>
      </c>
      <c r="U509" s="20" t="n"/>
      <c r="V509" s="70">
        <f>IF($J509="","",IFERROR(INDEX(B!$M$2:$M$61,MATCH($J509,B!$E$2:$E$61,0))&amp;"",""))</f>
        <v/>
      </c>
      <c r="W509" s="71">
        <f>IF(I509="","",IFERROR(MID(I509,FIND("/d/",I509)+3,FIND("/edit",I509)-FIND("/d/",I509)-3),I509))</f>
        <v/>
      </c>
      <c r="X509" s="71">
        <f>IF($J509="","",IFERROR(INDEX(B!$C$2:$C$61,MATCH($J509,B!$E$2:$E$61,0))&amp;"",""))</f>
        <v/>
      </c>
      <c r="Y509" s="20" t="n"/>
      <c r="Z509" s="72">
        <f>IF($J509="",FALSE,ISNUMBER(SEARCH("scout",$K509)))</f>
        <v/>
      </c>
      <c r="AA509" s="72">
        <f>IF($J509="",FALSE,IFERROR(INDEX(B!$N$2:$N$61,MATCH($J509,B!$E$2:$E$61,0))="Sim",FALSE))</f>
        <v/>
      </c>
      <c r="AB509" s="72">
        <f>IF($J509="",FALSE,LEFT($X509,2)="XX")</f>
        <v/>
      </c>
      <c r="AC509" s="72">
        <f>IF($J509="",FALSE,IFERROR(INDEX(B!$P$2:$P$61,MATCH($J509,B!$E$2:$E$61,0))="Sim",FALSE))</f>
        <v/>
      </c>
      <c r="AD509" s="20" t="n"/>
      <c r="AE509" s="52">
        <f>IF(H509="","",HOUR(H509))</f>
        <v/>
      </c>
      <c r="AF509" s="52" t="n"/>
    </row>
    <row r="510" ht="19.5" customHeight="1" s="58">
      <c r="A510" s="62">
        <f>IF(G510="","",IF(G510=G509,"",COUNTIF($G$3:$G$976,G510)))</f>
        <v/>
      </c>
      <c r="B510" s="20" t="n"/>
      <c r="C510" s="63">
        <f>IF(G510="","",DAY(G510))</f>
        <v/>
      </c>
      <c r="D510" s="63">
        <f>IF(G510="","",MONTH(G510))</f>
        <v/>
      </c>
      <c r="E510" s="63">
        <f>IF(G510="","",YEAR(G510))</f>
        <v/>
      </c>
      <c r="F510" s="33">
        <f>IF(G510="","",CHOOSE(MONTH(G510),"Janeiro","Fevereiro","Março","Abril","Maio","Junho","Julho","Agosto","Setembro","Outubro","Novembro","Dezembro"))</f>
        <v/>
      </c>
      <c r="G510" s="64" t="n">
        <v>46068</v>
      </c>
      <c r="H510" s="65" t="n">
        <v>0.2499768518518518</v>
      </c>
      <c r="I510" s="66" t="inlineStr">
        <is>
          <t>https://docs.google.com/spreadsheets/d/1ZiCGoPjLCjuYvujDTXK9Ixbth3tekiLtFBzBrGjPCr4/edit?gid=0#gid=0</t>
        </is>
      </c>
      <c r="J510" s="67" t="inlineStr">
        <is>
          <t>Outros Valores Retidos (Pedágio, Cartão, Taxa de Cancelamento...) - [OTV]</t>
        </is>
      </c>
      <c r="K510" s="67" t="inlineStr">
        <is>
          <t>Scout</t>
        </is>
      </c>
      <c r="L510" s="68" t="b">
        <v>0</v>
      </c>
      <c r="M510" s="20" t="n"/>
      <c r="N510" s="69">
        <f>IF($J510="","",IFERROR(INDEX(B!$F$2:$F$61,MATCH($J510,B!$E$2:$E$61,0))&amp;"",""))</f>
        <v/>
      </c>
      <c r="O510" s="69">
        <f>IF($J510="","",IFERROR(INDEX(B!$G$2:$G$61,MATCH($J510,B!$E$2:$E$61,0))&amp;"",""))</f>
        <v/>
      </c>
      <c r="P510" s="69">
        <f>IF($J510="","",IFERROR(INDEX(B!$H$2:$H$61,MATCH($J510,B!$E$2:$E$61,0))&amp;"",""))</f>
        <v/>
      </c>
      <c r="Q510" s="69">
        <f>IF($J510="","",IFERROR(INDEX(B!$I$2:$I$61,MATCH($J510,B!$E$2:$E$61,0))&amp;"",""))</f>
        <v/>
      </c>
      <c r="R510" s="69">
        <f>IF($J510="","",IFERROR(INDEX(B!$J$2:$J$61,MATCH($J510,B!$E$2:$E$61,0))&amp;"",""))</f>
        <v/>
      </c>
      <c r="S510" s="69">
        <f>IF($J510="","",IFERROR(INDEX(B!$K$2:$K$61,MATCH($J510,B!$E$2:$E$61,0))&amp;"",""))</f>
        <v/>
      </c>
      <c r="T510" s="69">
        <f>IF($J510="","",IFERROR(INDEX(B!$L$2:$L$61,MATCH($J510,B!$E$2:$E$61,0))&amp;"",""))</f>
        <v/>
      </c>
      <c r="U510" s="20" t="n"/>
      <c r="V510" s="70">
        <f>IF($J510="","",IFERROR(INDEX(B!$M$2:$M$61,MATCH($J510,B!$E$2:$E$61,0))&amp;"",""))</f>
        <v/>
      </c>
      <c r="W510" s="71">
        <f>IF(I510="","",IFERROR(MID(I510,FIND("/d/",I510)+3,FIND("/edit",I510)-FIND("/d/",I510)-3),I510))</f>
        <v/>
      </c>
      <c r="X510" s="71">
        <f>IF($J510="","",IFERROR(INDEX(B!$C$2:$C$61,MATCH($J510,B!$E$2:$E$61,0))&amp;"",""))</f>
        <v/>
      </c>
      <c r="Y510" s="20" t="n"/>
      <c r="Z510" s="72">
        <f>IF($J510="",FALSE,ISNUMBER(SEARCH("scout",$K510)))</f>
        <v/>
      </c>
      <c r="AA510" s="72">
        <f>IF($J510="",FALSE,IFERROR(INDEX(B!$N$2:$N$61,MATCH($J510,B!$E$2:$E$61,0))="Sim",FALSE))</f>
        <v/>
      </c>
      <c r="AB510" s="72">
        <f>IF($J510="",FALSE,LEFT($X510,2)="XX")</f>
        <v/>
      </c>
      <c r="AC510" s="72">
        <f>IF($J510="",FALSE,IFERROR(INDEX(B!$P$2:$P$61,MATCH($J510,B!$E$2:$E$61,0))="Sim",FALSE))</f>
        <v/>
      </c>
      <c r="AD510" s="20" t="n"/>
      <c r="AE510" s="52">
        <f>IF(H510="","",HOUR(H510))</f>
        <v/>
      </c>
      <c r="AF510" s="52" t="n"/>
    </row>
    <row r="511" ht="19.5" customHeight="1" s="58">
      <c r="A511" s="62">
        <f>IF(G511="","",IF(G511=G510,"",COUNTIF($G$3:$G$976,G511)))</f>
        <v/>
      </c>
      <c r="B511" s="20" t="n"/>
      <c r="C511" s="63">
        <f>IF(G511="","",DAY(G511))</f>
        <v/>
      </c>
      <c r="D511" s="63">
        <f>IF(G511="","",MONTH(G511))</f>
        <v/>
      </c>
      <c r="E511" s="63">
        <f>IF(G511="","",YEAR(G511))</f>
        <v/>
      </c>
      <c r="F511" s="33">
        <f>IF(G511="","",CHOOSE(MONTH(G511),"Janeiro","Fevereiro","Março","Abril","Maio","Junho","Julho","Agosto","Setembro","Outubro","Novembro","Dezembro"))</f>
        <v/>
      </c>
      <c r="G511" s="64" t="n">
        <v>46069</v>
      </c>
      <c r="H511" s="65" t="n">
        <v>0.0003356481481481481</v>
      </c>
      <c r="I511" s="66" t="inlineStr">
        <is>
          <t>https://docs.google.com/spreadsheets/d/1ZiCGoPjLCjuYvujDTXK9Ixbth3tekiLtFBzBrGjPCr4/edit?gid=0#gid=0</t>
        </is>
      </c>
      <c r="J511" s="67" t="inlineStr">
        <is>
          <t>Mais informações Gerais - [AA]</t>
        </is>
      </c>
      <c r="K511" s="67" t="inlineStr"/>
      <c r="L511" s="68" t="b">
        <v>0</v>
      </c>
      <c r="M511" s="20" t="n"/>
      <c r="N511" s="69">
        <f>IF($J511="","",IFERROR(INDEX(B!$F$2:$F$61,MATCH($J511,B!$E$2:$E$61,0))&amp;"",""))</f>
        <v/>
      </c>
      <c r="O511" s="69">
        <f>IF($J511="","",IFERROR(INDEX(B!$G$2:$G$61,MATCH($J511,B!$E$2:$E$61,0))&amp;"",""))</f>
        <v/>
      </c>
      <c r="P511" s="69">
        <f>IF($J511="","",IFERROR(INDEX(B!$H$2:$H$61,MATCH($J511,B!$E$2:$E$61,0))&amp;"",""))</f>
        <v/>
      </c>
      <c r="Q511" s="69">
        <f>IF($J511="","",IFERROR(INDEX(B!$I$2:$I$61,MATCH($J511,B!$E$2:$E$61,0))&amp;"",""))</f>
        <v/>
      </c>
      <c r="R511" s="69">
        <f>IF($J511="","",IFERROR(INDEX(B!$J$2:$J$61,MATCH($J511,B!$E$2:$E$61,0))&amp;"",""))</f>
        <v/>
      </c>
      <c r="S511" s="69">
        <f>IF($J511="","",IFERROR(INDEX(B!$K$2:$K$61,MATCH($J511,B!$E$2:$E$61,0))&amp;"",""))</f>
        <v/>
      </c>
      <c r="T511" s="69">
        <f>IF($J511="","",IFERROR(INDEX(B!$L$2:$L$61,MATCH($J511,B!$E$2:$E$61,0))&amp;"",""))</f>
        <v/>
      </c>
      <c r="U511" s="20" t="n"/>
      <c r="V511" s="70">
        <f>IF($J511="","",IFERROR(INDEX(B!$M$2:$M$61,MATCH($J511,B!$E$2:$E$61,0))&amp;"",""))</f>
        <v/>
      </c>
      <c r="W511" s="71">
        <f>IF(I511="","",IFERROR(MID(I511,FIND("/d/",I511)+3,FIND("/edit",I511)-FIND("/d/",I511)-3),I511))</f>
        <v/>
      </c>
      <c r="X511" s="71">
        <f>IF($J511="","",IFERROR(INDEX(B!$C$2:$C$61,MATCH($J511,B!$E$2:$E$61,0))&amp;"",""))</f>
        <v/>
      </c>
      <c r="Y511" s="20" t="n"/>
      <c r="Z511" s="72">
        <f>IF($J511="",FALSE,ISNUMBER(SEARCH("scout",$K511)))</f>
        <v/>
      </c>
      <c r="AA511" s="72">
        <f>IF($J511="",FALSE,IFERROR(INDEX(B!$N$2:$N$61,MATCH($J511,B!$E$2:$E$61,0))="Sim",FALSE))</f>
        <v/>
      </c>
      <c r="AB511" s="72">
        <f>IF($J511="",FALSE,LEFT($X511,2)="XX")</f>
        <v/>
      </c>
      <c r="AC511" s="72">
        <f>IF($J511="",FALSE,IFERROR(INDEX(B!$P$2:$P$61,MATCH($J511,B!$E$2:$E$61,0))="Sim",FALSE))</f>
        <v/>
      </c>
      <c r="AD511" s="20" t="n"/>
      <c r="AE511" s="52">
        <f>IF(H511="","",HOUR(H511))</f>
        <v/>
      </c>
      <c r="AF511" s="52" t="n"/>
    </row>
    <row r="512" ht="19.5" customHeight="1" s="58">
      <c r="A512" s="62">
        <f>IF(G512="","",IF(G512=G511,"",COUNTIF($G$3:$G$976,G512)))</f>
        <v/>
      </c>
      <c r="B512" s="20" t="n"/>
      <c r="C512" s="63">
        <f>IF(G512="","",DAY(G512))</f>
        <v/>
      </c>
      <c r="D512" s="63">
        <f>IF(G512="","",MONTH(G512))</f>
        <v/>
      </c>
      <c r="E512" s="63">
        <f>IF(G512="","",YEAR(G512))</f>
        <v/>
      </c>
      <c r="F512" s="33">
        <f>IF(G512="","",CHOOSE(MONTH(G512),"Janeiro","Fevereiro","Março","Abril","Maio","Junho","Julho","Agosto","Setembro","Outubro","Novembro","Dezembro"))</f>
        <v/>
      </c>
      <c r="G512" s="64" t="n">
        <v>46069</v>
      </c>
      <c r="H512" s="65" t="n">
        <v>0.003356481481481482</v>
      </c>
      <c r="I512" s="66" t="inlineStr">
        <is>
          <t>https://docs.google.com/spreadsheets/d/1ZiCGoPjLCjuYvujDTXK9Ixbth3tekiLtFBzBrGjPCr4/edit?gid=0#gid=0</t>
        </is>
      </c>
      <c r="J512" s="67" t="inlineStr">
        <is>
          <t>Evento Raro - [ER]</t>
        </is>
      </c>
      <c r="K512" s="67" t="inlineStr"/>
      <c r="L512" s="68" t="b">
        <v>1</v>
      </c>
      <c r="M512" s="20" t="n"/>
      <c r="N512" s="69">
        <f>IF($J512="","",IFERROR(INDEX(B!$F$2:$F$61,MATCH($J512,B!$E$2:$E$61,0))&amp;"",""))</f>
        <v/>
      </c>
      <c r="O512" s="69">
        <f>IF($J512="","",IFERROR(INDEX(B!$G$2:$G$61,MATCH($J512,B!$E$2:$E$61,0))&amp;"",""))</f>
        <v/>
      </c>
      <c r="P512" s="69">
        <f>IF($J512="","",IFERROR(INDEX(B!$H$2:$H$61,MATCH($J512,B!$E$2:$E$61,0))&amp;"",""))</f>
        <v/>
      </c>
      <c r="Q512" s="69">
        <f>IF($J512="","",IFERROR(INDEX(B!$I$2:$I$61,MATCH($J512,B!$E$2:$E$61,0))&amp;"",""))</f>
        <v/>
      </c>
      <c r="R512" s="69">
        <f>IF($J512="","",IFERROR(INDEX(B!$J$2:$J$61,MATCH($J512,B!$E$2:$E$61,0))&amp;"",""))</f>
        <v/>
      </c>
      <c r="S512" s="69">
        <f>IF($J512="","",IFERROR(INDEX(B!$K$2:$K$61,MATCH($J512,B!$E$2:$E$61,0))&amp;"",""))</f>
        <v/>
      </c>
      <c r="T512" s="69">
        <f>IF($J512="","",IFERROR(INDEX(B!$L$2:$L$61,MATCH($J512,B!$E$2:$E$61,0))&amp;"",""))</f>
        <v/>
      </c>
      <c r="U512" s="20" t="n"/>
      <c r="V512" s="70">
        <f>IF($J512="","",IFERROR(INDEX(B!$M$2:$M$61,MATCH($J512,B!$E$2:$E$61,0))&amp;"",""))</f>
        <v/>
      </c>
      <c r="W512" s="71">
        <f>IF(I512="","",IFERROR(MID(I512,FIND("/d/",I512)+3,FIND("/edit",I512)-FIND("/d/",I512)-3),I512))</f>
        <v/>
      </c>
      <c r="X512" s="71">
        <f>IF($J512="","",IFERROR(INDEX(B!$C$2:$C$61,MATCH($J512,B!$E$2:$E$61,0))&amp;"",""))</f>
        <v/>
      </c>
      <c r="Y512" s="20" t="n"/>
      <c r="Z512" s="72">
        <f>IF($J512="",FALSE,ISNUMBER(SEARCH("scout",$K512)))</f>
        <v/>
      </c>
      <c r="AA512" s="72">
        <f>IF($J512="",FALSE,IFERROR(INDEX(B!$N$2:$N$61,MATCH($J512,B!$E$2:$E$61,0))="Sim",FALSE))</f>
        <v/>
      </c>
      <c r="AB512" s="72">
        <f>IF($J512="",FALSE,LEFT($X512,2)="XX")</f>
        <v/>
      </c>
      <c r="AC512" s="72">
        <f>IF($J512="",FALSE,IFERROR(INDEX(B!$P$2:$P$61,MATCH($J512,B!$E$2:$E$61,0))="Sim",FALSE))</f>
        <v/>
      </c>
      <c r="AD512" s="20" t="n"/>
      <c r="AE512" s="52">
        <f>IF(H512="","",HOUR(H512))</f>
        <v/>
      </c>
      <c r="AF512" s="52" t="n"/>
    </row>
    <row r="513" ht="19.5" customHeight="1" s="58">
      <c r="A513" s="62">
        <f>IF(G513="","",IF(G513=G512,"",COUNTIF($G$3:$G$976,G513)))</f>
        <v/>
      </c>
      <c r="B513" s="20" t="n"/>
      <c r="C513" s="63">
        <f>IF(G513="","",DAY(G513))</f>
        <v/>
      </c>
      <c r="D513" s="63">
        <f>IF(G513="","",MONTH(G513))</f>
        <v/>
      </c>
      <c r="E513" s="63">
        <f>IF(G513="","",YEAR(G513))</f>
        <v/>
      </c>
      <c r="F513" s="33">
        <f>IF(G513="","",CHOOSE(MONTH(G513),"Janeiro","Fevereiro","Março","Abril","Maio","Junho","Julho","Agosto","Setembro","Outubro","Novembro","Dezembro"))</f>
        <v/>
      </c>
      <c r="G513" s="64" t="n">
        <v>46069</v>
      </c>
      <c r="H513" s="65" t="n">
        <v>0.005208333333333333</v>
      </c>
      <c r="I513" s="66" t="inlineStr">
        <is>
          <t>https://docs.google.com/spreadsheets/d/1ZiCGoPjLCjuYvujDTXK9Ixbth3tekiLtFBzBrGjPCr4/edit?gid=0#gid=0</t>
        </is>
      </c>
      <c r="J513" s="67" t="inlineStr">
        <is>
          <t>Trajeto Ruim - [TR]</t>
        </is>
      </c>
      <c r="K513" s="67" t="inlineStr"/>
      <c r="L513" s="68" t="b">
        <v>1</v>
      </c>
      <c r="M513" s="20" t="n"/>
      <c r="N513" s="69">
        <f>IF($J513="","",IFERROR(INDEX(B!$F$2:$F$61,MATCH($J513,B!$E$2:$E$61,0))&amp;"",""))</f>
        <v/>
      </c>
      <c r="O513" s="69">
        <f>IF($J513="","",IFERROR(INDEX(B!$G$2:$G$61,MATCH($J513,B!$E$2:$E$61,0))&amp;"",""))</f>
        <v/>
      </c>
      <c r="P513" s="69">
        <f>IF($J513="","",IFERROR(INDEX(B!$H$2:$H$61,MATCH($J513,B!$E$2:$E$61,0))&amp;"",""))</f>
        <v/>
      </c>
      <c r="Q513" s="69">
        <f>IF($J513="","",IFERROR(INDEX(B!$I$2:$I$61,MATCH($J513,B!$E$2:$E$61,0))&amp;"",""))</f>
        <v/>
      </c>
      <c r="R513" s="69">
        <f>IF($J513="","",IFERROR(INDEX(B!$J$2:$J$61,MATCH($J513,B!$E$2:$E$61,0))&amp;"",""))</f>
        <v/>
      </c>
      <c r="S513" s="69">
        <f>IF($J513="","",IFERROR(INDEX(B!$K$2:$K$61,MATCH($J513,B!$E$2:$E$61,0))&amp;"",""))</f>
        <v/>
      </c>
      <c r="T513" s="69">
        <f>IF($J513="","",IFERROR(INDEX(B!$L$2:$L$61,MATCH($J513,B!$E$2:$E$61,0))&amp;"",""))</f>
        <v/>
      </c>
      <c r="U513" s="20" t="n"/>
      <c r="V513" s="70">
        <f>IF($J513="","",IFERROR(INDEX(B!$M$2:$M$61,MATCH($J513,B!$E$2:$E$61,0))&amp;"",""))</f>
        <v/>
      </c>
      <c r="W513" s="71">
        <f>IF(I513="","",IFERROR(MID(I513,FIND("/d/",I513)+3,FIND("/edit",I513)-FIND("/d/",I513)-3),I513))</f>
        <v/>
      </c>
      <c r="X513" s="71">
        <f>IF($J513="","",IFERROR(INDEX(B!$C$2:$C$61,MATCH($J513,B!$E$2:$E$61,0))&amp;"",""))</f>
        <v/>
      </c>
      <c r="Y513" s="20" t="n"/>
      <c r="Z513" s="72">
        <f>IF($J513="",FALSE,ISNUMBER(SEARCH("scout",$K513)))</f>
        <v/>
      </c>
      <c r="AA513" s="72">
        <f>IF($J513="",FALSE,IFERROR(INDEX(B!$N$2:$N$61,MATCH($J513,B!$E$2:$E$61,0))="Sim",FALSE))</f>
        <v/>
      </c>
      <c r="AB513" s="72">
        <f>IF($J513="",FALSE,LEFT($X513,2)="XX")</f>
        <v/>
      </c>
      <c r="AC513" s="72">
        <f>IF($J513="",FALSE,IFERROR(INDEX(B!$P$2:$P$61,MATCH($J513,B!$E$2:$E$61,0))="Sim",FALSE))</f>
        <v/>
      </c>
      <c r="AD513" s="20" t="n"/>
      <c r="AE513" s="52">
        <f>IF(H513="","",HOUR(H513))</f>
        <v/>
      </c>
      <c r="AF513" s="52" t="n"/>
    </row>
    <row r="514" ht="19.5" customHeight="1" s="58">
      <c r="A514" s="62">
        <f>IF(G514="","",IF(G514=G513,"",COUNTIF($G$3:$G$976,G514)))</f>
        <v/>
      </c>
      <c r="B514" s="20" t="n"/>
      <c r="C514" s="63">
        <f>IF(G514="","",DAY(G514))</f>
        <v/>
      </c>
      <c r="D514" s="63">
        <f>IF(G514="","",MONTH(G514))</f>
        <v/>
      </c>
      <c r="E514" s="63">
        <f>IF(G514="","",YEAR(G514))</f>
        <v/>
      </c>
      <c r="F514" s="33">
        <f>IF(G514="","",CHOOSE(MONTH(G514),"Janeiro","Fevereiro","Março","Abril","Maio","Junho","Julho","Agosto","Setembro","Outubro","Novembro","Dezembro"))</f>
        <v/>
      </c>
      <c r="G514" s="64" t="n">
        <v>46069</v>
      </c>
      <c r="H514" s="65" t="n">
        <v>0.008368055555555556</v>
      </c>
      <c r="I514" s="66" t="inlineStr">
        <is>
          <t>https://docs.google.com/spreadsheets/d/1ZiCGoPjLCjuYvujDTXK9Ixbth3tekiLtFBzBrGjPCr4/edit?gid=0#gid=0</t>
        </is>
      </c>
      <c r="J514" s="67" t="inlineStr">
        <is>
          <t>Taxa de Cancelamento Cobrada Corretamente - [TXCO]</t>
        </is>
      </c>
      <c r="K514" s="67" t="inlineStr">
        <is>
          <t>Scout</t>
        </is>
      </c>
      <c r="L514" s="68" t="b">
        <v>0</v>
      </c>
      <c r="M514" s="20" t="n"/>
      <c r="N514" s="69">
        <f>IF($J514="","",IFERROR(INDEX(B!$F$2:$F$61,MATCH($J514,B!$E$2:$E$61,0))&amp;"",""))</f>
        <v/>
      </c>
      <c r="O514" s="69">
        <f>IF($J514="","",IFERROR(INDEX(B!$G$2:$G$61,MATCH($J514,B!$E$2:$E$61,0))&amp;"",""))</f>
        <v/>
      </c>
      <c r="P514" s="69">
        <f>IF($J514="","",IFERROR(INDEX(B!$H$2:$H$61,MATCH($J514,B!$E$2:$E$61,0))&amp;"",""))</f>
        <v/>
      </c>
      <c r="Q514" s="69">
        <f>IF($J514="","",IFERROR(INDEX(B!$I$2:$I$61,MATCH($J514,B!$E$2:$E$61,0))&amp;"",""))</f>
        <v/>
      </c>
      <c r="R514" s="69">
        <f>IF($J514="","",IFERROR(INDEX(B!$J$2:$J$61,MATCH($J514,B!$E$2:$E$61,0))&amp;"",""))</f>
        <v/>
      </c>
      <c r="S514" s="69">
        <f>IF($J514="","",IFERROR(INDEX(B!$K$2:$K$61,MATCH($J514,B!$E$2:$E$61,0))&amp;"",""))</f>
        <v/>
      </c>
      <c r="T514" s="69">
        <f>IF($J514="","",IFERROR(INDEX(B!$L$2:$L$61,MATCH($J514,B!$E$2:$E$61,0))&amp;"",""))</f>
        <v/>
      </c>
      <c r="U514" s="20" t="n"/>
      <c r="V514" s="70">
        <f>IF($J514="","",IFERROR(INDEX(B!$M$2:$M$61,MATCH($J514,B!$E$2:$E$61,0))&amp;"",""))</f>
        <v/>
      </c>
      <c r="W514" s="71">
        <f>IF(I514="","",IFERROR(MID(I514,FIND("/d/",I514)+3,FIND("/edit",I514)-FIND("/d/",I514)-3),I514))</f>
        <v/>
      </c>
      <c r="X514" s="71">
        <f>IF($J514="","",IFERROR(INDEX(B!$C$2:$C$61,MATCH($J514,B!$E$2:$E$61,0))&amp;"",""))</f>
        <v/>
      </c>
      <c r="Y514" s="20" t="n"/>
      <c r="Z514" s="72">
        <f>IF($J514="",FALSE,ISNUMBER(SEARCH("scout",$K514)))</f>
        <v/>
      </c>
      <c r="AA514" s="72">
        <f>IF($J514="",FALSE,IFERROR(INDEX(B!$N$2:$N$61,MATCH($J514,B!$E$2:$E$61,0))="Sim",FALSE))</f>
        <v/>
      </c>
      <c r="AB514" s="72">
        <f>IF($J514="",FALSE,LEFT($X514,2)="XX")</f>
        <v/>
      </c>
      <c r="AC514" s="72">
        <f>IF($J514="",FALSE,IFERROR(INDEX(B!$P$2:$P$61,MATCH($J514,B!$E$2:$E$61,0))="Sim",FALSE))</f>
        <v/>
      </c>
      <c r="AD514" s="20" t="n"/>
      <c r="AE514" s="52">
        <f>IF(H514="","",HOUR(H514))</f>
        <v/>
      </c>
      <c r="AF514" s="52" t="n"/>
    </row>
    <row r="515" ht="19.5" customHeight="1" s="58">
      <c r="A515" s="62">
        <f>IF(G515="","",IF(G515=G514,"",COUNTIF($G$3:$G$976,G515)))</f>
        <v/>
      </c>
      <c r="B515" s="20" t="n"/>
      <c r="C515" s="63">
        <f>IF(G515="","",DAY(G515))</f>
        <v/>
      </c>
      <c r="D515" s="63">
        <f>IF(G515="","",MONTH(G515))</f>
        <v/>
      </c>
      <c r="E515" s="63">
        <f>IF(G515="","",YEAR(G515))</f>
        <v/>
      </c>
      <c r="F515" s="33">
        <f>IF(G515="","",CHOOSE(MONTH(G515),"Janeiro","Fevereiro","Março","Abril","Maio","Junho","Julho","Agosto","Setembro","Outubro","Novembro","Dezembro"))</f>
        <v/>
      </c>
      <c r="G515" s="64" t="n">
        <v>46069</v>
      </c>
      <c r="H515" s="65" t="n">
        <v>0.01247685185185185</v>
      </c>
      <c r="I515" s="66" t="inlineStr">
        <is>
          <t>https://docs.google.com/spreadsheets/d/1ZiCGoPjLCjuYvujDTXK9Ixbth3tekiLtFBzBrGjPCr4/edit?gid=0#gid=0</t>
        </is>
      </c>
      <c r="J515" s="67" t="inlineStr">
        <is>
          <t>Viagem Calculada Incorretamente - [VCI]</t>
        </is>
      </c>
      <c r="K515" s="67" t="inlineStr"/>
      <c r="L515" s="68" t="b">
        <v>0</v>
      </c>
      <c r="M515" s="20" t="n"/>
      <c r="N515" s="69">
        <f>IF($J515="","",IFERROR(INDEX(B!$F$2:$F$61,MATCH($J515,B!$E$2:$E$61,0))&amp;"",""))</f>
        <v/>
      </c>
      <c r="O515" s="69">
        <f>IF($J515="","",IFERROR(INDEX(B!$G$2:$G$61,MATCH($J515,B!$E$2:$E$61,0))&amp;"",""))</f>
        <v/>
      </c>
      <c r="P515" s="69">
        <f>IF($J515="","",IFERROR(INDEX(B!$H$2:$H$61,MATCH($J515,B!$E$2:$E$61,0))&amp;"",""))</f>
        <v/>
      </c>
      <c r="Q515" s="69">
        <f>IF($J515="","",IFERROR(INDEX(B!$I$2:$I$61,MATCH($J515,B!$E$2:$E$61,0))&amp;"",""))</f>
        <v/>
      </c>
      <c r="R515" s="69">
        <f>IF($J515="","",IFERROR(INDEX(B!$J$2:$J$61,MATCH($J515,B!$E$2:$E$61,0))&amp;"",""))</f>
        <v/>
      </c>
      <c r="S515" s="69">
        <f>IF($J515="","",IFERROR(INDEX(B!$K$2:$K$61,MATCH($J515,B!$E$2:$E$61,0))&amp;"",""))</f>
        <v/>
      </c>
      <c r="T515" s="69">
        <f>IF($J515="","",IFERROR(INDEX(B!$L$2:$L$61,MATCH($J515,B!$E$2:$E$61,0))&amp;"",""))</f>
        <v/>
      </c>
      <c r="U515" s="20" t="n"/>
      <c r="V515" s="70">
        <f>IF($J515="","",IFERROR(INDEX(B!$M$2:$M$61,MATCH($J515,B!$E$2:$E$61,0))&amp;"",""))</f>
        <v/>
      </c>
      <c r="W515" s="71">
        <f>IF(I515="","",IFERROR(MID(I515,FIND("/d/",I515)+3,FIND("/edit",I515)-FIND("/d/",I515)-3),I515))</f>
        <v/>
      </c>
      <c r="X515" s="71">
        <f>IF($J515="","",IFERROR(INDEX(B!$C$2:$C$61,MATCH($J515,B!$E$2:$E$61,0))&amp;"",""))</f>
        <v/>
      </c>
      <c r="Y515" s="20" t="n"/>
      <c r="Z515" s="72">
        <f>IF($J515="",FALSE,ISNUMBER(SEARCH("scout",$K515)))</f>
        <v/>
      </c>
      <c r="AA515" s="72">
        <f>IF($J515="",FALSE,IFERROR(INDEX(B!$N$2:$N$61,MATCH($J515,B!$E$2:$E$61,0))="Sim",FALSE))</f>
        <v/>
      </c>
      <c r="AB515" s="72">
        <f>IF($J515="",FALSE,LEFT($X515,2)="XX")</f>
        <v/>
      </c>
      <c r="AC515" s="72">
        <f>IF($J515="",FALSE,IFERROR(INDEX(B!$P$2:$P$61,MATCH($J515,B!$E$2:$E$61,0))="Sim",FALSE))</f>
        <v/>
      </c>
      <c r="AD515" s="20" t="n"/>
      <c r="AE515" s="52">
        <f>IF(H515="","",HOUR(H515))</f>
        <v/>
      </c>
      <c r="AF515" s="52" t="n"/>
    </row>
    <row r="516" ht="19.5" customHeight="1" s="58">
      <c r="A516" s="62">
        <f>IF(G516="","",IF(G516=G515,"",COUNTIF($G$3:$G$976,G516)))</f>
        <v/>
      </c>
      <c r="B516" s="20" t="n"/>
      <c r="C516" s="63">
        <f>IF(G516="","",DAY(G516))</f>
        <v/>
      </c>
      <c r="D516" s="63">
        <f>IF(G516="","",MONTH(G516))</f>
        <v/>
      </c>
      <c r="E516" s="63">
        <f>IF(G516="","",YEAR(G516))</f>
        <v/>
      </c>
      <c r="F516" s="33">
        <f>IF(G516="","",CHOOSE(MONTH(G516),"Janeiro","Fevereiro","Março","Abril","Maio","Junho","Julho","Agosto","Setembro","Outubro","Novembro","Dezembro"))</f>
        <v/>
      </c>
      <c r="G516" s="64" t="n">
        <v>46069</v>
      </c>
      <c r="H516" s="65" t="n">
        <v>0.01982638888888889</v>
      </c>
      <c r="I516" s="66" t="inlineStr">
        <is>
          <t>https://docs.google.com/spreadsheets/d/1ZiCGoPjLCjuYvujDTXK9Ixbth3tekiLtFBzBrGjPCr4/edit?gid=0#gid=0</t>
        </is>
      </c>
      <c r="J516" s="67" t="inlineStr">
        <is>
          <t>Outros Valores Retidos (Pedágio, Cartão, Taxa de Cancelamento...) - [OTV]</t>
        </is>
      </c>
      <c r="K516" s="67" t="inlineStr"/>
      <c r="L516" s="68" t="b">
        <v>0</v>
      </c>
      <c r="M516" s="20" t="n"/>
      <c r="N516" s="69">
        <f>IF($J516="","",IFERROR(INDEX(B!$F$2:$F$61,MATCH($J516,B!$E$2:$E$61,0))&amp;"",""))</f>
        <v/>
      </c>
      <c r="O516" s="69">
        <f>IF($J516="","",IFERROR(INDEX(B!$G$2:$G$61,MATCH($J516,B!$E$2:$E$61,0))&amp;"",""))</f>
        <v/>
      </c>
      <c r="P516" s="69">
        <f>IF($J516="","",IFERROR(INDEX(B!$H$2:$H$61,MATCH($J516,B!$E$2:$E$61,0))&amp;"",""))</f>
        <v/>
      </c>
      <c r="Q516" s="69">
        <f>IF($J516="","",IFERROR(INDEX(B!$I$2:$I$61,MATCH($J516,B!$E$2:$E$61,0))&amp;"",""))</f>
        <v/>
      </c>
      <c r="R516" s="69">
        <f>IF($J516="","",IFERROR(INDEX(B!$J$2:$J$61,MATCH($J516,B!$E$2:$E$61,0))&amp;"",""))</f>
        <v/>
      </c>
      <c r="S516" s="69">
        <f>IF($J516="","",IFERROR(INDEX(B!$K$2:$K$61,MATCH($J516,B!$E$2:$E$61,0))&amp;"",""))</f>
        <v/>
      </c>
      <c r="T516" s="69">
        <f>IF($J516="","",IFERROR(INDEX(B!$L$2:$L$61,MATCH($J516,B!$E$2:$E$61,0))&amp;"",""))</f>
        <v/>
      </c>
      <c r="U516" s="20" t="n"/>
      <c r="V516" s="70">
        <f>IF($J516="","",IFERROR(INDEX(B!$M$2:$M$61,MATCH($J516,B!$E$2:$E$61,0))&amp;"",""))</f>
        <v/>
      </c>
      <c r="W516" s="71">
        <f>IF(I516="","",IFERROR(MID(I516,FIND("/d/",I516)+3,FIND("/edit",I516)-FIND("/d/",I516)-3),I516))</f>
        <v/>
      </c>
      <c r="X516" s="71">
        <f>IF($J516="","",IFERROR(INDEX(B!$C$2:$C$61,MATCH($J516,B!$E$2:$E$61,0))&amp;"",""))</f>
        <v/>
      </c>
      <c r="Y516" s="20" t="n"/>
      <c r="Z516" s="72">
        <f>IF($J516="",FALSE,ISNUMBER(SEARCH("scout",$K516)))</f>
        <v/>
      </c>
      <c r="AA516" s="72">
        <f>IF($J516="",FALSE,IFERROR(INDEX(B!$N$2:$N$61,MATCH($J516,B!$E$2:$E$61,0))="Sim",FALSE))</f>
        <v/>
      </c>
      <c r="AB516" s="72">
        <f>IF($J516="",FALSE,LEFT($X516,2)="XX")</f>
        <v/>
      </c>
      <c r="AC516" s="72">
        <f>IF($J516="",FALSE,IFERROR(INDEX(B!$P$2:$P$61,MATCH($J516,B!$E$2:$E$61,0))="Sim",FALSE))</f>
        <v/>
      </c>
      <c r="AD516" s="20" t="n"/>
      <c r="AE516" s="52">
        <f>IF(H516="","",HOUR(H516))</f>
        <v/>
      </c>
      <c r="AF516" s="52" t="n"/>
    </row>
    <row r="517" ht="19.5" customHeight="1" s="58">
      <c r="A517" s="62">
        <f>IF(G517="","",IF(G517=G516,"",COUNTIF($G$3:$G$976,G517)))</f>
        <v/>
      </c>
      <c r="B517" s="20" t="n"/>
      <c r="C517" s="63">
        <f>IF(G517="","",DAY(G517))</f>
        <v/>
      </c>
      <c r="D517" s="63">
        <f>IF(G517="","",MONTH(G517))</f>
        <v/>
      </c>
      <c r="E517" s="63">
        <f>IF(G517="","",YEAR(G517))</f>
        <v/>
      </c>
      <c r="F517" s="33">
        <f>IF(G517="","",CHOOSE(MONTH(G517),"Janeiro","Fevereiro","Março","Abril","Maio","Junho","Julho","Agosto","Setembro","Outubro","Novembro","Dezembro"))</f>
        <v/>
      </c>
      <c r="G517" s="64" t="n">
        <v>46069</v>
      </c>
      <c r="H517" s="65" t="n">
        <v>0.02798611111111111</v>
      </c>
      <c r="I517" s="66" t="inlineStr">
        <is>
          <t>https://docs.google.com/spreadsheets/d/1ZiCGoPjLCjuYvujDTXK9Ixbth3tekiLtFBzBrGjPCr4/edit?gid=0#gid=0</t>
        </is>
      </c>
      <c r="J517" s="67" t="inlineStr">
        <is>
          <t>Transferência de LOB (Safety) - [TIST]</t>
        </is>
      </c>
      <c r="K517" s="67" t="inlineStr"/>
      <c r="L517" s="68" t="b">
        <v>0</v>
      </c>
      <c r="M517" s="20" t="n"/>
      <c r="N517" s="69">
        <f>IF($J517="","",IFERROR(INDEX(B!$F$2:$F$61,MATCH($J517,B!$E$2:$E$61,0))&amp;"",""))</f>
        <v/>
      </c>
      <c r="O517" s="69">
        <f>IF($J517="","",IFERROR(INDEX(B!$G$2:$G$61,MATCH($J517,B!$E$2:$E$61,0))&amp;"",""))</f>
        <v/>
      </c>
      <c r="P517" s="69">
        <f>IF($J517="","",IFERROR(INDEX(B!$H$2:$H$61,MATCH($J517,B!$E$2:$E$61,0))&amp;"",""))</f>
        <v/>
      </c>
      <c r="Q517" s="69">
        <f>IF($J517="","",IFERROR(INDEX(B!$I$2:$I$61,MATCH($J517,B!$E$2:$E$61,0))&amp;"",""))</f>
        <v/>
      </c>
      <c r="R517" s="69">
        <f>IF($J517="","",IFERROR(INDEX(B!$J$2:$J$61,MATCH($J517,B!$E$2:$E$61,0))&amp;"",""))</f>
        <v/>
      </c>
      <c r="S517" s="69">
        <f>IF($J517="","",IFERROR(INDEX(B!$K$2:$K$61,MATCH($J517,B!$E$2:$E$61,0))&amp;"",""))</f>
        <v/>
      </c>
      <c r="T517" s="69">
        <f>IF($J517="","",IFERROR(INDEX(B!$L$2:$L$61,MATCH($J517,B!$E$2:$E$61,0))&amp;"",""))</f>
        <v/>
      </c>
      <c r="U517" s="20" t="n"/>
      <c r="V517" s="70">
        <f>IF($J517="","",IFERROR(INDEX(B!$M$2:$M$61,MATCH($J517,B!$E$2:$E$61,0))&amp;"",""))</f>
        <v/>
      </c>
      <c r="W517" s="71">
        <f>IF(I517="","",IFERROR(MID(I517,FIND("/d/",I517)+3,FIND("/edit",I517)-FIND("/d/",I517)-3),I517))</f>
        <v/>
      </c>
      <c r="X517" s="71">
        <f>IF($J517="","",IFERROR(INDEX(B!$C$2:$C$61,MATCH($J517,B!$E$2:$E$61,0))&amp;"",""))</f>
        <v/>
      </c>
      <c r="Y517" s="20" t="n"/>
      <c r="Z517" s="72">
        <f>IF($J517="",FALSE,ISNUMBER(SEARCH("scout",$K517)))</f>
        <v/>
      </c>
      <c r="AA517" s="72">
        <f>IF($J517="",FALSE,IFERROR(INDEX(B!$N$2:$N$61,MATCH($J517,B!$E$2:$E$61,0))="Sim",FALSE))</f>
        <v/>
      </c>
      <c r="AB517" s="72">
        <f>IF($J517="",FALSE,LEFT($X517,2)="XX")</f>
        <v/>
      </c>
      <c r="AC517" s="72">
        <f>IF($J517="",FALSE,IFERROR(INDEX(B!$P$2:$P$61,MATCH($J517,B!$E$2:$E$61,0))="Sim",FALSE))</f>
        <v/>
      </c>
      <c r="AD517" s="20" t="n"/>
      <c r="AE517" s="52">
        <f>IF(H517="","",HOUR(H517))</f>
        <v/>
      </c>
      <c r="AF517" s="52" t="n"/>
    </row>
    <row r="518" ht="19.5" customHeight="1" s="58">
      <c r="A518" s="62">
        <f>IF(G518="","",IF(G518=G517,"",COUNTIF($G$3:$G$976,G518)))</f>
        <v/>
      </c>
      <c r="B518" s="20" t="n"/>
      <c r="C518" s="63">
        <f>IF(G518="","",DAY(G518))</f>
        <v/>
      </c>
      <c r="D518" s="63">
        <f>IF(G518="","",MONTH(G518))</f>
        <v/>
      </c>
      <c r="E518" s="63">
        <f>IF(G518="","",YEAR(G518))</f>
        <v/>
      </c>
      <c r="F518" s="33">
        <f>IF(G518="","",CHOOSE(MONTH(G518),"Janeiro","Fevereiro","Março","Abril","Maio","Junho","Julho","Agosto","Setembro","Outubro","Novembro","Dezembro"))</f>
        <v/>
      </c>
      <c r="G518" s="64" t="n">
        <v>46069</v>
      </c>
      <c r="H518" s="65" t="n">
        <v>0.03133101851851852</v>
      </c>
      <c r="I518" s="66" t="inlineStr">
        <is>
          <t>https://docs.google.com/spreadsheets/d/1ZiCGoPjLCjuYvujDTXK9Ixbth3tekiLtFBzBrGjPCr4/edit?gid=0#gid=0</t>
        </is>
      </c>
      <c r="J518" s="67" t="inlineStr">
        <is>
          <t>Pushback (Agradecimento) - [XXA]</t>
        </is>
      </c>
      <c r="K518" s="67" t="inlineStr"/>
      <c r="L518" s="68" t="b">
        <v>0</v>
      </c>
      <c r="M518" s="20" t="n"/>
      <c r="N518" s="69">
        <f>IF($J518="","",IFERROR(INDEX(B!$F$2:$F$61,MATCH($J518,B!$E$2:$E$61,0))&amp;"",""))</f>
        <v/>
      </c>
      <c r="O518" s="69">
        <f>IF($J518="","",IFERROR(INDEX(B!$G$2:$G$61,MATCH($J518,B!$E$2:$E$61,0))&amp;"",""))</f>
        <v/>
      </c>
      <c r="P518" s="69">
        <f>IF($J518="","",IFERROR(INDEX(B!$H$2:$H$61,MATCH($J518,B!$E$2:$E$61,0))&amp;"",""))</f>
        <v/>
      </c>
      <c r="Q518" s="69">
        <f>IF($J518="","",IFERROR(INDEX(B!$I$2:$I$61,MATCH($J518,B!$E$2:$E$61,0))&amp;"",""))</f>
        <v/>
      </c>
      <c r="R518" s="69">
        <f>IF($J518="","",IFERROR(INDEX(B!$J$2:$J$61,MATCH($J518,B!$E$2:$E$61,0))&amp;"",""))</f>
        <v/>
      </c>
      <c r="S518" s="69">
        <f>IF($J518="","",IFERROR(INDEX(B!$K$2:$K$61,MATCH($J518,B!$E$2:$E$61,0))&amp;"",""))</f>
        <v/>
      </c>
      <c r="T518" s="69">
        <f>IF($J518="","",IFERROR(INDEX(B!$L$2:$L$61,MATCH($J518,B!$E$2:$E$61,0))&amp;"",""))</f>
        <v/>
      </c>
      <c r="U518" s="20" t="n"/>
      <c r="V518" s="70">
        <f>IF($J518="","",IFERROR(INDEX(B!$M$2:$M$61,MATCH($J518,B!$E$2:$E$61,0))&amp;"",""))</f>
        <v/>
      </c>
      <c r="W518" s="71">
        <f>IF(I518="","",IFERROR(MID(I518,FIND("/d/",I518)+3,FIND("/edit",I518)-FIND("/d/",I518)-3),I518))</f>
        <v/>
      </c>
      <c r="X518" s="71">
        <f>IF($J518="","",IFERROR(INDEX(B!$C$2:$C$61,MATCH($J518,B!$E$2:$E$61,0))&amp;"",""))</f>
        <v/>
      </c>
      <c r="Y518" s="20" t="n"/>
      <c r="Z518" s="72">
        <f>IF($J518="",FALSE,ISNUMBER(SEARCH("scout",$K518)))</f>
        <v/>
      </c>
      <c r="AA518" s="72">
        <f>IF($J518="",FALSE,IFERROR(INDEX(B!$N$2:$N$61,MATCH($J518,B!$E$2:$E$61,0))="Sim",FALSE))</f>
        <v/>
      </c>
      <c r="AB518" s="72">
        <f>IF($J518="",FALSE,LEFT($X518,2)="XX")</f>
        <v/>
      </c>
      <c r="AC518" s="72">
        <f>IF($J518="",FALSE,IFERROR(INDEX(B!$P$2:$P$61,MATCH($J518,B!$E$2:$E$61,0))="Sim",FALSE))</f>
        <v/>
      </c>
      <c r="AD518" s="20" t="n"/>
      <c r="AE518" s="52">
        <f>IF(H518="","",HOUR(H518))</f>
        <v/>
      </c>
      <c r="AF518" s="52" t="n"/>
    </row>
    <row r="519" ht="19.5" customHeight="1" s="58">
      <c r="A519" s="62">
        <f>IF(G519="","",IF(G519=G518,"",COUNTIF($G$3:$G$976,G519)))</f>
        <v/>
      </c>
      <c r="B519" s="20" t="n"/>
      <c r="C519" s="63">
        <f>IF(G519="","",DAY(G519))</f>
        <v/>
      </c>
      <c r="D519" s="63">
        <f>IF(G519="","",MONTH(G519))</f>
        <v/>
      </c>
      <c r="E519" s="63">
        <f>IF(G519="","",YEAR(G519))</f>
        <v/>
      </c>
      <c r="F519" s="33">
        <f>IF(G519="","",CHOOSE(MONTH(G519),"Janeiro","Fevereiro","Março","Abril","Maio","Junho","Julho","Agosto","Setembro","Outubro","Novembro","Dezembro"))</f>
        <v/>
      </c>
      <c r="G519" s="64" t="n">
        <v>46069</v>
      </c>
      <c r="H519" s="65" t="n">
        <v>0.0388425925925926</v>
      </c>
      <c r="I519" s="66" t="inlineStr">
        <is>
          <t>https://docs.google.com/spreadsheets/d/1ZiCGoPjLCjuYvujDTXK9Ixbth3tekiLtFBzBrGjPCr4/edit?gid=0#gid=0</t>
        </is>
      </c>
      <c r="J519" s="67" t="inlineStr">
        <is>
          <t>Transferência de LOB (Driver) - [TIDV]</t>
        </is>
      </c>
      <c r="K519" s="67" t="inlineStr"/>
      <c r="L519" s="68" t="b">
        <v>0</v>
      </c>
      <c r="M519" s="20" t="n"/>
      <c r="N519" s="69">
        <f>IF($J519="","",IFERROR(INDEX(B!$F$2:$F$61,MATCH($J519,B!$E$2:$E$61,0))&amp;"",""))</f>
        <v/>
      </c>
      <c r="O519" s="69">
        <f>IF($J519="","",IFERROR(INDEX(B!$G$2:$G$61,MATCH($J519,B!$E$2:$E$61,0))&amp;"",""))</f>
        <v/>
      </c>
      <c r="P519" s="69">
        <f>IF($J519="","",IFERROR(INDEX(B!$H$2:$H$61,MATCH($J519,B!$E$2:$E$61,0))&amp;"",""))</f>
        <v/>
      </c>
      <c r="Q519" s="69">
        <f>IF($J519="","",IFERROR(INDEX(B!$I$2:$I$61,MATCH($J519,B!$E$2:$E$61,0))&amp;"",""))</f>
        <v/>
      </c>
      <c r="R519" s="69">
        <f>IF($J519="","",IFERROR(INDEX(B!$J$2:$J$61,MATCH($J519,B!$E$2:$E$61,0))&amp;"",""))</f>
        <v/>
      </c>
      <c r="S519" s="69">
        <f>IF($J519="","",IFERROR(INDEX(B!$K$2:$K$61,MATCH($J519,B!$E$2:$E$61,0))&amp;"",""))</f>
        <v/>
      </c>
      <c r="T519" s="69">
        <f>IF($J519="","",IFERROR(INDEX(B!$L$2:$L$61,MATCH($J519,B!$E$2:$E$61,0))&amp;"",""))</f>
        <v/>
      </c>
      <c r="U519" s="20" t="n"/>
      <c r="V519" s="70">
        <f>IF($J519="","",IFERROR(INDEX(B!$M$2:$M$61,MATCH($J519,B!$E$2:$E$61,0))&amp;"",""))</f>
        <v/>
      </c>
      <c r="W519" s="71">
        <f>IF(I519="","",IFERROR(MID(I519,FIND("/d/",I519)+3,FIND("/edit",I519)-FIND("/d/",I519)-3),I519))</f>
        <v/>
      </c>
      <c r="X519" s="71">
        <f>IF($J519="","",IFERROR(INDEX(B!$C$2:$C$61,MATCH($J519,B!$E$2:$E$61,0))&amp;"",""))</f>
        <v/>
      </c>
      <c r="Y519" s="20" t="n"/>
      <c r="Z519" s="72">
        <f>IF($J519="",FALSE,ISNUMBER(SEARCH("scout",$K519)))</f>
        <v/>
      </c>
      <c r="AA519" s="72">
        <f>IF($J519="",FALSE,IFERROR(INDEX(B!$N$2:$N$61,MATCH($J519,B!$E$2:$E$61,0))="Sim",FALSE))</f>
        <v/>
      </c>
      <c r="AB519" s="72">
        <f>IF($J519="",FALSE,LEFT($X519,2)="XX")</f>
        <v/>
      </c>
      <c r="AC519" s="72">
        <f>IF($J519="",FALSE,IFERROR(INDEX(B!$P$2:$P$61,MATCH($J519,B!$E$2:$E$61,0))="Sim",FALSE))</f>
        <v/>
      </c>
      <c r="AD519" s="20" t="n"/>
      <c r="AE519" s="52">
        <f>IF(H519="","",HOUR(H519))</f>
        <v/>
      </c>
      <c r="AF519" s="52" t="n"/>
    </row>
    <row r="520" ht="19.5" customHeight="1" s="58">
      <c r="A520" s="62">
        <f>IF(G520="","",IF(G520=G519,"",COUNTIF($G$3:$G$976,G520)))</f>
        <v/>
      </c>
      <c r="B520" s="20" t="n"/>
      <c r="C520" s="63">
        <f>IF(G520="","",DAY(G520))</f>
        <v/>
      </c>
      <c r="D520" s="63">
        <f>IF(G520="","",MONTH(G520))</f>
        <v/>
      </c>
      <c r="E520" s="63">
        <f>IF(G520="","",YEAR(G520))</f>
        <v/>
      </c>
      <c r="F520" s="33">
        <f>IF(G520="","",CHOOSE(MONTH(G520),"Janeiro","Fevereiro","Março","Abril","Maio","Junho","Julho","Agosto","Setembro","Outubro","Novembro","Dezembro"))</f>
        <v/>
      </c>
      <c r="G520" s="64" t="n">
        <v>46069</v>
      </c>
      <c r="H520" s="65" t="n">
        <v>0.05289351851851852</v>
      </c>
      <c r="I520" s="66" t="inlineStr">
        <is>
          <t>https://docs.google.com/spreadsheets/d/1ZiCGoPjLCjuYvujDTXK9Ixbth3tekiLtFBzBrGjPCr4/edit?gid=0#gid=0</t>
        </is>
      </c>
      <c r="J520" s="67" t="inlineStr">
        <is>
          <t>Viagem Calculada Incorretamente - [VCI]</t>
        </is>
      </c>
      <c r="K520" s="67" t="inlineStr"/>
      <c r="L520" s="68" t="b">
        <v>1</v>
      </c>
      <c r="M520" s="20" t="n"/>
      <c r="N520" s="69">
        <f>IF($J520="","",IFERROR(INDEX(B!$F$2:$F$61,MATCH($J520,B!$E$2:$E$61,0))&amp;"",""))</f>
        <v/>
      </c>
      <c r="O520" s="69">
        <f>IF($J520="","",IFERROR(INDEX(B!$G$2:$G$61,MATCH($J520,B!$E$2:$E$61,0))&amp;"",""))</f>
        <v/>
      </c>
      <c r="P520" s="69">
        <f>IF($J520="","",IFERROR(INDEX(B!$H$2:$H$61,MATCH($J520,B!$E$2:$E$61,0))&amp;"",""))</f>
        <v/>
      </c>
      <c r="Q520" s="69">
        <f>IF($J520="","",IFERROR(INDEX(B!$I$2:$I$61,MATCH($J520,B!$E$2:$E$61,0))&amp;"",""))</f>
        <v/>
      </c>
      <c r="R520" s="69">
        <f>IF($J520="","",IFERROR(INDEX(B!$J$2:$J$61,MATCH($J520,B!$E$2:$E$61,0))&amp;"",""))</f>
        <v/>
      </c>
      <c r="S520" s="69">
        <f>IF($J520="","",IFERROR(INDEX(B!$K$2:$K$61,MATCH($J520,B!$E$2:$E$61,0))&amp;"",""))</f>
        <v/>
      </c>
      <c r="T520" s="69">
        <f>IF($J520="","",IFERROR(INDEX(B!$L$2:$L$61,MATCH($J520,B!$E$2:$E$61,0))&amp;"",""))</f>
        <v/>
      </c>
      <c r="U520" s="20" t="n"/>
      <c r="V520" s="70">
        <f>IF($J520="","",IFERROR(INDEX(B!$M$2:$M$61,MATCH($J520,B!$E$2:$E$61,0))&amp;"",""))</f>
        <v/>
      </c>
      <c r="W520" s="71">
        <f>IF(I520="","",IFERROR(MID(I520,FIND("/d/",I520)+3,FIND("/edit",I520)-FIND("/d/",I520)-3),I520))</f>
        <v/>
      </c>
      <c r="X520" s="71">
        <f>IF($J520="","",IFERROR(INDEX(B!$C$2:$C$61,MATCH($J520,B!$E$2:$E$61,0))&amp;"",""))</f>
        <v/>
      </c>
      <c r="Y520" s="20" t="n"/>
      <c r="Z520" s="72">
        <f>IF($J520="",FALSE,ISNUMBER(SEARCH("scout",$K520)))</f>
        <v/>
      </c>
      <c r="AA520" s="72">
        <f>IF($J520="",FALSE,IFERROR(INDEX(B!$N$2:$N$61,MATCH($J520,B!$E$2:$E$61,0))="Sim",FALSE))</f>
        <v/>
      </c>
      <c r="AB520" s="72">
        <f>IF($J520="",FALSE,LEFT($X520,2)="XX")</f>
        <v/>
      </c>
      <c r="AC520" s="72">
        <f>IF($J520="",FALSE,IFERROR(INDEX(B!$P$2:$P$61,MATCH($J520,B!$E$2:$E$61,0))="Sim",FALSE))</f>
        <v/>
      </c>
      <c r="AD520" s="20" t="n"/>
      <c r="AE520" s="52">
        <f>IF(H520="","",HOUR(H520))</f>
        <v/>
      </c>
      <c r="AF520" s="52" t="n"/>
    </row>
    <row r="521" ht="19.5" customHeight="1" s="58">
      <c r="A521" s="62">
        <f>IF(G521="","",IF(G521=G520,"",COUNTIF($G$3:$G$976,G521)))</f>
        <v/>
      </c>
      <c r="B521" s="20" t="n"/>
      <c r="C521" s="63">
        <f>IF(G521="","",DAY(G521))</f>
        <v/>
      </c>
      <c r="D521" s="63">
        <f>IF(G521="","",MONTH(G521))</f>
        <v/>
      </c>
      <c r="E521" s="63">
        <f>IF(G521="","",YEAR(G521))</f>
        <v/>
      </c>
      <c r="F521" s="33">
        <f>IF(G521="","",CHOOSE(MONTH(G521),"Janeiro","Fevereiro","Março","Abril","Maio","Junho","Julho","Agosto","Setembro","Outubro","Novembro","Dezembro"))</f>
        <v/>
      </c>
      <c r="G521" s="64" t="n">
        <v>46069</v>
      </c>
      <c r="H521" s="65" t="n">
        <v>0.05597222222222222</v>
      </c>
      <c r="I521" s="66" t="inlineStr">
        <is>
          <t>https://docs.google.com/spreadsheets/d/1ZiCGoPjLCjuYvujDTXK9Ixbth3tekiLtFBzBrGjPCr4/edit?gid=0#gid=0</t>
        </is>
      </c>
      <c r="J521" s="67" t="inlineStr">
        <is>
          <t>Overpaid, Não excede o limite, Sem comprovante - [OPNN]</t>
        </is>
      </c>
      <c r="K521" s="67" t="inlineStr">
        <is>
          <t>Scout</t>
        </is>
      </c>
      <c r="L521" s="68" t="b">
        <v>0</v>
      </c>
      <c r="M521" s="20" t="n"/>
      <c r="N521" s="69">
        <f>IF($J521="","",IFERROR(INDEX(B!$F$2:$F$61,MATCH($J521,B!$E$2:$E$61,0))&amp;"",""))</f>
        <v/>
      </c>
      <c r="O521" s="69">
        <f>IF($J521="","",IFERROR(INDEX(B!$G$2:$G$61,MATCH($J521,B!$E$2:$E$61,0))&amp;"",""))</f>
        <v/>
      </c>
      <c r="P521" s="69">
        <f>IF($J521="","",IFERROR(INDEX(B!$H$2:$H$61,MATCH($J521,B!$E$2:$E$61,0))&amp;"",""))</f>
        <v/>
      </c>
      <c r="Q521" s="69">
        <f>IF($J521="","",IFERROR(INDEX(B!$I$2:$I$61,MATCH($J521,B!$E$2:$E$61,0))&amp;"",""))</f>
        <v/>
      </c>
      <c r="R521" s="69">
        <f>IF($J521="","",IFERROR(INDEX(B!$J$2:$J$61,MATCH($J521,B!$E$2:$E$61,0))&amp;"",""))</f>
        <v/>
      </c>
      <c r="S521" s="69">
        <f>IF($J521="","",IFERROR(INDEX(B!$K$2:$K$61,MATCH($J521,B!$E$2:$E$61,0))&amp;"",""))</f>
        <v/>
      </c>
      <c r="T521" s="69">
        <f>IF($J521="","",IFERROR(INDEX(B!$L$2:$L$61,MATCH($J521,B!$E$2:$E$61,0))&amp;"",""))</f>
        <v/>
      </c>
      <c r="U521" s="20" t="n"/>
      <c r="V521" s="70">
        <f>IF($J521="","",IFERROR(INDEX(B!$M$2:$M$61,MATCH($J521,B!$E$2:$E$61,0))&amp;"",""))</f>
        <v/>
      </c>
      <c r="W521" s="71">
        <f>IF(I521="","",IFERROR(MID(I521,FIND("/d/",I521)+3,FIND("/edit",I521)-FIND("/d/",I521)-3),I521))</f>
        <v/>
      </c>
      <c r="X521" s="71">
        <f>IF($J521="","",IFERROR(INDEX(B!$C$2:$C$61,MATCH($J521,B!$E$2:$E$61,0))&amp;"",""))</f>
        <v/>
      </c>
      <c r="Y521" s="20" t="n"/>
      <c r="Z521" s="72">
        <f>IF($J521="",FALSE,ISNUMBER(SEARCH("scout",$K521)))</f>
        <v/>
      </c>
      <c r="AA521" s="72">
        <f>IF($J521="",FALSE,IFERROR(INDEX(B!$N$2:$N$61,MATCH($J521,B!$E$2:$E$61,0))="Sim",FALSE))</f>
        <v/>
      </c>
      <c r="AB521" s="72">
        <f>IF($J521="",FALSE,LEFT($X521,2)="XX")</f>
        <v/>
      </c>
      <c r="AC521" s="72">
        <f>IF($J521="",FALSE,IFERROR(INDEX(B!$P$2:$P$61,MATCH($J521,B!$E$2:$E$61,0))="Sim",FALSE))</f>
        <v/>
      </c>
      <c r="AD521" s="20" t="n"/>
      <c r="AE521" s="52">
        <f>IF(H521="","",HOUR(H521))</f>
        <v/>
      </c>
      <c r="AF521" s="52" t="n"/>
    </row>
    <row r="522" ht="19.5" customHeight="1" s="58">
      <c r="A522" s="62">
        <f>IF(G522="","",IF(G522=G521,"",COUNTIF($G$3:$G$976,G522)))</f>
        <v/>
      </c>
      <c r="B522" s="20" t="n"/>
      <c r="C522" s="63">
        <f>IF(G522="","",DAY(G522))</f>
        <v/>
      </c>
      <c r="D522" s="63">
        <f>IF(G522="","",MONTH(G522))</f>
        <v/>
      </c>
      <c r="E522" s="63">
        <f>IF(G522="","",YEAR(G522))</f>
        <v/>
      </c>
      <c r="F522" s="33">
        <f>IF(G522="","",CHOOSE(MONTH(G522),"Janeiro","Fevereiro","Março","Abril","Maio","Junho","Julho","Agosto","Setembro","Outubro","Novembro","Dezembro"))</f>
        <v/>
      </c>
      <c r="G522" s="64" t="n">
        <v>46069</v>
      </c>
      <c r="H522" s="65" t="n">
        <v>0.09395833333333334</v>
      </c>
      <c r="I522" s="66" t="inlineStr">
        <is>
          <t>https://docs.google.com/spreadsheets/d/1ZiCGoPjLCjuYvujDTXK9Ixbth3tekiLtFBzBrGjPCr4/edit?gid=0#gid=0</t>
        </is>
      </c>
      <c r="J522" s="67" t="inlineStr">
        <is>
          <t>Trajeto Ruim - [TR]</t>
        </is>
      </c>
      <c r="K522" s="67" t="inlineStr">
        <is>
          <t>Scout</t>
        </is>
      </c>
      <c r="L522" s="68" t="b">
        <v>1</v>
      </c>
      <c r="M522" s="20" t="n"/>
      <c r="N522" s="69">
        <f>IF($J522="","",IFERROR(INDEX(B!$F$2:$F$61,MATCH($J522,B!$E$2:$E$61,0))&amp;"",""))</f>
        <v/>
      </c>
      <c r="O522" s="69">
        <f>IF($J522="","",IFERROR(INDEX(B!$G$2:$G$61,MATCH($J522,B!$E$2:$E$61,0))&amp;"",""))</f>
        <v/>
      </c>
      <c r="P522" s="69">
        <f>IF($J522="","",IFERROR(INDEX(B!$H$2:$H$61,MATCH($J522,B!$E$2:$E$61,0))&amp;"",""))</f>
        <v/>
      </c>
      <c r="Q522" s="69">
        <f>IF($J522="","",IFERROR(INDEX(B!$I$2:$I$61,MATCH($J522,B!$E$2:$E$61,0))&amp;"",""))</f>
        <v/>
      </c>
      <c r="R522" s="69">
        <f>IF($J522="","",IFERROR(INDEX(B!$J$2:$J$61,MATCH($J522,B!$E$2:$E$61,0))&amp;"",""))</f>
        <v/>
      </c>
      <c r="S522" s="69">
        <f>IF($J522="","",IFERROR(INDEX(B!$K$2:$K$61,MATCH($J522,B!$E$2:$E$61,0))&amp;"",""))</f>
        <v/>
      </c>
      <c r="T522" s="69">
        <f>IF($J522="","",IFERROR(INDEX(B!$L$2:$L$61,MATCH($J522,B!$E$2:$E$61,0))&amp;"",""))</f>
        <v/>
      </c>
      <c r="U522" s="20" t="n"/>
      <c r="V522" s="70">
        <f>IF($J522="","",IFERROR(INDEX(B!$M$2:$M$61,MATCH($J522,B!$E$2:$E$61,0))&amp;"",""))</f>
        <v/>
      </c>
      <c r="W522" s="71">
        <f>IF(I522="","",IFERROR(MID(I522,FIND("/d/",I522)+3,FIND("/edit",I522)-FIND("/d/",I522)-3),I522))</f>
        <v/>
      </c>
      <c r="X522" s="71">
        <f>IF($J522="","",IFERROR(INDEX(B!$C$2:$C$61,MATCH($J522,B!$E$2:$E$61,0))&amp;"",""))</f>
        <v/>
      </c>
      <c r="Y522" s="20" t="n"/>
      <c r="Z522" s="72">
        <f>IF($J522="",FALSE,ISNUMBER(SEARCH("scout",$K522)))</f>
        <v/>
      </c>
      <c r="AA522" s="72">
        <f>IF($J522="",FALSE,IFERROR(INDEX(B!$N$2:$N$61,MATCH($J522,B!$E$2:$E$61,0))="Sim",FALSE))</f>
        <v/>
      </c>
      <c r="AB522" s="72">
        <f>IF($J522="",FALSE,LEFT($X522,2)="XX")</f>
        <v/>
      </c>
      <c r="AC522" s="72">
        <f>IF($J522="",FALSE,IFERROR(INDEX(B!$P$2:$P$61,MATCH($J522,B!$E$2:$E$61,0))="Sim",FALSE))</f>
        <v/>
      </c>
      <c r="AD522" s="20" t="n"/>
      <c r="AE522" s="52">
        <f>IF(H522="","",HOUR(H522))</f>
        <v/>
      </c>
      <c r="AF522" s="52" t="n"/>
    </row>
    <row r="523" ht="19.5" customHeight="1" s="58">
      <c r="A523" s="62">
        <f>IF(G523="","",IF(G523=G522,"",COUNTIF($G$3:$G$976,G523)))</f>
        <v/>
      </c>
      <c r="B523" s="20" t="n"/>
      <c r="C523" s="63">
        <f>IF(G523="","",DAY(G523))</f>
        <v/>
      </c>
      <c r="D523" s="63">
        <f>IF(G523="","",MONTH(G523))</f>
        <v/>
      </c>
      <c r="E523" s="63">
        <f>IF(G523="","",YEAR(G523))</f>
        <v/>
      </c>
      <c r="F523" s="33">
        <f>IF(G523="","",CHOOSE(MONTH(G523),"Janeiro","Fevereiro","Março","Abril","Maio","Junho","Julho","Agosto","Setembro","Outubro","Novembro","Dezembro"))</f>
        <v/>
      </c>
      <c r="G523" s="64" t="n">
        <v>46069</v>
      </c>
      <c r="H523" s="65" t="n">
        <v>0.09422453703703704</v>
      </c>
      <c r="I523" s="66" t="inlineStr">
        <is>
          <t>https://docs.google.com/spreadsheets/d/1ZiCGoPjLCjuYvujDTXK9Ixbth3tekiLtFBzBrGjPCr4/edit?gid=0#gid=0</t>
        </is>
      </c>
      <c r="J523" s="67" t="inlineStr">
        <is>
          <t>Transferência de LOB (Geral não especificado) - [TI]</t>
        </is>
      </c>
      <c r="K523" s="67" t="inlineStr"/>
      <c r="L523" s="68" t="b">
        <v>0</v>
      </c>
      <c r="M523" s="20" t="n"/>
      <c r="N523" s="69">
        <f>IF($J523="","",IFERROR(INDEX(B!$F$2:$F$61,MATCH($J523,B!$E$2:$E$61,0))&amp;"",""))</f>
        <v/>
      </c>
      <c r="O523" s="69">
        <f>IF($J523="","",IFERROR(INDEX(B!$G$2:$G$61,MATCH($J523,B!$E$2:$E$61,0))&amp;"",""))</f>
        <v/>
      </c>
      <c r="P523" s="69">
        <f>IF($J523="","",IFERROR(INDEX(B!$H$2:$H$61,MATCH($J523,B!$E$2:$E$61,0))&amp;"",""))</f>
        <v/>
      </c>
      <c r="Q523" s="69">
        <f>IF($J523="","",IFERROR(INDEX(B!$I$2:$I$61,MATCH($J523,B!$E$2:$E$61,0))&amp;"",""))</f>
        <v/>
      </c>
      <c r="R523" s="69">
        <f>IF($J523="","",IFERROR(INDEX(B!$J$2:$J$61,MATCH($J523,B!$E$2:$E$61,0))&amp;"",""))</f>
        <v/>
      </c>
      <c r="S523" s="69">
        <f>IF($J523="","",IFERROR(INDEX(B!$K$2:$K$61,MATCH($J523,B!$E$2:$E$61,0))&amp;"",""))</f>
        <v/>
      </c>
      <c r="T523" s="69">
        <f>IF($J523="","",IFERROR(INDEX(B!$L$2:$L$61,MATCH($J523,B!$E$2:$E$61,0))&amp;"",""))</f>
        <v/>
      </c>
      <c r="U523" s="20" t="n"/>
      <c r="V523" s="70">
        <f>IF($J523="","",IFERROR(INDEX(B!$M$2:$M$61,MATCH($J523,B!$E$2:$E$61,0))&amp;"",""))</f>
        <v/>
      </c>
      <c r="W523" s="71">
        <f>IF(I523="","",IFERROR(MID(I523,FIND("/d/",I523)+3,FIND("/edit",I523)-FIND("/d/",I523)-3),I523))</f>
        <v/>
      </c>
      <c r="X523" s="71">
        <f>IF($J523="","",IFERROR(INDEX(B!$C$2:$C$61,MATCH($J523,B!$E$2:$E$61,0))&amp;"",""))</f>
        <v/>
      </c>
      <c r="Y523" s="20" t="n"/>
      <c r="Z523" s="72">
        <f>IF($J523="",FALSE,ISNUMBER(SEARCH("scout",$K523)))</f>
        <v/>
      </c>
      <c r="AA523" s="72">
        <f>IF($J523="",FALSE,IFERROR(INDEX(B!$N$2:$N$61,MATCH($J523,B!$E$2:$E$61,0))="Sim",FALSE))</f>
        <v/>
      </c>
      <c r="AB523" s="72">
        <f>IF($J523="",FALSE,LEFT($X523,2)="XX")</f>
        <v/>
      </c>
      <c r="AC523" s="72">
        <f>IF($J523="",FALSE,IFERROR(INDEX(B!$P$2:$P$61,MATCH($J523,B!$E$2:$E$61,0))="Sim",FALSE))</f>
        <v/>
      </c>
      <c r="AD523" s="20" t="n"/>
      <c r="AE523" s="52">
        <f>IF(H523="","",HOUR(H523))</f>
        <v/>
      </c>
      <c r="AF523" s="52" t="n"/>
    </row>
    <row r="524" ht="19.5" customHeight="1" s="58">
      <c r="A524" s="62">
        <f>IF(G524="","",IF(G524=G523,"",COUNTIF($G$3:$G$976,G524)))</f>
        <v/>
      </c>
      <c r="B524" s="20" t="n"/>
      <c r="C524" s="63">
        <f>IF(G524="","",DAY(G524))</f>
        <v/>
      </c>
      <c r="D524" s="63">
        <f>IF(G524="","",MONTH(G524))</f>
        <v/>
      </c>
      <c r="E524" s="63">
        <f>IF(G524="","",YEAR(G524))</f>
        <v/>
      </c>
      <c r="F524" s="33">
        <f>IF(G524="","",CHOOSE(MONTH(G524),"Janeiro","Fevereiro","Março","Abril","Maio","Junho","Julho","Agosto","Setembro","Outubro","Novembro","Dezembro"))</f>
        <v/>
      </c>
      <c r="G524" s="64" t="n">
        <v>46069</v>
      </c>
      <c r="H524" s="65" t="n">
        <v>0.0974074074074074</v>
      </c>
      <c r="I524" s="66" t="inlineStr">
        <is>
          <t>https://docs.google.com/spreadsheets/d/1ZiCGoPjLCjuYvujDTXK9Ixbth3tekiLtFBzBrGjPCr4/edit?gid=0#gid=0</t>
        </is>
      </c>
      <c r="J524" s="67" t="inlineStr">
        <is>
          <t>Trajeto Ruim - [TR]</t>
        </is>
      </c>
      <c r="K524" s="67" t="inlineStr"/>
      <c r="L524" s="68" t="b">
        <v>0</v>
      </c>
      <c r="M524" s="20" t="n"/>
      <c r="N524" s="69">
        <f>IF($J524="","",IFERROR(INDEX(B!$F$2:$F$61,MATCH($J524,B!$E$2:$E$61,0))&amp;"",""))</f>
        <v/>
      </c>
      <c r="O524" s="69">
        <f>IF($J524="","",IFERROR(INDEX(B!$G$2:$G$61,MATCH($J524,B!$E$2:$E$61,0))&amp;"",""))</f>
        <v/>
      </c>
      <c r="P524" s="69">
        <f>IF($J524="","",IFERROR(INDEX(B!$H$2:$H$61,MATCH($J524,B!$E$2:$E$61,0))&amp;"",""))</f>
        <v/>
      </c>
      <c r="Q524" s="69">
        <f>IF($J524="","",IFERROR(INDEX(B!$I$2:$I$61,MATCH($J524,B!$E$2:$E$61,0))&amp;"",""))</f>
        <v/>
      </c>
      <c r="R524" s="69">
        <f>IF($J524="","",IFERROR(INDEX(B!$J$2:$J$61,MATCH($J524,B!$E$2:$E$61,0))&amp;"",""))</f>
        <v/>
      </c>
      <c r="S524" s="69">
        <f>IF($J524="","",IFERROR(INDEX(B!$K$2:$K$61,MATCH($J524,B!$E$2:$E$61,0))&amp;"",""))</f>
        <v/>
      </c>
      <c r="T524" s="69">
        <f>IF($J524="","",IFERROR(INDEX(B!$L$2:$L$61,MATCH($J524,B!$E$2:$E$61,0))&amp;"",""))</f>
        <v/>
      </c>
      <c r="U524" s="20" t="n"/>
      <c r="V524" s="70">
        <f>IF($J524="","",IFERROR(INDEX(B!$M$2:$M$61,MATCH($J524,B!$E$2:$E$61,0))&amp;"",""))</f>
        <v/>
      </c>
      <c r="W524" s="71">
        <f>IF(I524="","",IFERROR(MID(I524,FIND("/d/",I524)+3,FIND("/edit",I524)-FIND("/d/",I524)-3),I524))</f>
        <v/>
      </c>
      <c r="X524" s="71">
        <f>IF($J524="","",IFERROR(INDEX(B!$C$2:$C$61,MATCH($J524,B!$E$2:$E$61,0))&amp;"",""))</f>
        <v/>
      </c>
      <c r="Y524" s="20" t="n"/>
      <c r="Z524" s="72">
        <f>IF($J524="",FALSE,ISNUMBER(SEARCH("scout",$K524)))</f>
        <v/>
      </c>
      <c r="AA524" s="72">
        <f>IF($J524="",FALSE,IFERROR(INDEX(B!$N$2:$N$61,MATCH($J524,B!$E$2:$E$61,0))="Sim",FALSE))</f>
        <v/>
      </c>
      <c r="AB524" s="72">
        <f>IF($J524="",FALSE,LEFT($X524,2)="XX")</f>
        <v/>
      </c>
      <c r="AC524" s="72">
        <f>IF($J524="",FALSE,IFERROR(INDEX(B!$P$2:$P$61,MATCH($J524,B!$E$2:$E$61,0))="Sim",FALSE))</f>
        <v/>
      </c>
      <c r="AD524" s="20" t="n"/>
      <c r="AE524" s="52">
        <f>IF(H524="","",HOUR(H524))</f>
        <v/>
      </c>
      <c r="AF524" s="52" t="n"/>
    </row>
    <row r="525" ht="19.5" customHeight="1" s="58">
      <c r="A525" s="62">
        <f>IF(G525="","",IF(G525=G524,"",COUNTIF($G$3:$G$976,G525)))</f>
        <v/>
      </c>
      <c r="B525" s="20" t="n"/>
      <c r="C525" s="63">
        <f>IF(G525="","",DAY(G525))</f>
        <v/>
      </c>
      <c r="D525" s="63">
        <f>IF(G525="","",MONTH(G525))</f>
        <v/>
      </c>
      <c r="E525" s="63">
        <f>IF(G525="","",YEAR(G525))</f>
        <v/>
      </c>
      <c r="F525" s="33">
        <f>IF(G525="","",CHOOSE(MONTH(G525),"Janeiro","Fevereiro","Março","Abril","Maio","Junho","Julho","Agosto","Setembro","Outubro","Novembro","Dezembro"))</f>
        <v/>
      </c>
      <c r="G525" s="64" t="n">
        <v>46070</v>
      </c>
      <c r="H525" s="65" t="n">
        <v>0.0005787037037037037</v>
      </c>
      <c r="I525" s="66" t="inlineStr">
        <is>
          <t>https://docs.google.com/spreadsheets/d/1ZiCGoPjLCjuYvujDTXK9Ixbth3tekiLtFBzBrGjPCr4/edit?gid=0#gid=0</t>
        </is>
      </c>
      <c r="J525" s="67" t="inlineStr">
        <is>
          <t>Trajeto Ruim - [TR]</t>
        </is>
      </c>
      <c r="K525" s="67" t="inlineStr"/>
      <c r="L525" s="68" t="b">
        <v>0</v>
      </c>
      <c r="M525" s="20" t="n"/>
      <c r="N525" s="69">
        <f>IF($J525="","",IFERROR(INDEX(B!$F$2:$F$61,MATCH($J525,B!$E$2:$E$61,0))&amp;"",""))</f>
        <v/>
      </c>
      <c r="O525" s="69">
        <f>IF($J525="","",IFERROR(INDEX(B!$G$2:$G$61,MATCH($J525,B!$E$2:$E$61,0))&amp;"",""))</f>
        <v/>
      </c>
      <c r="P525" s="69">
        <f>IF($J525="","",IFERROR(INDEX(B!$H$2:$H$61,MATCH($J525,B!$E$2:$E$61,0))&amp;"",""))</f>
        <v/>
      </c>
      <c r="Q525" s="69">
        <f>IF($J525="","",IFERROR(INDEX(B!$I$2:$I$61,MATCH($J525,B!$E$2:$E$61,0))&amp;"",""))</f>
        <v/>
      </c>
      <c r="R525" s="69">
        <f>IF($J525="","",IFERROR(INDEX(B!$J$2:$J$61,MATCH($J525,B!$E$2:$E$61,0))&amp;"",""))</f>
        <v/>
      </c>
      <c r="S525" s="69">
        <f>IF($J525="","",IFERROR(INDEX(B!$K$2:$K$61,MATCH($J525,B!$E$2:$E$61,0))&amp;"",""))</f>
        <v/>
      </c>
      <c r="T525" s="69">
        <f>IF($J525="","",IFERROR(INDEX(B!$L$2:$L$61,MATCH($J525,B!$E$2:$E$61,0))&amp;"",""))</f>
        <v/>
      </c>
      <c r="U525" s="20" t="n"/>
      <c r="V525" s="70">
        <f>IF($J525="","",IFERROR(INDEX(B!$M$2:$M$61,MATCH($J525,B!$E$2:$E$61,0))&amp;"",""))</f>
        <v/>
      </c>
      <c r="W525" s="71">
        <f>IF(I525="","",IFERROR(MID(I525,FIND("/d/",I525)+3,FIND("/edit",I525)-FIND("/d/",I525)-3),I525))</f>
        <v/>
      </c>
      <c r="X525" s="71">
        <f>IF($J525="","",IFERROR(INDEX(B!$C$2:$C$61,MATCH($J525,B!$E$2:$E$61,0))&amp;"",""))</f>
        <v/>
      </c>
      <c r="Y525" s="20" t="n"/>
      <c r="Z525" s="72">
        <f>IF($J525="",FALSE,ISNUMBER(SEARCH("scout",$K525)))</f>
        <v/>
      </c>
      <c r="AA525" s="72">
        <f>IF($J525="",FALSE,IFERROR(INDEX(B!$N$2:$N$61,MATCH($J525,B!$E$2:$E$61,0))="Sim",FALSE))</f>
        <v/>
      </c>
      <c r="AB525" s="72">
        <f>IF($J525="",FALSE,LEFT($X525,2)="XX")</f>
        <v/>
      </c>
      <c r="AC525" s="72">
        <f>IF($J525="",FALSE,IFERROR(INDEX(B!$P$2:$P$61,MATCH($J525,B!$E$2:$E$61,0))="Sim",FALSE))</f>
        <v/>
      </c>
      <c r="AD525" s="20" t="n"/>
      <c r="AE525" s="52">
        <f>IF(H525="","",HOUR(H525))</f>
        <v/>
      </c>
      <c r="AF525" s="52" t="n"/>
    </row>
    <row r="526" ht="19.5" customHeight="1" s="58">
      <c r="A526" s="62">
        <f>IF(G526="","",IF(G526=G525,"",COUNTIF($G$3:$G$976,G526)))</f>
        <v/>
      </c>
      <c r="B526" s="20" t="n"/>
      <c r="C526" s="63">
        <f>IF(G526="","",DAY(G526))</f>
        <v/>
      </c>
      <c r="D526" s="63">
        <f>IF(G526="","",MONTH(G526))</f>
        <v/>
      </c>
      <c r="E526" s="63">
        <f>IF(G526="","",YEAR(G526))</f>
        <v/>
      </c>
      <c r="F526" s="33">
        <f>IF(G526="","",CHOOSE(MONTH(G526),"Janeiro","Fevereiro","Março","Abril","Maio","Junho","Julho","Agosto","Setembro","Outubro","Novembro","Dezembro"))</f>
        <v/>
      </c>
      <c r="G526" s="64" t="n">
        <v>46070</v>
      </c>
      <c r="H526" s="65" t="n">
        <v>0.01320601851851852</v>
      </c>
      <c r="I526" s="66" t="inlineStr">
        <is>
          <t>https://docs.google.com/spreadsheets/d/1ZiCGoPjLCjuYvujDTXK9Ixbth3tekiLtFBzBrGjPCr4/edit?gid=0#gid=0</t>
        </is>
      </c>
      <c r="J526" s="67" t="inlineStr">
        <is>
          <t>Mais informações Gerais - [AA]</t>
        </is>
      </c>
      <c r="K526" s="67" t="inlineStr"/>
      <c r="L526" s="68" t="b">
        <v>0</v>
      </c>
      <c r="M526" s="20" t="n"/>
      <c r="N526" s="69">
        <f>IF($J526="","",IFERROR(INDEX(B!$F$2:$F$61,MATCH($J526,B!$E$2:$E$61,0))&amp;"",""))</f>
        <v/>
      </c>
      <c r="O526" s="69">
        <f>IF($J526="","",IFERROR(INDEX(B!$G$2:$G$61,MATCH($J526,B!$E$2:$E$61,0))&amp;"",""))</f>
        <v/>
      </c>
      <c r="P526" s="69">
        <f>IF($J526="","",IFERROR(INDEX(B!$H$2:$H$61,MATCH($J526,B!$E$2:$E$61,0))&amp;"",""))</f>
        <v/>
      </c>
      <c r="Q526" s="69">
        <f>IF($J526="","",IFERROR(INDEX(B!$I$2:$I$61,MATCH($J526,B!$E$2:$E$61,0))&amp;"",""))</f>
        <v/>
      </c>
      <c r="R526" s="69">
        <f>IF($J526="","",IFERROR(INDEX(B!$J$2:$J$61,MATCH($J526,B!$E$2:$E$61,0))&amp;"",""))</f>
        <v/>
      </c>
      <c r="S526" s="69">
        <f>IF($J526="","",IFERROR(INDEX(B!$K$2:$K$61,MATCH($J526,B!$E$2:$E$61,0))&amp;"",""))</f>
        <v/>
      </c>
      <c r="T526" s="69">
        <f>IF($J526="","",IFERROR(INDEX(B!$L$2:$L$61,MATCH($J526,B!$E$2:$E$61,0))&amp;"",""))</f>
        <v/>
      </c>
      <c r="U526" s="20" t="n"/>
      <c r="V526" s="70">
        <f>IF($J526="","",IFERROR(INDEX(B!$M$2:$M$61,MATCH($J526,B!$E$2:$E$61,0))&amp;"",""))</f>
        <v/>
      </c>
      <c r="W526" s="71">
        <f>IF(I526="","",IFERROR(MID(I526,FIND("/d/",I526)+3,FIND("/edit",I526)-FIND("/d/",I526)-3),I526))</f>
        <v/>
      </c>
      <c r="X526" s="71">
        <f>IF($J526="","",IFERROR(INDEX(B!$C$2:$C$61,MATCH($J526,B!$E$2:$E$61,0))&amp;"",""))</f>
        <v/>
      </c>
      <c r="Y526" s="20" t="n"/>
      <c r="Z526" s="72">
        <f>IF($J526="",FALSE,ISNUMBER(SEARCH("scout",$K526)))</f>
        <v/>
      </c>
      <c r="AA526" s="72">
        <f>IF($J526="",FALSE,IFERROR(INDEX(B!$N$2:$N$61,MATCH($J526,B!$E$2:$E$61,0))="Sim",FALSE))</f>
        <v/>
      </c>
      <c r="AB526" s="72">
        <f>IF($J526="",FALSE,LEFT($X526,2)="XX")</f>
        <v/>
      </c>
      <c r="AC526" s="72">
        <f>IF($J526="",FALSE,IFERROR(INDEX(B!$P$2:$P$61,MATCH($J526,B!$E$2:$E$61,0))="Sim",FALSE))</f>
        <v/>
      </c>
      <c r="AD526" s="20" t="n"/>
      <c r="AE526" s="52">
        <f>IF(H526="","",HOUR(H526))</f>
        <v/>
      </c>
      <c r="AF526" s="52" t="n"/>
    </row>
    <row r="527" ht="19.5" customHeight="1" s="58">
      <c r="A527" s="62">
        <f>IF(G527="","",IF(G527=G526,"",COUNTIF($G$3:$G$976,G527)))</f>
        <v/>
      </c>
      <c r="B527" s="20" t="n"/>
      <c r="C527" s="63">
        <f>IF(G527="","",DAY(G527))</f>
        <v/>
      </c>
      <c r="D527" s="63">
        <f>IF(G527="","",MONTH(G527))</f>
        <v/>
      </c>
      <c r="E527" s="63">
        <f>IF(G527="","",YEAR(G527))</f>
        <v/>
      </c>
      <c r="F527" s="33">
        <f>IF(G527="","",CHOOSE(MONTH(G527),"Janeiro","Fevereiro","Março","Abril","Maio","Junho","Julho","Agosto","Setembro","Outubro","Novembro","Dezembro"))</f>
        <v/>
      </c>
      <c r="G527" s="64" t="n">
        <v>46070</v>
      </c>
      <c r="H527" s="65" t="n">
        <v>0.01354166666666667</v>
      </c>
      <c r="I527" s="66" t="inlineStr">
        <is>
          <t>https://docs.google.com/spreadsheets/d/1ZiCGoPjLCjuYvujDTXK9Ixbth3tekiLtFBzBrGjPCr4/edit?gid=0#gid=0</t>
        </is>
      </c>
      <c r="J527" s="67" t="inlineStr">
        <is>
          <t>Erro de Gps (Problema Técnico) - [GPS]</t>
        </is>
      </c>
      <c r="K527" s="67" t="inlineStr"/>
      <c r="L527" s="68" t="b">
        <v>1</v>
      </c>
      <c r="M527" s="20" t="n"/>
      <c r="N527" s="69">
        <f>IF($J527="","",IFERROR(INDEX(B!$F$2:$F$61,MATCH($J527,B!$E$2:$E$61,0))&amp;"",""))</f>
        <v/>
      </c>
      <c r="O527" s="69">
        <f>IF($J527="","",IFERROR(INDEX(B!$G$2:$G$61,MATCH($J527,B!$E$2:$E$61,0))&amp;"",""))</f>
        <v/>
      </c>
      <c r="P527" s="69">
        <f>IF($J527="","",IFERROR(INDEX(B!$H$2:$H$61,MATCH($J527,B!$E$2:$E$61,0))&amp;"",""))</f>
        <v/>
      </c>
      <c r="Q527" s="69">
        <f>IF($J527="","",IFERROR(INDEX(B!$I$2:$I$61,MATCH($J527,B!$E$2:$E$61,0))&amp;"",""))</f>
        <v/>
      </c>
      <c r="R527" s="69">
        <f>IF($J527="","",IFERROR(INDEX(B!$J$2:$J$61,MATCH($J527,B!$E$2:$E$61,0))&amp;"",""))</f>
        <v/>
      </c>
      <c r="S527" s="69">
        <f>IF($J527="","",IFERROR(INDEX(B!$K$2:$K$61,MATCH($J527,B!$E$2:$E$61,0))&amp;"",""))</f>
        <v/>
      </c>
      <c r="T527" s="69">
        <f>IF($J527="","",IFERROR(INDEX(B!$L$2:$L$61,MATCH($J527,B!$E$2:$E$61,0))&amp;"",""))</f>
        <v/>
      </c>
      <c r="U527" s="20" t="n"/>
      <c r="V527" s="70">
        <f>IF($J527="","",IFERROR(INDEX(B!$M$2:$M$61,MATCH($J527,B!$E$2:$E$61,0))&amp;"",""))</f>
        <v/>
      </c>
      <c r="W527" s="71">
        <f>IF(I527="","",IFERROR(MID(I527,FIND("/d/",I527)+3,FIND("/edit",I527)-FIND("/d/",I527)-3),I527))</f>
        <v/>
      </c>
      <c r="X527" s="71">
        <f>IF($J527="","",IFERROR(INDEX(B!$C$2:$C$61,MATCH($J527,B!$E$2:$E$61,0))&amp;"",""))</f>
        <v/>
      </c>
      <c r="Y527" s="20" t="n"/>
      <c r="Z527" s="72">
        <f>IF($J527="",FALSE,ISNUMBER(SEARCH("scout",$K527)))</f>
        <v/>
      </c>
      <c r="AA527" s="72">
        <f>IF($J527="",FALSE,IFERROR(INDEX(B!$N$2:$N$61,MATCH($J527,B!$E$2:$E$61,0))="Sim",FALSE))</f>
        <v/>
      </c>
      <c r="AB527" s="72">
        <f>IF($J527="",FALSE,LEFT($X527,2)="XX")</f>
        <v/>
      </c>
      <c r="AC527" s="72">
        <f>IF($J527="",FALSE,IFERROR(INDEX(B!$P$2:$P$61,MATCH($J527,B!$E$2:$E$61,0))="Sim",FALSE))</f>
        <v/>
      </c>
      <c r="AD527" s="20" t="n"/>
      <c r="AE527" s="52">
        <f>IF(H527="","",HOUR(H527))</f>
        <v/>
      </c>
      <c r="AF527" s="52" t="n"/>
    </row>
    <row r="528" ht="19.5" customHeight="1" s="58">
      <c r="A528" s="62">
        <f>IF(G528="","",IF(G528=G527,"",COUNTIF($G$3:$G$976,G528)))</f>
        <v/>
      </c>
      <c r="B528" s="20" t="n"/>
      <c r="C528" s="63">
        <f>IF(G528="","",DAY(G528))</f>
        <v/>
      </c>
      <c r="D528" s="63">
        <f>IF(G528="","",MONTH(G528))</f>
        <v/>
      </c>
      <c r="E528" s="63">
        <f>IF(G528="","",YEAR(G528))</f>
        <v/>
      </c>
      <c r="F528" s="33">
        <f>IF(G528="","",CHOOSE(MONTH(G528),"Janeiro","Fevereiro","Março","Abril","Maio","Junho","Julho","Agosto","Setembro","Outubro","Novembro","Dezembro"))</f>
        <v/>
      </c>
      <c r="G528" s="64" t="n">
        <v>46070</v>
      </c>
      <c r="H528" s="65" t="n">
        <v>0.01726851851851852</v>
      </c>
      <c r="I528" s="66" t="inlineStr">
        <is>
          <t>https://docs.google.com/spreadsheets/d/1ZiCGoPjLCjuYvujDTXK9Ixbth3tekiLtFBzBrGjPCr4/edit?gid=0#gid=0</t>
        </is>
      </c>
      <c r="J528" s="67" t="inlineStr">
        <is>
          <t>Taxa de Cancelamento Cobrada Corretamente - [TXCO]</t>
        </is>
      </c>
      <c r="K528" s="67" t="inlineStr"/>
      <c r="L528" s="68" t="b">
        <v>0</v>
      </c>
      <c r="M528" s="20" t="n"/>
      <c r="N528" s="69">
        <f>IF($J528="","",IFERROR(INDEX(B!$F$2:$F$61,MATCH($J528,B!$E$2:$E$61,0))&amp;"",""))</f>
        <v/>
      </c>
      <c r="O528" s="69">
        <f>IF($J528="","",IFERROR(INDEX(B!$G$2:$G$61,MATCH($J528,B!$E$2:$E$61,0))&amp;"",""))</f>
        <v/>
      </c>
      <c r="P528" s="69">
        <f>IF($J528="","",IFERROR(INDEX(B!$H$2:$H$61,MATCH($J528,B!$E$2:$E$61,0))&amp;"",""))</f>
        <v/>
      </c>
      <c r="Q528" s="69">
        <f>IF($J528="","",IFERROR(INDEX(B!$I$2:$I$61,MATCH($J528,B!$E$2:$E$61,0))&amp;"",""))</f>
        <v/>
      </c>
      <c r="R528" s="69">
        <f>IF($J528="","",IFERROR(INDEX(B!$J$2:$J$61,MATCH($J528,B!$E$2:$E$61,0))&amp;"",""))</f>
        <v/>
      </c>
      <c r="S528" s="69">
        <f>IF($J528="","",IFERROR(INDEX(B!$K$2:$K$61,MATCH($J528,B!$E$2:$E$61,0))&amp;"",""))</f>
        <v/>
      </c>
      <c r="T528" s="69">
        <f>IF($J528="","",IFERROR(INDEX(B!$L$2:$L$61,MATCH($J528,B!$E$2:$E$61,0))&amp;"",""))</f>
        <v/>
      </c>
      <c r="U528" s="20" t="n"/>
      <c r="V528" s="70">
        <f>IF($J528="","",IFERROR(INDEX(B!$M$2:$M$61,MATCH($J528,B!$E$2:$E$61,0))&amp;"",""))</f>
        <v/>
      </c>
      <c r="W528" s="71">
        <f>IF(I528="","",IFERROR(MID(I528,FIND("/d/",I528)+3,FIND("/edit",I528)-FIND("/d/",I528)-3),I528))</f>
        <v/>
      </c>
      <c r="X528" s="71">
        <f>IF($J528="","",IFERROR(INDEX(B!$C$2:$C$61,MATCH($J528,B!$E$2:$E$61,0))&amp;"",""))</f>
        <v/>
      </c>
      <c r="Y528" s="20" t="n"/>
      <c r="Z528" s="72">
        <f>IF($J528="",FALSE,ISNUMBER(SEARCH("scout",$K528)))</f>
        <v/>
      </c>
      <c r="AA528" s="72">
        <f>IF($J528="",FALSE,IFERROR(INDEX(B!$N$2:$N$61,MATCH($J528,B!$E$2:$E$61,0))="Sim",FALSE))</f>
        <v/>
      </c>
      <c r="AB528" s="72">
        <f>IF($J528="",FALSE,LEFT($X528,2)="XX")</f>
        <v/>
      </c>
      <c r="AC528" s="72">
        <f>IF($J528="",FALSE,IFERROR(INDEX(B!$P$2:$P$61,MATCH($J528,B!$E$2:$E$61,0))="Sim",FALSE))</f>
        <v/>
      </c>
      <c r="AD528" s="20" t="n"/>
      <c r="AE528" s="52">
        <f>IF(H528="","",HOUR(H528))</f>
        <v/>
      </c>
      <c r="AF528" s="52" t="n"/>
    </row>
    <row r="529" ht="19.5" customHeight="1" s="58">
      <c r="A529" s="62">
        <f>IF(G529="","",IF(G529=G528,"",COUNTIF($G$3:$G$976,G529)))</f>
        <v/>
      </c>
      <c r="B529" s="20" t="n"/>
      <c r="C529" s="63">
        <f>IF(G529="","",DAY(G529))</f>
        <v/>
      </c>
      <c r="D529" s="63">
        <f>IF(G529="","",MONTH(G529))</f>
        <v/>
      </c>
      <c r="E529" s="63">
        <f>IF(G529="","",YEAR(G529))</f>
        <v/>
      </c>
      <c r="F529" s="33">
        <f>IF(G529="","",CHOOSE(MONTH(G529),"Janeiro","Fevereiro","Março","Abril","Maio","Junho","Julho","Agosto","Setembro","Outubro","Novembro","Dezembro"))</f>
        <v/>
      </c>
      <c r="G529" s="64" t="n">
        <v>46070</v>
      </c>
      <c r="H529" s="65" t="n">
        <v>0.02443287037037037</v>
      </c>
      <c r="I529" s="66" t="inlineStr">
        <is>
          <t>https://docs.google.com/spreadsheets/d/1ZiCGoPjLCjuYvujDTXK9Ixbth3tekiLtFBzBrGjPCr4/edit?gid=0#gid=0</t>
        </is>
      </c>
      <c r="J529" s="67" t="inlineStr">
        <is>
          <t>No Need Response (Não precisa de resposta) - [NRN]</t>
        </is>
      </c>
      <c r="K529" s="67" t="inlineStr">
        <is>
          <t>Scout</t>
        </is>
      </c>
      <c r="L529" s="68" t="b">
        <v>0</v>
      </c>
      <c r="M529" s="20" t="n"/>
      <c r="N529" s="69">
        <f>IF($J529="","",IFERROR(INDEX(B!$F$2:$F$61,MATCH($J529,B!$E$2:$E$61,0))&amp;"",""))</f>
        <v/>
      </c>
      <c r="O529" s="69">
        <f>IF($J529="","",IFERROR(INDEX(B!$G$2:$G$61,MATCH($J529,B!$E$2:$E$61,0))&amp;"",""))</f>
        <v/>
      </c>
      <c r="P529" s="69">
        <f>IF($J529="","",IFERROR(INDEX(B!$H$2:$H$61,MATCH($J529,B!$E$2:$E$61,0))&amp;"",""))</f>
        <v/>
      </c>
      <c r="Q529" s="69">
        <f>IF($J529="","",IFERROR(INDEX(B!$I$2:$I$61,MATCH($J529,B!$E$2:$E$61,0))&amp;"",""))</f>
        <v/>
      </c>
      <c r="R529" s="69">
        <f>IF($J529="","",IFERROR(INDEX(B!$J$2:$J$61,MATCH($J529,B!$E$2:$E$61,0))&amp;"",""))</f>
        <v/>
      </c>
      <c r="S529" s="69">
        <f>IF($J529="","",IFERROR(INDEX(B!$K$2:$K$61,MATCH($J529,B!$E$2:$E$61,0))&amp;"",""))</f>
        <v/>
      </c>
      <c r="T529" s="69">
        <f>IF($J529="","",IFERROR(INDEX(B!$L$2:$L$61,MATCH($J529,B!$E$2:$E$61,0))&amp;"",""))</f>
        <v/>
      </c>
      <c r="U529" s="20" t="n"/>
      <c r="V529" s="70">
        <f>IF($J529="","",IFERROR(INDEX(B!$M$2:$M$61,MATCH($J529,B!$E$2:$E$61,0))&amp;"",""))</f>
        <v/>
      </c>
      <c r="W529" s="71">
        <f>IF(I529="","",IFERROR(MID(I529,FIND("/d/",I529)+3,FIND("/edit",I529)-FIND("/d/",I529)-3),I529))</f>
        <v/>
      </c>
      <c r="X529" s="71">
        <f>IF($J529="","",IFERROR(INDEX(B!$C$2:$C$61,MATCH($J529,B!$E$2:$E$61,0))&amp;"",""))</f>
        <v/>
      </c>
      <c r="Y529" s="20" t="n"/>
      <c r="Z529" s="72">
        <f>IF($J529="",FALSE,ISNUMBER(SEARCH("scout",$K529)))</f>
        <v/>
      </c>
      <c r="AA529" s="72">
        <f>IF($J529="",FALSE,IFERROR(INDEX(B!$N$2:$N$61,MATCH($J529,B!$E$2:$E$61,0))="Sim",FALSE))</f>
        <v/>
      </c>
      <c r="AB529" s="72">
        <f>IF($J529="",FALSE,LEFT($X529,2)="XX")</f>
        <v/>
      </c>
      <c r="AC529" s="72">
        <f>IF($J529="",FALSE,IFERROR(INDEX(B!$P$2:$P$61,MATCH($J529,B!$E$2:$E$61,0))="Sim",FALSE))</f>
        <v/>
      </c>
      <c r="AD529" s="20" t="n"/>
      <c r="AE529" s="52">
        <f>IF(H529="","",HOUR(H529))</f>
        <v/>
      </c>
      <c r="AF529" s="52" t="n"/>
    </row>
    <row r="530" ht="19.5" customHeight="1" s="58">
      <c r="A530" s="62">
        <f>IF(G530="","",IF(G530=G529,"",COUNTIF($G$3:$G$976,G530)))</f>
        <v/>
      </c>
      <c r="B530" s="20" t="n"/>
      <c r="C530" s="63">
        <f>IF(G530="","",DAY(G530))</f>
        <v/>
      </c>
      <c r="D530" s="63">
        <f>IF(G530="","",MONTH(G530))</f>
        <v/>
      </c>
      <c r="E530" s="63">
        <f>IF(G530="","",YEAR(G530))</f>
        <v/>
      </c>
      <c r="F530" s="33">
        <f>IF(G530="","",CHOOSE(MONTH(G530),"Janeiro","Fevereiro","Março","Abril","Maio","Junho","Julho","Agosto","Setembro","Outubro","Novembro","Dezembro"))</f>
        <v/>
      </c>
      <c r="G530" s="64" t="n">
        <v>46070</v>
      </c>
      <c r="H530" s="65" t="n">
        <v>0.02472222222222222</v>
      </c>
      <c r="I530" s="66" t="inlineStr">
        <is>
          <t>https://docs.google.com/spreadsheets/d/1ZiCGoPjLCjuYvujDTXK9Ixbth3tekiLtFBzBrGjPCr4/edit?gid=0#gid=0</t>
        </is>
      </c>
      <c r="J530" s="67" t="inlineStr">
        <is>
          <t>Transferência de LOB (Profissionalismo) - [TIPR]</t>
        </is>
      </c>
      <c r="K530" s="67" t="inlineStr"/>
      <c r="L530" s="68" t="b">
        <v>0</v>
      </c>
      <c r="M530" s="20" t="n"/>
      <c r="N530" s="69">
        <f>IF($J530="","",IFERROR(INDEX(B!$F$2:$F$61,MATCH($J530,B!$E$2:$E$61,0))&amp;"",""))</f>
        <v/>
      </c>
      <c r="O530" s="69">
        <f>IF($J530="","",IFERROR(INDEX(B!$G$2:$G$61,MATCH($J530,B!$E$2:$E$61,0))&amp;"",""))</f>
        <v/>
      </c>
      <c r="P530" s="69">
        <f>IF($J530="","",IFERROR(INDEX(B!$H$2:$H$61,MATCH($J530,B!$E$2:$E$61,0))&amp;"",""))</f>
        <v/>
      </c>
      <c r="Q530" s="69">
        <f>IF($J530="","",IFERROR(INDEX(B!$I$2:$I$61,MATCH($J530,B!$E$2:$E$61,0))&amp;"",""))</f>
        <v/>
      </c>
      <c r="R530" s="69">
        <f>IF($J530="","",IFERROR(INDEX(B!$J$2:$J$61,MATCH($J530,B!$E$2:$E$61,0))&amp;"",""))</f>
        <v/>
      </c>
      <c r="S530" s="69">
        <f>IF($J530="","",IFERROR(INDEX(B!$K$2:$K$61,MATCH($J530,B!$E$2:$E$61,0))&amp;"",""))</f>
        <v/>
      </c>
      <c r="T530" s="69">
        <f>IF($J530="","",IFERROR(INDEX(B!$L$2:$L$61,MATCH($J530,B!$E$2:$E$61,0))&amp;"",""))</f>
        <v/>
      </c>
      <c r="U530" s="20" t="n"/>
      <c r="V530" s="70">
        <f>IF($J530="","",IFERROR(INDEX(B!$M$2:$M$61,MATCH($J530,B!$E$2:$E$61,0))&amp;"",""))</f>
        <v/>
      </c>
      <c r="W530" s="71">
        <f>IF(I530="","",IFERROR(MID(I530,FIND("/d/",I530)+3,FIND("/edit",I530)-FIND("/d/",I530)-3),I530))</f>
        <v/>
      </c>
      <c r="X530" s="71">
        <f>IF($J530="","",IFERROR(INDEX(B!$C$2:$C$61,MATCH($J530,B!$E$2:$E$61,0))&amp;"",""))</f>
        <v/>
      </c>
      <c r="Y530" s="20" t="n"/>
      <c r="Z530" s="72">
        <f>IF($J530="",FALSE,ISNUMBER(SEARCH("scout",$K530)))</f>
        <v/>
      </c>
      <c r="AA530" s="72">
        <f>IF($J530="",FALSE,IFERROR(INDEX(B!$N$2:$N$61,MATCH($J530,B!$E$2:$E$61,0))="Sim",FALSE))</f>
        <v/>
      </c>
      <c r="AB530" s="72">
        <f>IF($J530="",FALSE,LEFT($X530,2)="XX")</f>
        <v/>
      </c>
      <c r="AC530" s="72">
        <f>IF($J530="",FALSE,IFERROR(INDEX(B!$P$2:$P$61,MATCH($J530,B!$E$2:$E$61,0))="Sim",FALSE))</f>
        <v/>
      </c>
      <c r="AD530" s="20" t="n"/>
      <c r="AE530" s="52">
        <f>IF(H530="","",HOUR(H530))</f>
        <v/>
      </c>
      <c r="AF530" s="52" t="n"/>
    </row>
    <row r="531" ht="19.5" customHeight="1" s="58">
      <c r="A531" s="62">
        <f>IF(G531="","",IF(G531=G530,"",COUNTIF($G$3:$G$976,G531)))</f>
        <v/>
      </c>
      <c r="B531" s="20" t="n"/>
      <c r="C531" s="63">
        <f>IF(G531="","",DAY(G531))</f>
        <v/>
      </c>
      <c r="D531" s="63">
        <f>IF(G531="","",MONTH(G531))</f>
        <v/>
      </c>
      <c r="E531" s="63">
        <f>IF(G531="","",YEAR(G531))</f>
        <v/>
      </c>
      <c r="F531" s="33">
        <f>IF(G531="","",CHOOSE(MONTH(G531),"Janeiro","Fevereiro","Março","Abril","Maio","Junho","Julho","Agosto","Setembro","Outubro","Novembro","Dezembro"))</f>
        <v/>
      </c>
      <c r="G531" s="64" t="n">
        <v>46070</v>
      </c>
      <c r="H531" s="65" t="n">
        <v>0.02577546296296296</v>
      </c>
      <c r="I531" s="66" t="inlineStr">
        <is>
          <t>https://docs.google.com/spreadsheets/d/1ZiCGoPjLCjuYvujDTXK9Ixbth3tekiLtFBzBrGjPCr4/edit?gid=0#gid=0</t>
        </is>
      </c>
      <c r="J531" s="67" t="inlineStr">
        <is>
          <t>Overpaid, Não excede o limite, Com comprovante - [OPNC]</t>
        </is>
      </c>
      <c r="K531" s="67" t="inlineStr"/>
      <c r="L531" s="68" t="b">
        <v>0</v>
      </c>
      <c r="M531" s="20" t="n"/>
      <c r="N531" s="69">
        <f>IF($J531="","",IFERROR(INDEX(B!$F$2:$F$61,MATCH($J531,B!$E$2:$E$61,0))&amp;"",""))</f>
        <v/>
      </c>
      <c r="O531" s="69">
        <f>IF($J531="","",IFERROR(INDEX(B!$G$2:$G$61,MATCH($J531,B!$E$2:$E$61,0))&amp;"",""))</f>
        <v/>
      </c>
      <c r="P531" s="69">
        <f>IF($J531="","",IFERROR(INDEX(B!$H$2:$H$61,MATCH($J531,B!$E$2:$E$61,0))&amp;"",""))</f>
        <v/>
      </c>
      <c r="Q531" s="69">
        <f>IF($J531="","",IFERROR(INDEX(B!$I$2:$I$61,MATCH($J531,B!$E$2:$E$61,0))&amp;"",""))</f>
        <v/>
      </c>
      <c r="R531" s="69">
        <f>IF($J531="","",IFERROR(INDEX(B!$J$2:$J$61,MATCH($J531,B!$E$2:$E$61,0))&amp;"",""))</f>
        <v/>
      </c>
      <c r="S531" s="69">
        <f>IF($J531="","",IFERROR(INDEX(B!$K$2:$K$61,MATCH($J531,B!$E$2:$E$61,0))&amp;"",""))</f>
        <v/>
      </c>
      <c r="T531" s="69">
        <f>IF($J531="","",IFERROR(INDEX(B!$L$2:$L$61,MATCH($J531,B!$E$2:$E$61,0))&amp;"",""))</f>
        <v/>
      </c>
      <c r="U531" s="20" t="n"/>
      <c r="V531" s="70">
        <f>IF($J531="","",IFERROR(INDEX(B!$M$2:$M$61,MATCH($J531,B!$E$2:$E$61,0))&amp;"",""))</f>
        <v/>
      </c>
      <c r="W531" s="71">
        <f>IF(I531="","",IFERROR(MID(I531,FIND("/d/",I531)+3,FIND("/edit",I531)-FIND("/d/",I531)-3),I531))</f>
        <v/>
      </c>
      <c r="X531" s="71">
        <f>IF($J531="","",IFERROR(INDEX(B!$C$2:$C$61,MATCH($J531,B!$E$2:$E$61,0))&amp;"",""))</f>
        <v/>
      </c>
      <c r="Y531" s="20" t="n"/>
      <c r="Z531" s="72">
        <f>IF($J531="",FALSE,ISNUMBER(SEARCH("scout",$K531)))</f>
        <v/>
      </c>
      <c r="AA531" s="72">
        <f>IF($J531="",FALSE,IFERROR(INDEX(B!$N$2:$N$61,MATCH($J531,B!$E$2:$E$61,0))="Sim",FALSE))</f>
        <v/>
      </c>
      <c r="AB531" s="72">
        <f>IF($J531="",FALSE,LEFT($X531,2)="XX")</f>
        <v/>
      </c>
      <c r="AC531" s="72">
        <f>IF($J531="",FALSE,IFERROR(INDEX(B!$P$2:$P$61,MATCH($J531,B!$E$2:$E$61,0))="Sim",FALSE))</f>
        <v/>
      </c>
      <c r="AD531" s="20" t="n"/>
      <c r="AE531" s="52">
        <f>IF(H531="","",HOUR(H531))</f>
        <v/>
      </c>
      <c r="AF531" s="52" t="n"/>
    </row>
    <row r="532" ht="19.5" customHeight="1" s="58">
      <c r="A532" s="62">
        <f>IF(G532="","",IF(G532=G531,"",COUNTIF($G$3:$G$976,G532)))</f>
        <v/>
      </c>
      <c r="B532" s="20" t="n"/>
      <c r="C532" s="63">
        <f>IF(G532="","",DAY(G532))</f>
        <v/>
      </c>
      <c r="D532" s="63">
        <f>IF(G532="","",MONTH(G532))</f>
        <v/>
      </c>
      <c r="E532" s="63">
        <f>IF(G532="","",YEAR(G532))</f>
        <v/>
      </c>
      <c r="F532" s="33">
        <f>IF(G532="","",CHOOSE(MONTH(G532),"Janeiro","Fevereiro","Março","Abril","Maio","Junho","Julho","Agosto","Setembro","Outubro","Novembro","Dezembro"))</f>
        <v/>
      </c>
      <c r="G532" s="64" t="n">
        <v>46070</v>
      </c>
      <c r="H532" s="65" t="n">
        <v>0.03100694444444444</v>
      </c>
      <c r="I532" s="66" t="inlineStr">
        <is>
          <t>https://docs.google.com/spreadsheets/d/1ZiCGoPjLCjuYvujDTXK9Ixbth3tekiLtFBzBrGjPCr4/edit?gid=0#gid=0</t>
        </is>
      </c>
      <c r="J532" s="67" t="inlineStr">
        <is>
          <t>Transferência de LOB (Accounts) - [TIAC]</t>
        </is>
      </c>
      <c r="K532" s="67" t="inlineStr"/>
      <c r="L532" s="68" t="b">
        <v>0</v>
      </c>
      <c r="M532" s="20" t="n"/>
      <c r="N532" s="69">
        <f>IF($J532="","",IFERROR(INDEX(B!$F$2:$F$61,MATCH($J532,B!$E$2:$E$61,0))&amp;"",""))</f>
        <v/>
      </c>
      <c r="O532" s="69">
        <f>IF($J532="","",IFERROR(INDEX(B!$G$2:$G$61,MATCH($J532,B!$E$2:$E$61,0))&amp;"",""))</f>
        <v/>
      </c>
      <c r="P532" s="69">
        <f>IF($J532="","",IFERROR(INDEX(B!$H$2:$H$61,MATCH($J532,B!$E$2:$E$61,0))&amp;"",""))</f>
        <v/>
      </c>
      <c r="Q532" s="69">
        <f>IF($J532="","",IFERROR(INDEX(B!$I$2:$I$61,MATCH($J532,B!$E$2:$E$61,0))&amp;"",""))</f>
        <v/>
      </c>
      <c r="R532" s="69">
        <f>IF($J532="","",IFERROR(INDEX(B!$J$2:$J$61,MATCH($J532,B!$E$2:$E$61,0))&amp;"",""))</f>
        <v/>
      </c>
      <c r="S532" s="69">
        <f>IF($J532="","",IFERROR(INDEX(B!$K$2:$K$61,MATCH($J532,B!$E$2:$E$61,0))&amp;"",""))</f>
        <v/>
      </c>
      <c r="T532" s="69">
        <f>IF($J532="","",IFERROR(INDEX(B!$L$2:$L$61,MATCH($J532,B!$E$2:$E$61,0))&amp;"",""))</f>
        <v/>
      </c>
      <c r="U532" s="20" t="n"/>
      <c r="V532" s="70">
        <f>IF($J532="","",IFERROR(INDEX(B!$M$2:$M$61,MATCH($J532,B!$E$2:$E$61,0))&amp;"",""))</f>
        <v/>
      </c>
      <c r="W532" s="71">
        <f>IF(I532="","",IFERROR(MID(I532,FIND("/d/",I532)+3,FIND("/edit",I532)-FIND("/d/",I532)-3),I532))</f>
        <v/>
      </c>
      <c r="X532" s="71">
        <f>IF($J532="","",IFERROR(INDEX(B!$C$2:$C$61,MATCH($J532,B!$E$2:$E$61,0))&amp;"",""))</f>
        <v/>
      </c>
      <c r="Y532" s="20" t="n"/>
      <c r="Z532" s="72">
        <f>IF($J532="",FALSE,ISNUMBER(SEARCH("scout",$K532)))</f>
        <v/>
      </c>
      <c r="AA532" s="72">
        <f>IF($J532="",FALSE,IFERROR(INDEX(B!$N$2:$N$61,MATCH($J532,B!$E$2:$E$61,0))="Sim",FALSE))</f>
        <v/>
      </c>
      <c r="AB532" s="72">
        <f>IF($J532="",FALSE,LEFT($X532,2)="XX")</f>
        <v/>
      </c>
      <c r="AC532" s="72">
        <f>IF($J532="",FALSE,IFERROR(INDEX(B!$P$2:$P$61,MATCH($J532,B!$E$2:$E$61,0))="Sim",FALSE))</f>
        <v/>
      </c>
      <c r="AD532" s="20" t="n"/>
      <c r="AE532" s="52">
        <f>IF(H532="","",HOUR(H532))</f>
        <v/>
      </c>
      <c r="AF532" s="52" t="n"/>
    </row>
    <row r="533" ht="19.5" customHeight="1" s="58">
      <c r="A533" s="62">
        <f>IF(G533="","",IF(G533=G532,"",COUNTIF($G$3:$G$976,G533)))</f>
        <v/>
      </c>
      <c r="B533" s="20" t="n"/>
      <c r="C533" s="63">
        <f>IF(G533="","",DAY(G533))</f>
        <v/>
      </c>
      <c r="D533" s="63">
        <f>IF(G533="","",MONTH(G533))</f>
        <v/>
      </c>
      <c r="E533" s="63">
        <f>IF(G533="","",YEAR(G533))</f>
        <v/>
      </c>
      <c r="F533" s="33">
        <f>IF(G533="","",CHOOSE(MONTH(G533),"Janeiro","Fevereiro","Março","Abril","Maio","Junho","Julho","Agosto","Setembro","Outubro","Novembro","Dezembro"))</f>
        <v/>
      </c>
      <c r="G533" s="64" t="n">
        <v>46070</v>
      </c>
      <c r="H533" s="65" t="n">
        <v>0.03157407407407407</v>
      </c>
      <c r="I533" s="66" t="inlineStr">
        <is>
          <t>https://docs.google.com/spreadsheets/d/1ZiCGoPjLCjuYvujDTXK9Ixbth3tekiLtFBzBrGjPCr4/edit?gid=0#gid=0</t>
        </is>
      </c>
      <c r="J533" s="67" t="inlineStr">
        <is>
          <t>Trajeto Ruim - [TR]</t>
        </is>
      </c>
      <c r="K533" s="67" t="inlineStr"/>
      <c r="L533" s="68" t="b">
        <v>0</v>
      </c>
      <c r="M533" s="20" t="n"/>
      <c r="N533" s="69">
        <f>IF($J533="","",IFERROR(INDEX(B!$F$2:$F$61,MATCH($J533,B!$E$2:$E$61,0))&amp;"",""))</f>
        <v/>
      </c>
      <c r="O533" s="69">
        <f>IF($J533="","",IFERROR(INDEX(B!$G$2:$G$61,MATCH($J533,B!$E$2:$E$61,0))&amp;"",""))</f>
        <v/>
      </c>
      <c r="P533" s="69">
        <f>IF($J533="","",IFERROR(INDEX(B!$H$2:$H$61,MATCH($J533,B!$E$2:$E$61,0))&amp;"",""))</f>
        <v/>
      </c>
      <c r="Q533" s="69">
        <f>IF($J533="","",IFERROR(INDEX(B!$I$2:$I$61,MATCH($J533,B!$E$2:$E$61,0))&amp;"",""))</f>
        <v/>
      </c>
      <c r="R533" s="69">
        <f>IF($J533="","",IFERROR(INDEX(B!$J$2:$J$61,MATCH($J533,B!$E$2:$E$61,0))&amp;"",""))</f>
        <v/>
      </c>
      <c r="S533" s="69">
        <f>IF($J533="","",IFERROR(INDEX(B!$K$2:$K$61,MATCH($J533,B!$E$2:$E$61,0))&amp;"",""))</f>
        <v/>
      </c>
      <c r="T533" s="69">
        <f>IF($J533="","",IFERROR(INDEX(B!$L$2:$L$61,MATCH($J533,B!$E$2:$E$61,0))&amp;"",""))</f>
        <v/>
      </c>
      <c r="U533" s="20" t="n"/>
      <c r="V533" s="70">
        <f>IF($J533="","",IFERROR(INDEX(B!$M$2:$M$61,MATCH($J533,B!$E$2:$E$61,0))&amp;"",""))</f>
        <v/>
      </c>
      <c r="W533" s="71">
        <f>IF(I533="","",IFERROR(MID(I533,FIND("/d/",I533)+3,FIND("/edit",I533)-FIND("/d/",I533)-3),I533))</f>
        <v/>
      </c>
      <c r="X533" s="71">
        <f>IF($J533="","",IFERROR(INDEX(B!$C$2:$C$61,MATCH($J533,B!$E$2:$E$61,0))&amp;"",""))</f>
        <v/>
      </c>
      <c r="Y533" s="20" t="n"/>
      <c r="Z533" s="72">
        <f>IF($J533="",FALSE,ISNUMBER(SEARCH("scout",$K533)))</f>
        <v/>
      </c>
      <c r="AA533" s="72">
        <f>IF($J533="",FALSE,IFERROR(INDEX(B!$N$2:$N$61,MATCH($J533,B!$E$2:$E$61,0))="Sim",FALSE))</f>
        <v/>
      </c>
      <c r="AB533" s="72">
        <f>IF($J533="",FALSE,LEFT($X533,2)="XX")</f>
        <v/>
      </c>
      <c r="AC533" s="72">
        <f>IF($J533="",FALSE,IFERROR(INDEX(B!$P$2:$P$61,MATCH($J533,B!$E$2:$E$61,0))="Sim",FALSE))</f>
        <v/>
      </c>
      <c r="AD533" s="20" t="n"/>
      <c r="AE533" s="52">
        <f>IF(H533="","",HOUR(H533))</f>
        <v/>
      </c>
      <c r="AF533" s="52" t="n"/>
    </row>
    <row r="534" ht="19.5" customHeight="1" s="58">
      <c r="A534" s="62">
        <f>IF(G534="","",IF(G534=G533,"",COUNTIF($G$3:$G$976,G534)))</f>
        <v/>
      </c>
      <c r="B534" s="20" t="n"/>
      <c r="C534" s="63">
        <f>IF(G534="","",DAY(G534))</f>
        <v/>
      </c>
      <c r="D534" s="63">
        <f>IF(G534="","",MONTH(G534))</f>
        <v/>
      </c>
      <c r="E534" s="63">
        <f>IF(G534="","",YEAR(G534))</f>
        <v/>
      </c>
      <c r="F534" s="33">
        <f>IF(G534="","",CHOOSE(MONTH(G534),"Janeiro","Fevereiro","Março","Abril","Maio","Junho","Julho","Agosto","Setembro","Outubro","Novembro","Dezembro"))</f>
        <v/>
      </c>
      <c r="G534" s="64" t="n">
        <v>46070</v>
      </c>
      <c r="H534" s="65" t="n">
        <v>0.03465277777777778</v>
      </c>
      <c r="I534" s="66" t="inlineStr">
        <is>
          <t>https://docs.google.com/spreadsheets/d/1ZiCGoPjLCjuYvujDTXK9Ixbth3tekiLtFBzBrGjPCr4/edit?gid=0#gid=0</t>
        </is>
      </c>
      <c r="J534" s="67" t="inlineStr">
        <is>
          <t>No Need Response (Não precisa de resposta) - [NRN]</t>
        </is>
      </c>
      <c r="K534" s="67" t="inlineStr"/>
      <c r="L534" s="68" t="b">
        <v>0</v>
      </c>
      <c r="M534" s="20" t="n"/>
      <c r="N534" s="69">
        <f>IF($J534="","",IFERROR(INDEX(B!$F$2:$F$61,MATCH($J534,B!$E$2:$E$61,0))&amp;"",""))</f>
        <v/>
      </c>
      <c r="O534" s="69">
        <f>IF($J534="","",IFERROR(INDEX(B!$G$2:$G$61,MATCH($J534,B!$E$2:$E$61,0))&amp;"",""))</f>
        <v/>
      </c>
      <c r="P534" s="69">
        <f>IF($J534="","",IFERROR(INDEX(B!$H$2:$H$61,MATCH($J534,B!$E$2:$E$61,0))&amp;"",""))</f>
        <v/>
      </c>
      <c r="Q534" s="69">
        <f>IF($J534="","",IFERROR(INDEX(B!$I$2:$I$61,MATCH($J534,B!$E$2:$E$61,0))&amp;"",""))</f>
        <v/>
      </c>
      <c r="R534" s="69">
        <f>IF($J534="","",IFERROR(INDEX(B!$J$2:$J$61,MATCH($J534,B!$E$2:$E$61,0))&amp;"",""))</f>
        <v/>
      </c>
      <c r="S534" s="69">
        <f>IF($J534="","",IFERROR(INDEX(B!$K$2:$K$61,MATCH($J534,B!$E$2:$E$61,0))&amp;"",""))</f>
        <v/>
      </c>
      <c r="T534" s="69">
        <f>IF($J534="","",IFERROR(INDEX(B!$L$2:$L$61,MATCH($J534,B!$E$2:$E$61,0))&amp;"",""))</f>
        <v/>
      </c>
      <c r="U534" s="20" t="n"/>
      <c r="V534" s="70">
        <f>IF($J534="","",IFERROR(INDEX(B!$M$2:$M$61,MATCH($J534,B!$E$2:$E$61,0))&amp;"",""))</f>
        <v/>
      </c>
      <c r="W534" s="71">
        <f>IF(I534="","",IFERROR(MID(I534,FIND("/d/",I534)+3,FIND("/edit",I534)-FIND("/d/",I534)-3),I534))</f>
        <v/>
      </c>
      <c r="X534" s="71">
        <f>IF($J534="","",IFERROR(INDEX(B!$C$2:$C$61,MATCH($J534,B!$E$2:$E$61,0))&amp;"",""))</f>
        <v/>
      </c>
      <c r="Y534" s="20" t="n"/>
      <c r="Z534" s="72">
        <f>IF($J534="",FALSE,ISNUMBER(SEARCH("scout",$K534)))</f>
        <v/>
      </c>
      <c r="AA534" s="72">
        <f>IF($J534="",FALSE,IFERROR(INDEX(B!$N$2:$N$61,MATCH($J534,B!$E$2:$E$61,0))="Sim",FALSE))</f>
        <v/>
      </c>
      <c r="AB534" s="72">
        <f>IF($J534="",FALSE,LEFT($X534,2)="XX")</f>
        <v/>
      </c>
      <c r="AC534" s="72">
        <f>IF($J534="",FALSE,IFERROR(INDEX(B!$P$2:$P$61,MATCH($J534,B!$E$2:$E$61,0))="Sim",FALSE))</f>
        <v/>
      </c>
      <c r="AD534" s="20" t="n"/>
      <c r="AE534" s="52">
        <f>IF(H534="","",HOUR(H534))</f>
        <v/>
      </c>
      <c r="AF534" s="52" t="n"/>
    </row>
    <row r="535" ht="19.5" customHeight="1" s="58">
      <c r="A535" s="62">
        <f>IF(G535="","",IF(G535=G534,"",COUNTIF($G$3:$G$976,G535)))</f>
        <v/>
      </c>
      <c r="B535" s="20" t="n"/>
      <c r="C535" s="63">
        <f>IF(G535="","",DAY(G535))</f>
        <v/>
      </c>
      <c r="D535" s="63">
        <f>IF(G535="","",MONTH(G535))</f>
        <v/>
      </c>
      <c r="E535" s="63">
        <f>IF(G535="","",YEAR(G535))</f>
        <v/>
      </c>
      <c r="F535" s="33">
        <f>IF(G535="","",CHOOSE(MONTH(G535),"Janeiro","Fevereiro","Março","Abril","Maio","Junho","Julho","Agosto","Setembro","Outubro","Novembro","Dezembro"))</f>
        <v/>
      </c>
      <c r="G535" s="64" t="n">
        <v>46070</v>
      </c>
      <c r="H535" s="65" t="n">
        <v>0.03582175925925926</v>
      </c>
      <c r="I535" s="66" t="inlineStr">
        <is>
          <t>https://docs.google.com/spreadsheets/d/1ZiCGoPjLCjuYvujDTXK9Ixbth3tekiLtFBzBrGjPCr4/edit?gid=0#gid=0</t>
        </is>
      </c>
      <c r="J535" s="67" t="inlineStr">
        <is>
          <t>Mais informações Gerais - [AA]</t>
        </is>
      </c>
      <c r="K535" s="67" t="inlineStr"/>
      <c r="L535" s="68" t="b">
        <v>0</v>
      </c>
      <c r="M535" s="20" t="n"/>
      <c r="N535" s="69">
        <f>IF($J535="","",IFERROR(INDEX(B!$F$2:$F$61,MATCH($J535,B!$E$2:$E$61,0))&amp;"",""))</f>
        <v/>
      </c>
      <c r="O535" s="69">
        <f>IF($J535="","",IFERROR(INDEX(B!$G$2:$G$61,MATCH($J535,B!$E$2:$E$61,0))&amp;"",""))</f>
        <v/>
      </c>
      <c r="P535" s="69">
        <f>IF($J535="","",IFERROR(INDEX(B!$H$2:$H$61,MATCH($J535,B!$E$2:$E$61,0))&amp;"",""))</f>
        <v/>
      </c>
      <c r="Q535" s="69">
        <f>IF($J535="","",IFERROR(INDEX(B!$I$2:$I$61,MATCH($J535,B!$E$2:$E$61,0))&amp;"",""))</f>
        <v/>
      </c>
      <c r="R535" s="69">
        <f>IF($J535="","",IFERROR(INDEX(B!$J$2:$J$61,MATCH($J535,B!$E$2:$E$61,0))&amp;"",""))</f>
        <v/>
      </c>
      <c r="S535" s="69">
        <f>IF($J535="","",IFERROR(INDEX(B!$K$2:$K$61,MATCH($J535,B!$E$2:$E$61,0))&amp;"",""))</f>
        <v/>
      </c>
      <c r="T535" s="69">
        <f>IF($J535="","",IFERROR(INDEX(B!$L$2:$L$61,MATCH($J535,B!$E$2:$E$61,0))&amp;"",""))</f>
        <v/>
      </c>
      <c r="U535" s="20" t="n"/>
      <c r="V535" s="70">
        <f>IF($J535="","",IFERROR(INDEX(B!$M$2:$M$61,MATCH($J535,B!$E$2:$E$61,0))&amp;"",""))</f>
        <v/>
      </c>
      <c r="W535" s="71">
        <f>IF(I535="","",IFERROR(MID(I535,FIND("/d/",I535)+3,FIND("/edit",I535)-FIND("/d/",I535)-3),I535))</f>
        <v/>
      </c>
      <c r="X535" s="71">
        <f>IF($J535="","",IFERROR(INDEX(B!$C$2:$C$61,MATCH($J535,B!$E$2:$E$61,0))&amp;"",""))</f>
        <v/>
      </c>
      <c r="Y535" s="20" t="n"/>
      <c r="Z535" s="72">
        <f>IF($J535="",FALSE,ISNUMBER(SEARCH("scout",$K535)))</f>
        <v/>
      </c>
      <c r="AA535" s="72">
        <f>IF($J535="",FALSE,IFERROR(INDEX(B!$N$2:$N$61,MATCH($J535,B!$E$2:$E$61,0))="Sim",FALSE))</f>
        <v/>
      </c>
      <c r="AB535" s="72">
        <f>IF($J535="",FALSE,LEFT($X535,2)="XX")</f>
        <v/>
      </c>
      <c r="AC535" s="72">
        <f>IF($J535="",FALSE,IFERROR(INDEX(B!$P$2:$P$61,MATCH($J535,B!$E$2:$E$61,0))="Sim",FALSE))</f>
        <v/>
      </c>
      <c r="AD535" s="20" t="n"/>
      <c r="AE535" s="52">
        <f>IF(H535="","",HOUR(H535))</f>
        <v/>
      </c>
      <c r="AF535" s="52" t="n"/>
    </row>
    <row r="536" ht="19.5" customHeight="1" s="58">
      <c r="A536" s="62">
        <f>IF(G536="","",IF(G536=G535,"",COUNTIF($G$3:$G$976,G536)))</f>
        <v/>
      </c>
      <c r="B536" s="20" t="n"/>
      <c r="C536" s="63">
        <f>IF(G536="","",DAY(G536))</f>
        <v/>
      </c>
      <c r="D536" s="63">
        <f>IF(G536="","",MONTH(G536))</f>
        <v/>
      </c>
      <c r="E536" s="63">
        <f>IF(G536="","",YEAR(G536))</f>
        <v/>
      </c>
      <c r="F536" s="33">
        <f>IF(G536="","",CHOOSE(MONTH(G536),"Janeiro","Fevereiro","Março","Abril","Maio","Junho","Julho","Agosto","Setembro","Outubro","Novembro","Dezembro"))</f>
        <v/>
      </c>
      <c r="G536" s="64" t="n">
        <v>46070</v>
      </c>
      <c r="H536" s="65" t="n">
        <v>0.03650462962962963</v>
      </c>
      <c r="I536" s="66" t="inlineStr">
        <is>
          <t>https://docs.google.com/spreadsheets/d/1ZiCGoPjLCjuYvujDTXK9Ixbth3tekiLtFBzBrGjPCr4/edit?gid=0#gid=0</t>
        </is>
      </c>
      <c r="J536" s="67" t="inlineStr">
        <is>
          <t>Taxa de Cancelamento - [TXC]</t>
        </is>
      </c>
      <c r="K536" s="67" t="inlineStr"/>
      <c r="L536" s="68" t="b">
        <v>0</v>
      </c>
      <c r="M536" s="20" t="n"/>
      <c r="N536" s="69">
        <f>IF($J536="","",IFERROR(INDEX(B!$F$2:$F$61,MATCH($J536,B!$E$2:$E$61,0))&amp;"",""))</f>
        <v/>
      </c>
      <c r="O536" s="69">
        <f>IF($J536="","",IFERROR(INDEX(B!$G$2:$G$61,MATCH($J536,B!$E$2:$E$61,0))&amp;"",""))</f>
        <v/>
      </c>
      <c r="P536" s="69">
        <f>IF($J536="","",IFERROR(INDEX(B!$H$2:$H$61,MATCH($J536,B!$E$2:$E$61,0))&amp;"",""))</f>
        <v/>
      </c>
      <c r="Q536" s="69">
        <f>IF($J536="","",IFERROR(INDEX(B!$I$2:$I$61,MATCH($J536,B!$E$2:$E$61,0))&amp;"",""))</f>
        <v/>
      </c>
      <c r="R536" s="69">
        <f>IF($J536="","",IFERROR(INDEX(B!$J$2:$J$61,MATCH($J536,B!$E$2:$E$61,0))&amp;"",""))</f>
        <v/>
      </c>
      <c r="S536" s="69">
        <f>IF($J536="","",IFERROR(INDEX(B!$K$2:$K$61,MATCH($J536,B!$E$2:$E$61,0))&amp;"",""))</f>
        <v/>
      </c>
      <c r="T536" s="69">
        <f>IF($J536="","",IFERROR(INDEX(B!$L$2:$L$61,MATCH($J536,B!$E$2:$E$61,0))&amp;"",""))</f>
        <v/>
      </c>
      <c r="U536" s="20" t="n"/>
      <c r="V536" s="70">
        <f>IF($J536="","",IFERROR(INDEX(B!$M$2:$M$61,MATCH($J536,B!$E$2:$E$61,0))&amp;"",""))</f>
        <v/>
      </c>
      <c r="W536" s="71">
        <f>IF(I536="","",IFERROR(MID(I536,FIND("/d/",I536)+3,FIND("/edit",I536)-FIND("/d/",I536)-3),I536))</f>
        <v/>
      </c>
      <c r="X536" s="71">
        <f>IF($J536="","",IFERROR(INDEX(B!$C$2:$C$61,MATCH($J536,B!$E$2:$E$61,0))&amp;"",""))</f>
        <v/>
      </c>
      <c r="Y536" s="20" t="n"/>
      <c r="Z536" s="72">
        <f>IF($J536="",FALSE,ISNUMBER(SEARCH("scout",$K536)))</f>
        <v/>
      </c>
      <c r="AA536" s="72">
        <f>IF($J536="",FALSE,IFERROR(INDEX(B!$N$2:$N$61,MATCH($J536,B!$E$2:$E$61,0))="Sim",FALSE))</f>
        <v/>
      </c>
      <c r="AB536" s="72">
        <f>IF($J536="",FALSE,LEFT($X536,2)="XX")</f>
        <v/>
      </c>
      <c r="AC536" s="72">
        <f>IF($J536="",FALSE,IFERROR(INDEX(B!$P$2:$P$61,MATCH($J536,B!$E$2:$E$61,0))="Sim",FALSE))</f>
        <v/>
      </c>
      <c r="AD536" s="20" t="n"/>
      <c r="AE536" s="52">
        <f>IF(H536="","",HOUR(H536))</f>
        <v/>
      </c>
      <c r="AF536" s="52" t="n"/>
    </row>
    <row r="537" ht="19.5" customHeight="1" s="58">
      <c r="A537" s="62">
        <f>IF(G537="","",IF(G537=G536,"",COUNTIF($G$3:$G$976,G537)))</f>
        <v/>
      </c>
      <c r="B537" s="20" t="n"/>
      <c r="C537" s="63">
        <f>IF(G537="","",DAY(G537))</f>
        <v/>
      </c>
      <c r="D537" s="63">
        <f>IF(G537="","",MONTH(G537))</f>
        <v/>
      </c>
      <c r="E537" s="63">
        <f>IF(G537="","",YEAR(G537))</f>
        <v/>
      </c>
      <c r="F537" s="33">
        <f>IF(G537="","",CHOOSE(MONTH(G537),"Janeiro","Fevereiro","Março","Abril","Maio","Junho","Julho","Agosto","Setembro","Outubro","Novembro","Dezembro"))</f>
        <v/>
      </c>
      <c r="G537" s="64" t="n">
        <v>46070</v>
      </c>
      <c r="H537" s="65" t="n">
        <v>0.0434375</v>
      </c>
      <c r="I537" s="66" t="inlineStr">
        <is>
          <t>https://docs.google.com/spreadsheets/d/1ZiCGoPjLCjuYvujDTXK9Ixbth3tekiLtFBzBrGjPCr4/edit?gid=0#gid=0</t>
        </is>
      </c>
      <c r="J537" s="67" t="inlineStr">
        <is>
          <t>Overpaid, Excede o limite Com comprovante - [OPEC]</t>
        </is>
      </c>
      <c r="K537" s="67" t="inlineStr">
        <is>
          <t>Scout</t>
        </is>
      </c>
      <c r="L537" s="68" t="b">
        <v>0</v>
      </c>
      <c r="M537" s="20" t="n"/>
      <c r="N537" s="69">
        <f>IF($J537="","",IFERROR(INDEX(B!$F$2:$F$61,MATCH($J537,B!$E$2:$E$61,0))&amp;"",""))</f>
        <v/>
      </c>
      <c r="O537" s="69">
        <f>IF($J537="","",IFERROR(INDEX(B!$G$2:$G$61,MATCH($J537,B!$E$2:$E$61,0))&amp;"",""))</f>
        <v/>
      </c>
      <c r="P537" s="69">
        <f>IF($J537="","",IFERROR(INDEX(B!$H$2:$H$61,MATCH($J537,B!$E$2:$E$61,0))&amp;"",""))</f>
        <v/>
      </c>
      <c r="Q537" s="69">
        <f>IF($J537="","",IFERROR(INDEX(B!$I$2:$I$61,MATCH($J537,B!$E$2:$E$61,0))&amp;"",""))</f>
        <v/>
      </c>
      <c r="R537" s="69">
        <f>IF($J537="","",IFERROR(INDEX(B!$J$2:$J$61,MATCH($J537,B!$E$2:$E$61,0))&amp;"",""))</f>
        <v/>
      </c>
      <c r="S537" s="69">
        <f>IF($J537="","",IFERROR(INDEX(B!$K$2:$K$61,MATCH($J537,B!$E$2:$E$61,0))&amp;"",""))</f>
        <v/>
      </c>
      <c r="T537" s="69">
        <f>IF($J537="","",IFERROR(INDEX(B!$L$2:$L$61,MATCH($J537,B!$E$2:$E$61,0))&amp;"",""))</f>
        <v/>
      </c>
      <c r="U537" s="20" t="n"/>
      <c r="V537" s="70">
        <f>IF($J537="","",IFERROR(INDEX(B!$M$2:$M$61,MATCH($J537,B!$E$2:$E$61,0))&amp;"",""))</f>
        <v/>
      </c>
      <c r="W537" s="71">
        <f>IF(I537="","",IFERROR(MID(I537,FIND("/d/",I537)+3,FIND("/edit",I537)-FIND("/d/",I537)-3),I537))</f>
        <v/>
      </c>
      <c r="X537" s="71">
        <f>IF($J537="","",IFERROR(INDEX(B!$C$2:$C$61,MATCH($J537,B!$E$2:$E$61,0))&amp;"",""))</f>
        <v/>
      </c>
      <c r="Y537" s="20" t="n"/>
      <c r="Z537" s="72">
        <f>IF($J537="",FALSE,ISNUMBER(SEARCH("scout",$K537)))</f>
        <v/>
      </c>
      <c r="AA537" s="72">
        <f>IF($J537="",FALSE,IFERROR(INDEX(B!$N$2:$N$61,MATCH($J537,B!$E$2:$E$61,0))="Sim",FALSE))</f>
        <v/>
      </c>
      <c r="AB537" s="72">
        <f>IF($J537="",FALSE,LEFT($X537,2)="XX")</f>
        <v/>
      </c>
      <c r="AC537" s="72">
        <f>IF($J537="",FALSE,IFERROR(INDEX(B!$P$2:$P$61,MATCH($J537,B!$E$2:$E$61,0))="Sim",FALSE))</f>
        <v/>
      </c>
      <c r="AD537" s="20" t="n"/>
      <c r="AE537" s="52">
        <f>IF(H537="","",HOUR(H537))</f>
        <v/>
      </c>
      <c r="AF537" s="52" t="n"/>
    </row>
    <row r="538" ht="19.5" customHeight="1" s="58">
      <c r="A538" s="62">
        <f>IF(G538="","",IF(G538=G537,"",COUNTIF($G$3:$G$976,G538)))</f>
        <v/>
      </c>
      <c r="B538" s="20" t="n"/>
      <c r="C538" s="63">
        <f>IF(G538="","",DAY(G538))</f>
        <v/>
      </c>
      <c r="D538" s="63">
        <f>IF(G538="","",MONTH(G538))</f>
        <v/>
      </c>
      <c r="E538" s="63">
        <f>IF(G538="","",YEAR(G538))</f>
        <v/>
      </c>
      <c r="F538" s="33">
        <f>IF(G538="","",CHOOSE(MONTH(G538),"Janeiro","Fevereiro","Março","Abril","Maio","Junho","Julho","Agosto","Setembro","Outubro","Novembro","Dezembro"))</f>
        <v/>
      </c>
      <c r="G538" s="64" t="n">
        <v>46070</v>
      </c>
      <c r="H538" s="65" t="n">
        <v>0.04971064814814815</v>
      </c>
      <c r="I538" s="66" t="inlineStr">
        <is>
          <t>https://docs.google.com/spreadsheets/d/1ZiCGoPjLCjuYvujDTXK9Ixbth3tekiLtFBzBrGjPCr4/edit?gid=0#gid=0</t>
        </is>
      </c>
      <c r="J538" s="67" t="inlineStr">
        <is>
          <t>Taxa de Cancelamento - [TXC]</t>
        </is>
      </c>
      <c r="K538" s="67" t="inlineStr"/>
      <c r="L538" s="68" t="b">
        <v>0</v>
      </c>
      <c r="M538" s="20" t="n"/>
      <c r="N538" s="69">
        <f>IF($J538="","",IFERROR(INDEX(B!$F$2:$F$61,MATCH($J538,B!$E$2:$E$61,0))&amp;"",""))</f>
        <v/>
      </c>
      <c r="O538" s="69">
        <f>IF($J538="","",IFERROR(INDEX(B!$G$2:$G$61,MATCH($J538,B!$E$2:$E$61,0))&amp;"",""))</f>
        <v/>
      </c>
      <c r="P538" s="69">
        <f>IF($J538="","",IFERROR(INDEX(B!$H$2:$H$61,MATCH($J538,B!$E$2:$E$61,0))&amp;"",""))</f>
        <v/>
      </c>
      <c r="Q538" s="69">
        <f>IF($J538="","",IFERROR(INDEX(B!$I$2:$I$61,MATCH($J538,B!$E$2:$E$61,0))&amp;"",""))</f>
        <v/>
      </c>
      <c r="R538" s="69">
        <f>IF($J538="","",IFERROR(INDEX(B!$J$2:$J$61,MATCH($J538,B!$E$2:$E$61,0))&amp;"",""))</f>
        <v/>
      </c>
      <c r="S538" s="69">
        <f>IF($J538="","",IFERROR(INDEX(B!$K$2:$K$61,MATCH($J538,B!$E$2:$E$61,0))&amp;"",""))</f>
        <v/>
      </c>
      <c r="T538" s="69">
        <f>IF($J538="","",IFERROR(INDEX(B!$L$2:$L$61,MATCH($J538,B!$E$2:$E$61,0))&amp;"",""))</f>
        <v/>
      </c>
      <c r="U538" s="20" t="n"/>
      <c r="V538" s="70">
        <f>IF($J538="","",IFERROR(INDEX(B!$M$2:$M$61,MATCH($J538,B!$E$2:$E$61,0))&amp;"",""))</f>
        <v/>
      </c>
      <c r="W538" s="71">
        <f>IF(I538="","",IFERROR(MID(I538,FIND("/d/",I538)+3,FIND("/edit",I538)-FIND("/d/",I538)-3),I538))</f>
        <v/>
      </c>
      <c r="X538" s="71">
        <f>IF($J538="","",IFERROR(INDEX(B!$C$2:$C$61,MATCH($J538,B!$E$2:$E$61,0))&amp;"",""))</f>
        <v/>
      </c>
      <c r="Y538" s="20" t="n"/>
      <c r="Z538" s="72">
        <f>IF($J538="",FALSE,ISNUMBER(SEARCH("scout",$K538)))</f>
        <v/>
      </c>
      <c r="AA538" s="72">
        <f>IF($J538="",FALSE,IFERROR(INDEX(B!$N$2:$N$61,MATCH($J538,B!$E$2:$E$61,0))="Sim",FALSE))</f>
        <v/>
      </c>
      <c r="AB538" s="72">
        <f>IF($J538="",FALSE,LEFT($X538,2)="XX")</f>
        <v/>
      </c>
      <c r="AC538" s="72">
        <f>IF($J538="",FALSE,IFERROR(INDEX(B!$P$2:$P$61,MATCH($J538,B!$E$2:$E$61,0))="Sim",FALSE))</f>
        <v/>
      </c>
      <c r="AD538" s="20" t="n"/>
      <c r="AE538" s="52">
        <f>IF(H538="","",HOUR(H538))</f>
        <v/>
      </c>
      <c r="AF538" s="52" t="n"/>
    </row>
    <row r="539" ht="19.5" customHeight="1" s="58">
      <c r="A539" s="62">
        <f>IF(G539="","",IF(G539=G538,"",COUNTIF($G$3:$G$976,G539)))</f>
        <v/>
      </c>
      <c r="B539" s="20" t="n"/>
      <c r="C539" s="63">
        <f>IF(G539="","",DAY(G539))</f>
        <v/>
      </c>
      <c r="D539" s="63">
        <f>IF(G539="","",MONTH(G539))</f>
        <v/>
      </c>
      <c r="E539" s="63">
        <f>IF(G539="","",YEAR(G539))</f>
        <v/>
      </c>
      <c r="F539" s="33">
        <f>IF(G539="","",CHOOSE(MONTH(G539),"Janeiro","Fevereiro","Março","Abril","Maio","Junho","Julho","Agosto","Setembro","Outubro","Novembro","Dezembro"))</f>
        <v/>
      </c>
      <c r="G539" s="64" t="n">
        <v>46070</v>
      </c>
      <c r="H539" s="65" t="n">
        <v>0.05557870370370371</v>
      </c>
      <c r="I539" s="66" t="inlineStr">
        <is>
          <t>https://docs.google.com/spreadsheets/d/1ZiCGoPjLCjuYvujDTXK9Ixbth3tekiLtFBzBrGjPCr4/edit?gid=0#gid=0</t>
        </is>
      </c>
      <c r="J539" s="67" t="inlineStr">
        <is>
          <t>Transferência de LOB (Profissionalismo) - [TIPR]</t>
        </is>
      </c>
      <c r="K539" s="67" t="inlineStr"/>
      <c r="L539" s="68" t="b">
        <v>0</v>
      </c>
      <c r="M539" s="20" t="n"/>
      <c r="N539" s="69">
        <f>IF($J539="","",IFERROR(INDEX(B!$F$2:$F$61,MATCH($J539,B!$E$2:$E$61,0))&amp;"",""))</f>
        <v/>
      </c>
      <c r="O539" s="69">
        <f>IF($J539="","",IFERROR(INDEX(B!$G$2:$G$61,MATCH($J539,B!$E$2:$E$61,0))&amp;"",""))</f>
        <v/>
      </c>
      <c r="P539" s="69">
        <f>IF($J539="","",IFERROR(INDEX(B!$H$2:$H$61,MATCH($J539,B!$E$2:$E$61,0))&amp;"",""))</f>
        <v/>
      </c>
      <c r="Q539" s="69">
        <f>IF($J539="","",IFERROR(INDEX(B!$I$2:$I$61,MATCH($J539,B!$E$2:$E$61,0))&amp;"",""))</f>
        <v/>
      </c>
      <c r="R539" s="69">
        <f>IF($J539="","",IFERROR(INDEX(B!$J$2:$J$61,MATCH($J539,B!$E$2:$E$61,0))&amp;"",""))</f>
        <v/>
      </c>
      <c r="S539" s="69">
        <f>IF($J539="","",IFERROR(INDEX(B!$K$2:$K$61,MATCH($J539,B!$E$2:$E$61,0))&amp;"",""))</f>
        <v/>
      </c>
      <c r="T539" s="69">
        <f>IF($J539="","",IFERROR(INDEX(B!$L$2:$L$61,MATCH($J539,B!$E$2:$E$61,0))&amp;"",""))</f>
        <v/>
      </c>
      <c r="U539" s="20" t="n"/>
      <c r="V539" s="70">
        <f>IF($J539="","",IFERROR(INDEX(B!$M$2:$M$61,MATCH($J539,B!$E$2:$E$61,0))&amp;"",""))</f>
        <v/>
      </c>
      <c r="W539" s="71">
        <f>IF(I539="","",IFERROR(MID(I539,FIND("/d/",I539)+3,FIND("/edit",I539)-FIND("/d/",I539)-3),I539))</f>
        <v/>
      </c>
      <c r="X539" s="71">
        <f>IF($J539="","",IFERROR(INDEX(B!$C$2:$C$61,MATCH($J539,B!$E$2:$E$61,0))&amp;"",""))</f>
        <v/>
      </c>
      <c r="Y539" s="20" t="n"/>
      <c r="Z539" s="72">
        <f>IF($J539="",FALSE,ISNUMBER(SEARCH("scout",$K539)))</f>
        <v/>
      </c>
      <c r="AA539" s="72">
        <f>IF($J539="",FALSE,IFERROR(INDEX(B!$N$2:$N$61,MATCH($J539,B!$E$2:$E$61,0))="Sim",FALSE))</f>
        <v/>
      </c>
      <c r="AB539" s="72">
        <f>IF($J539="",FALSE,LEFT($X539,2)="XX")</f>
        <v/>
      </c>
      <c r="AC539" s="72">
        <f>IF($J539="",FALSE,IFERROR(INDEX(B!$P$2:$P$61,MATCH($J539,B!$E$2:$E$61,0))="Sim",FALSE))</f>
        <v/>
      </c>
      <c r="AD539" s="20" t="n"/>
      <c r="AE539" s="52">
        <f>IF(H539="","",HOUR(H539))</f>
        <v/>
      </c>
      <c r="AF539" s="52" t="n"/>
    </row>
    <row r="540" ht="19.5" customHeight="1" s="58">
      <c r="A540" s="62">
        <f>IF(G540="","",IF(G540=G539,"",COUNTIF($G$3:$G$976,G540)))</f>
        <v/>
      </c>
      <c r="B540" s="20" t="n"/>
      <c r="C540" s="63">
        <f>IF(G540="","",DAY(G540))</f>
        <v/>
      </c>
      <c r="D540" s="63">
        <f>IF(G540="","",MONTH(G540))</f>
        <v/>
      </c>
      <c r="E540" s="63">
        <f>IF(G540="","",YEAR(G540))</f>
        <v/>
      </c>
      <c r="F540" s="33">
        <f>IF(G540="","",CHOOSE(MONTH(G540),"Janeiro","Fevereiro","Março","Abril","Maio","Junho","Julho","Agosto","Setembro","Outubro","Novembro","Dezembro"))</f>
        <v/>
      </c>
      <c r="G540" s="64" t="n">
        <v>46070</v>
      </c>
      <c r="H540" s="65" t="n">
        <v>0.06136574074074074</v>
      </c>
      <c r="I540" s="66" t="inlineStr">
        <is>
          <t>https://docs.google.com/spreadsheets/d/1ZiCGoPjLCjuYvujDTXK9Ixbth3tekiLtFBzBrGjPCr4/edit?gid=0#gid=0</t>
        </is>
      </c>
      <c r="J540" s="67" t="inlineStr">
        <is>
          <t>Erro de Gps (Problema Técnico) - [GPS]</t>
        </is>
      </c>
      <c r="K540" s="67" t="inlineStr"/>
      <c r="L540" s="68" t="b">
        <v>0</v>
      </c>
      <c r="M540" s="20" t="n"/>
      <c r="N540" s="69">
        <f>IF($J540="","",IFERROR(INDEX(B!$F$2:$F$61,MATCH($J540,B!$E$2:$E$61,0))&amp;"",""))</f>
        <v/>
      </c>
      <c r="O540" s="69">
        <f>IF($J540="","",IFERROR(INDEX(B!$G$2:$G$61,MATCH($J540,B!$E$2:$E$61,0))&amp;"",""))</f>
        <v/>
      </c>
      <c r="P540" s="69">
        <f>IF($J540="","",IFERROR(INDEX(B!$H$2:$H$61,MATCH($J540,B!$E$2:$E$61,0))&amp;"",""))</f>
        <v/>
      </c>
      <c r="Q540" s="69">
        <f>IF($J540="","",IFERROR(INDEX(B!$I$2:$I$61,MATCH($J540,B!$E$2:$E$61,0))&amp;"",""))</f>
        <v/>
      </c>
      <c r="R540" s="69">
        <f>IF($J540="","",IFERROR(INDEX(B!$J$2:$J$61,MATCH($J540,B!$E$2:$E$61,0))&amp;"",""))</f>
        <v/>
      </c>
      <c r="S540" s="69">
        <f>IF($J540="","",IFERROR(INDEX(B!$K$2:$K$61,MATCH($J540,B!$E$2:$E$61,0))&amp;"",""))</f>
        <v/>
      </c>
      <c r="T540" s="69">
        <f>IF($J540="","",IFERROR(INDEX(B!$L$2:$L$61,MATCH($J540,B!$E$2:$E$61,0))&amp;"",""))</f>
        <v/>
      </c>
      <c r="U540" s="20" t="n"/>
      <c r="V540" s="70">
        <f>IF($J540="","",IFERROR(INDEX(B!$M$2:$M$61,MATCH($J540,B!$E$2:$E$61,0))&amp;"",""))</f>
        <v/>
      </c>
      <c r="W540" s="71">
        <f>IF(I540="","",IFERROR(MID(I540,FIND("/d/",I540)+3,FIND("/edit",I540)-FIND("/d/",I540)-3),I540))</f>
        <v/>
      </c>
      <c r="X540" s="71">
        <f>IF($J540="","",IFERROR(INDEX(B!$C$2:$C$61,MATCH($J540,B!$E$2:$E$61,0))&amp;"",""))</f>
        <v/>
      </c>
      <c r="Y540" s="20" t="n"/>
      <c r="Z540" s="72">
        <f>IF($J540="",FALSE,ISNUMBER(SEARCH("scout",$K540)))</f>
        <v/>
      </c>
      <c r="AA540" s="72">
        <f>IF($J540="",FALSE,IFERROR(INDEX(B!$N$2:$N$61,MATCH($J540,B!$E$2:$E$61,0))="Sim",FALSE))</f>
        <v/>
      </c>
      <c r="AB540" s="72">
        <f>IF($J540="",FALSE,LEFT($X540,2)="XX")</f>
        <v/>
      </c>
      <c r="AC540" s="72">
        <f>IF($J540="",FALSE,IFERROR(INDEX(B!$P$2:$P$61,MATCH($J540,B!$E$2:$E$61,0))="Sim",FALSE))</f>
        <v/>
      </c>
      <c r="AD540" s="20" t="n"/>
      <c r="AE540" s="52">
        <f>IF(H540="","",HOUR(H540))</f>
        <v/>
      </c>
      <c r="AF540" s="52" t="n"/>
    </row>
    <row r="541" ht="19.5" customHeight="1" s="58">
      <c r="A541" s="62">
        <f>IF(G541="","",IF(G541=G540,"",COUNTIF($G$3:$G$976,G541)))</f>
        <v/>
      </c>
      <c r="B541" s="20" t="n"/>
      <c r="C541" s="63">
        <f>IF(G541="","",DAY(G541))</f>
        <v/>
      </c>
      <c r="D541" s="63">
        <f>IF(G541="","",MONTH(G541))</f>
        <v/>
      </c>
      <c r="E541" s="63">
        <f>IF(G541="","",YEAR(G541))</f>
        <v/>
      </c>
      <c r="F541" s="33">
        <f>IF(G541="","",CHOOSE(MONTH(G541),"Janeiro","Fevereiro","Março","Abril","Maio","Junho","Julho","Agosto","Setembro","Outubro","Novembro","Dezembro"))</f>
        <v/>
      </c>
      <c r="G541" s="64" t="n">
        <v>46070</v>
      </c>
      <c r="H541" s="65" t="n">
        <v>0.06403935185185185</v>
      </c>
      <c r="I541" s="66" t="inlineStr">
        <is>
          <t>https://docs.google.com/spreadsheets/d/1ZiCGoPjLCjuYvujDTXK9Ixbth3tekiLtFBzBrGjPCr4/edit?gid=0#gid=0</t>
        </is>
      </c>
      <c r="J541" s="67" t="inlineStr">
        <is>
          <t>Overpaid, Excede o limite Com comprovante - [OPEC]</t>
        </is>
      </c>
      <c r="K541" s="67" t="inlineStr"/>
      <c r="L541" s="68" t="b">
        <v>0</v>
      </c>
      <c r="M541" s="20" t="n"/>
      <c r="N541" s="69">
        <f>IF($J541="","",IFERROR(INDEX(B!$F$2:$F$61,MATCH($J541,B!$E$2:$E$61,0))&amp;"",""))</f>
        <v/>
      </c>
      <c r="O541" s="69">
        <f>IF($J541="","",IFERROR(INDEX(B!$G$2:$G$61,MATCH($J541,B!$E$2:$E$61,0))&amp;"",""))</f>
        <v/>
      </c>
      <c r="P541" s="69">
        <f>IF($J541="","",IFERROR(INDEX(B!$H$2:$H$61,MATCH($J541,B!$E$2:$E$61,0))&amp;"",""))</f>
        <v/>
      </c>
      <c r="Q541" s="69">
        <f>IF($J541="","",IFERROR(INDEX(B!$I$2:$I$61,MATCH($J541,B!$E$2:$E$61,0))&amp;"",""))</f>
        <v/>
      </c>
      <c r="R541" s="69">
        <f>IF($J541="","",IFERROR(INDEX(B!$J$2:$J$61,MATCH($J541,B!$E$2:$E$61,0))&amp;"",""))</f>
        <v/>
      </c>
      <c r="S541" s="69">
        <f>IF($J541="","",IFERROR(INDEX(B!$K$2:$K$61,MATCH($J541,B!$E$2:$E$61,0))&amp;"",""))</f>
        <v/>
      </c>
      <c r="T541" s="69">
        <f>IF($J541="","",IFERROR(INDEX(B!$L$2:$L$61,MATCH($J541,B!$E$2:$E$61,0))&amp;"",""))</f>
        <v/>
      </c>
      <c r="U541" s="20" t="n"/>
      <c r="V541" s="70">
        <f>IF($J541="","",IFERROR(INDEX(B!$M$2:$M$61,MATCH($J541,B!$E$2:$E$61,0))&amp;"",""))</f>
        <v/>
      </c>
      <c r="W541" s="71">
        <f>IF(I541="","",IFERROR(MID(I541,FIND("/d/",I541)+3,FIND("/edit",I541)-FIND("/d/",I541)-3),I541))</f>
        <v/>
      </c>
      <c r="X541" s="71">
        <f>IF($J541="","",IFERROR(INDEX(B!$C$2:$C$61,MATCH($J541,B!$E$2:$E$61,0))&amp;"",""))</f>
        <v/>
      </c>
      <c r="Y541" s="20" t="n"/>
      <c r="Z541" s="72">
        <f>IF($J541="",FALSE,ISNUMBER(SEARCH("scout",$K541)))</f>
        <v/>
      </c>
      <c r="AA541" s="72">
        <f>IF($J541="",FALSE,IFERROR(INDEX(B!$N$2:$N$61,MATCH($J541,B!$E$2:$E$61,0))="Sim",FALSE))</f>
        <v/>
      </c>
      <c r="AB541" s="72">
        <f>IF($J541="",FALSE,LEFT($X541,2)="XX")</f>
        <v/>
      </c>
      <c r="AC541" s="72">
        <f>IF($J541="",FALSE,IFERROR(INDEX(B!$P$2:$P$61,MATCH($J541,B!$E$2:$E$61,0))="Sim",FALSE))</f>
        <v/>
      </c>
      <c r="AD541" s="20" t="n"/>
      <c r="AE541" s="52">
        <f>IF(H541="","",HOUR(H541))</f>
        <v/>
      </c>
      <c r="AF541" s="52" t="n"/>
    </row>
    <row r="542" ht="19.5" customHeight="1" s="58">
      <c r="A542" s="62">
        <f>IF(G542="","",IF(G542=G541,"",COUNTIF($G$3:$G$976,G542)))</f>
        <v/>
      </c>
      <c r="B542" s="20" t="n"/>
      <c r="C542" s="63">
        <f>IF(G542="","",DAY(G542))</f>
        <v/>
      </c>
      <c r="D542" s="63">
        <f>IF(G542="","",MONTH(G542))</f>
        <v/>
      </c>
      <c r="E542" s="63">
        <f>IF(G542="","",YEAR(G542))</f>
        <v/>
      </c>
      <c r="F542" s="33">
        <f>IF(G542="","",CHOOSE(MONTH(G542),"Janeiro","Fevereiro","Março","Abril","Maio","Junho","Julho","Agosto","Setembro","Outubro","Novembro","Dezembro"))</f>
        <v/>
      </c>
      <c r="G542" s="64" t="n">
        <v>46070</v>
      </c>
      <c r="H542" s="65" t="n">
        <v>0.06700231481481482</v>
      </c>
      <c r="I542" s="66" t="inlineStr">
        <is>
          <t>https://docs.google.com/spreadsheets/d/1ZiCGoPjLCjuYvujDTXK9Ixbth3tekiLtFBzBrGjPCr4/edit?gid=0#gid=0</t>
        </is>
      </c>
      <c r="J542" s="67" t="inlineStr">
        <is>
          <t>Transferência de LOB (Geral não especificado) - [TI]</t>
        </is>
      </c>
      <c r="K542" s="67" t="inlineStr"/>
      <c r="L542" s="68" t="b">
        <v>0</v>
      </c>
      <c r="M542" s="20" t="n"/>
      <c r="N542" s="69">
        <f>IF($J542="","",IFERROR(INDEX(B!$F$2:$F$61,MATCH($J542,B!$E$2:$E$61,0))&amp;"",""))</f>
        <v/>
      </c>
      <c r="O542" s="69">
        <f>IF($J542="","",IFERROR(INDEX(B!$G$2:$G$61,MATCH($J542,B!$E$2:$E$61,0))&amp;"",""))</f>
        <v/>
      </c>
      <c r="P542" s="69">
        <f>IF($J542="","",IFERROR(INDEX(B!$H$2:$H$61,MATCH($J542,B!$E$2:$E$61,0))&amp;"",""))</f>
        <v/>
      </c>
      <c r="Q542" s="69">
        <f>IF($J542="","",IFERROR(INDEX(B!$I$2:$I$61,MATCH($J542,B!$E$2:$E$61,0))&amp;"",""))</f>
        <v/>
      </c>
      <c r="R542" s="69">
        <f>IF($J542="","",IFERROR(INDEX(B!$J$2:$J$61,MATCH($J542,B!$E$2:$E$61,0))&amp;"",""))</f>
        <v/>
      </c>
      <c r="S542" s="69">
        <f>IF($J542="","",IFERROR(INDEX(B!$K$2:$K$61,MATCH($J542,B!$E$2:$E$61,0))&amp;"",""))</f>
        <v/>
      </c>
      <c r="T542" s="69">
        <f>IF($J542="","",IFERROR(INDEX(B!$L$2:$L$61,MATCH($J542,B!$E$2:$E$61,0))&amp;"",""))</f>
        <v/>
      </c>
      <c r="U542" s="20" t="n"/>
      <c r="V542" s="70">
        <f>IF($J542="","",IFERROR(INDEX(B!$M$2:$M$61,MATCH($J542,B!$E$2:$E$61,0))&amp;"",""))</f>
        <v/>
      </c>
      <c r="W542" s="71">
        <f>IF(I542="","",IFERROR(MID(I542,FIND("/d/",I542)+3,FIND("/edit",I542)-FIND("/d/",I542)-3),I542))</f>
        <v/>
      </c>
      <c r="X542" s="71">
        <f>IF($J542="","",IFERROR(INDEX(B!$C$2:$C$61,MATCH($J542,B!$E$2:$E$61,0))&amp;"",""))</f>
        <v/>
      </c>
      <c r="Y542" s="20" t="n"/>
      <c r="Z542" s="72">
        <f>IF($J542="",FALSE,ISNUMBER(SEARCH("scout",$K542)))</f>
        <v/>
      </c>
      <c r="AA542" s="72">
        <f>IF($J542="",FALSE,IFERROR(INDEX(B!$N$2:$N$61,MATCH($J542,B!$E$2:$E$61,0))="Sim",FALSE))</f>
        <v/>
      </c>
      <c r="AB542" s="72">
        <f>IF($J542="",FALSE,LEFT($X542,2)="XX")</f>
        <v/>
      </c>
      <c r="AC542" s="72">
        <f>IF($J542="",FALSE,IFERROR(INDEX(B!$P$2:$P$61,MATCH($J542,B!$E$2:$E$61,0))="Sim",FALSE))</f>
        <v/>
      </c>
      <c r="AD542" s="20" t="n"/>
      <c r="AE542" s="52">
        <f>IF(H542="","",HOUR(H542))</f>
        <v/>
      </c>
      <c r="AF542" s="52" t="n"/>
    </row>
    <row r="543" ht="19.5" customHeight="1" s="58">
      <c r="A543" s="62">
        <f>IF(G543="","",IF(G543=G542,"",COUNTIF($G$3:$G$976,G543)))</f>
        <v/>
      </c>
      <c r="B543" s="20" t="n"/>
      <c r="C543" s="63">
        <f>IF(G543="","",DAY(G543))</f>
        <v/>
      </c>
      <c r="D543" s="63">
        <f>IF(G543="","",MONTH(G543))</f>
        <v/>
      </c>
      <c r="E543" s="63">
        <f>IF(G543="","",YEAR(G543))</f>
        <v/>
      </c>
      <c r="F543" s="33">
        <f>IF(G543="","",CHOOSE(MONTH(G543),"Janeiro","Fevereiro","Março","Abril","Maio","Junho","Julho","Agosto","Setembro","Outubro","Novembro","Dezembro"))</f>
        <v/>
      </c>
      <c r="G543" s="64" t="n">
        <v>46070</v>
      </c>
      <c r="H543" s="65" t="n">
        <v>0.07168981481481482</v>
      </c>
      <c r="I543" s="66" t="inlineStr">
        <is>
          <t>https://docs.google.com/spreadsheets/d/1ZiCGoPjLCjuYvujDTXK9Ixbth3tekiLtFBzBrGjPCr4/edit?gid=0#gid=0</t>
        </is>
      </c>
      <c r="J543" s="67" t="inlineStr">
        <is>
          <t>Taxa de Cancelamento Cobrada Corretamente - [TXCO]</t>
        </is>
      </c>
      <c r="K543" s="67" t="inlineStr">
        <is>
          <t>Scout</t>
        </is>
      </c>
      <c r="L543" s="68" t="b">
        <v>0</v>
      </c>
      <c r="M543" s="20" t="n"/>
      <c r="N543" s="69">
        <f>IF($J543="","",IFERROR(INDEX(B!$F$2:$F$61,MATCH($J543,B!$E$2:$E$61,0))&amp;"",""))</f>
        <v/>
      </c>
      <c r="O543" s="69">
        <f>IF($J543="","",IFERROR(INDEX(B!$G$2:$G$61,MATCH($J543,B!$E$2:$E$61,0))&amp;"",""))</f>
        <v/>
      </c>
      <c r="P543" s="69">
        <f>IF($J543="","",IFERROR(INDEX(B!$H$2:$H$61,MATCH($J543,B!$E$2:$E$61,0))&amp;"",""))</f>
        <v/>
      </c>
      <c r="Q543" s="69">
        <f>IF($J543="","",IFERROR(INDEX(B!$I$2:$I$61,MATCH($J543,B!$E$2:$E$61,0))&amp;"",""))</f>
        <v/>
      </c>
      <c r="R543" s="69">
        <f>IF($J543="","",IFERROR(INDEX(B!$J$2:$J$61,MATCH($J543,B!$E$2:$E$61,0))&amp;"",""))</f>
        <v/>
      </c>
      <c r="S543" s="69">
        <f>IF($J543="","",IFERROR(INDEX(B!$K$2:$K$61,MATCH($J543,B!$E$2:$E$61,0))&amp;"",""))</f>
        <v/>
      </c>
      <c r="T543" s="69">
        <f>IF($J543="","",IFERROR(INDEX(B!$L$2:$L$61,MATCH($J543,B!$E$2:$E$61,0))&amp;"",""))</f>
        <v/>
      </c>
      <c r="U543" s="20" t="n"/>
      <c r="V543" s="70">
        <f>IF($J543="","",IFERROR(INDEX(B!$M$2:$M$61,MATCH($J543,B!$E$2:$E$61,0))&amp;"",""))</f>
        <v/>
      </c>
      <c r="W543" s="71">
        <f>IF(I543="","",IFERROR(MID(I543,FIND("/d/",I543)+3,FIND("/edit",I543)-FIND("/d/",I543)-3),I543))</f>
        <v/>
      </c>
      <c r="X543" s="71">
        <f>IF($J543="","",IFERROR(INDEX(B!$C$2:$C$61,MATCH($J543,B!$E$2:$E$61,0))&amp;"",""))</f>
        <v/>
      </c>
      <c r="Y543" s="20" t="n"/>
      <c r="Z543" s="72">
        <f>IF($J543="",FALSE,ISNUMBER(SEARCH("scout",$K543)))</f>
        <v/>
      </c>
      <c r="AA543" s="72">
        <f>IF($J543="",FALSE,IFERROR(INDEX(B!$N$2:$N$61,MATCH($J543,B!$E$2:$E$61,0))="Sim",FALSE))</f>
        <v/>
      </c>
      <c r="AB543" s="72">
        <f>IF($J543="",FALSE,LEFT($X543,2)="XX")</f>
        <v/>
      </c>
      <c r="AC543" s="72">
        <f>IF($J543="",FALSE,IFERROR(INDEX(B!$P$2:$P$61,MATCH($J543,B!$E$2:$E$61,0))="Sim",FALSE))</f>
        <v/>
      </c>
      <c r="AD543" s="20" t="n"/>
      <c r="AE543" s="52">
        <f>IF(H543="","",HOUR(H543))</f>
        <v/>
      </c>
      <c r="AF543" s="52" t="n"/>
    </row>
    <row r="544" ht="19.5" customHeight="1" s="58">
      <c r="A544" s="62">
        <f>IF(G544="","",IF(G544=G543,"",COUNTIF($G$3:$G$976,G544)))</f>
        <v/>
      </c>
      <c r="B544" s="20" t="n"/>
      <c r="C544" s="63">
        <f>IF(G544="","",DAY(G544))</f>
        <v/>
      </c>
      <c r="D544" s="63">
        <f>IF(G544="","",MONTH(G544))</f>
        <v/>
      </c>
      <c r="E544" s="63">
        <f>IF(G544="","",YEAR(G544))</f>
        <v/>
      </c>
      <c r="F544" s="33">
        <f>IF(G544="","",CHOOSE(MONTH(G544),"Janeiro","Fevereiro","Março","Abril","Maio","Junho","Julho","Agosto","Setembro","Outubro","Novembro","Dezembro"))</f>
        <v/>
      </c>
      <c r="G544" s="64" t="n">
        <v>46070</v>
      </c>
      <c r="H544" s="65" t="n">
        <v>0.08119212962962963</v>
      </c>
      <c r="I544" s="66" t="inlineStr">
        <is>
          <t>https://docs.google.com/spreadsheets/d/1ZiCGoPjLCjuYvujDTXK9Ixbth3tekiLtFBzBrGjPCr4/edit?gid=0#gid=0</t>
        </is>
      </c>
      <c r="J544" s="67" t="inlineStr">
        <is>
          <t>Transferência de LOB (Lost Items) - [TILI]</t>
        </is>
      </c>
      <c r="K544" s="67" t="inlineStr"/>
      <c r="L544" s="68" t="b">
        <v>0</v>
      </c>
      <c r="M544" s="20" t="n"/>
      <c r="N544" s="69">
        <f>IF($J544="","",IFERROR(INDEX(B!$F$2:$F$61,MATCH($J544,B!$E$2:$E$61,0))&amp;"",""))</f>
        <v/>
      </c>
      <c r="O544" s="69">
        <f>IF($J544="","",IFERROR(INDEX(B!$G$2:$G$61,MATCH($J544,B!$E$2:$E$61,0))&amp;"",""))</f>
        <v/>
      </c>
      <c r="P544" s="69">
        <f>IF($J544="","",IFERROR(INDEX(B!$H$2:$H$61,MATCH($J544,B!$E$2:$E$61,0))&amp;"",""))</f>
        <v/>
      </c>
      <c r="Q544" s="69">
        <f>IF($J544="","",IFERROR(INDEX(B!$I$2:$I$61,MATCH($J544,B!$E$2:$E$61,0))&amp;"",""))</f>
        <v/>
      </c>
      <c r="R544" s="69">
        <f>IF($J544="","",IFERROR(INDEX(B!$J$2:$J$61,MATCH($J544,B!$E$2:$E$61,0))&amp;"",""))</f>
        <v/>
      </c>
      <c r="S544" s="69">
        <f>IF($J544="","",IFERROR(INDEX(B!$K$2:$K$61,MATCH($J544,B!$E$2:$E$61,0))&amp;"",""))</f>
        <v/>
      </c>
      <c r="T544" s="69">
        <f>IF($J544="","",IFERROR(INDEX(B!$L$2:$L$61,MATCH($J544,B!$E$2:$E$61,0))&amp;"",""))</f>
        <v/>
      </c>
      <c r="U544" s="20" t="n"/>
      <c r="V544" s="70">
        <f>IF($J544="","",IFERROR(INDEX(B!$M$2:$M$61,MATCH($J544,B!$E$2:$E$61,0))&amp;"",""))</f>
        <v/>
      </c>
      <c r="W544" s="71">
        <f>IF(I544="","",IFERROR(MID(I544,FIND("/d/",I544)+3,FIND("/edit",I544)-FIND("/d/",I544)-3),I544))</f>
        <v/>
      </c>
      <c r="X544" s="71">
        <f>IF($J544="","",IFERROR(INDEX(B!$C$2:$C$61,MATCH($J544,B!$E$2:$E$61,0))&amp;"",""))</f>
        <v/>
      </c>
      <c r="Y544" s="20" t="n"/>
      <c r="Z544" s="72">
        <f>IF($J544="",FALSE,ISNUMBER(SEARCH("scout",$K544)))</f>
        <v/>
      </c>
      <c r="AA544" s="72">
        <f>IF($J544="",FALSE,IFERROR(INDEX(B!$N$2:$N$61,MATCH($J544,B!$E$2:$E$61,0))="Sim",FALSE))</f>
        <v/>
      </c>
      <c r="AB544" s="72">
        <f>IF($J544="",FALSE,LEFT($X544,2)="XX")</f>
        <v/>
      </c>
      <c r="AC544" s="72">
        <f>IF($J544="",FALSE,IFERROR(INDEX(B!$P$2:$P$61,MATCH($J544,B!$E$2:$E$61,0))="Sim",FALSE))</f>
        <v/>
      </c>
      <c r="AD544" s="20" t="n"/>
      <c r="AE544" s="52">
        <f>IF(H544="","",HOUR(H544))</f>
        <v/>
      </c>
      <c r="AF544" s="52" t="n"/>
    </row>
    <row r="545" ht="19.5" customHeight="1" s="58">
      <c r="A545" s="62">
        <f>IF(G545="","",IF(G545=G544,"",COUNTIF($G$3:$G$976,G545)))</f>
        <v/>
      </c>
      <c r="B545" s="20" t="n"/>
      <c r="C545" s="63">
        <f>IF(G545="","",DAY(G545))</f>
        <v/>
      </c>
      <c r="D545" s="63">
        <f>IF(G545="","",MONTH(G545))</f>
        <v/>
      </c>
      <c r="E545" s="63">
        <f>IF(G545="","",YEAR(G545))</f>
        <v/>
      </c>
      <c r="F545" s="33">
        <f>IF(G545="","",CHOOSE(MONTH(G545),"Janeiro","Fevereiro","Março","Abril","Maio","Junho","Julho","Agosto","Setembro","Outubro","Novembro","Dezembro"))</f>
        <v/>
      </c>
      <c r="G545" s="64" t="n">
        <v>46070</v>
      </c>
      <c r="H545" s="65" t="n">
        <v>0.08186342592592592</v>
      </c>
      <c r="I545" s="66" t="inlineStr">
        <is>
          <t>https://docs.google.com/spreadsheets/d/1ZiCGoPjLCjuYvujDTXK9Ixbth3tekiLtFBzBrGjPCr4/edit?gid=0#gid=0</t>
        </is>
      </c>
      <c r="J545" s="67" t="inlineStr">
        <is>
          <t>Taxa de Limpeza - [TXL]</t>
        </is>
      </c>
      <c r="K545" s="67" t="inlineStr"/>
      <c r="L545" s="68" t="b">
        <v>0</v>
      </c>
      <c r="M545" s="20" t="n"/>
      <c r="N545" s="69">
        <f>IF($J545="","",IFERROR(INDEX(B!$F$2:$F$61,MATCH($J545,B!$E$2:$E$61,0))&amp;"",""))</f>
        <v/>
      </c>
      <c r="O545" s="69">
        <f>IF($J545="","",IFERROR(INDEX(B!$G$2:$G$61,MATCH($J545,B!$E$2:$E$61,0))&amp;"",""))</f>
        <v/>
      </c>
      <c r="P545" s="69">
        <f>IF($J545="","",IFERROR(INDEX(B!$H$2:$H$61,MATCH($J545,B!$E$2:$E$61,0))&amp;"",""))</f>
        <v/>
      </c>
      <c r="Q545" s="69">
        <f>IF($J545="","",IFERROR(INDEX(B!$I$2:$I$61,MATCH($J545,B!$E$2:$E$61,0))&amp;"",""))</f>
        <v/>
      </c>
      <c r="R545" s="69">
        <f>IF($J545="","",IFERROR(INDEX(B!$J$2:$J$61,MATCH($J545,B!$E$2:$E$61,0))&amp;"",""))</f>
        <v/>
      </c>
      <c r="S545" s="69">
        <f>IF($J545="","",IFERROR(INDEX(B!$K$2:$K$61,MATCH($J545,B!$E$2:$E$61,0))&amp;"",""))</f>
        <v/>
      </c>
      <c r="T545" s="69">
        <f>IF($J545="","",IFERROR(INDEX(B!$L$2:$L$61,MATCH($J545,B!$E$2:$E$61,0))&amp;"",""))</f>
        <v/>
      </c>
      <c r="U545" s="20" t="n"/>
      <c r="V545" s="70">
        <f>IF($J545="","",IFERROR(INDEX(B!$M$2:$M$61,MATCH($J545,B!$E$2:$E$61,0))&amp;"",""))</f>
        <v/>
      </c>
      <c r="W545" s="71">
        <f>IF(I545="","",IFERROR(MID(I545,FIND("/d/",I545)+3,FIND("/edit",I545)-FIND("/d/",I545)-3),I545))</f>
        <v/>
      </c>
      <c r="X545" s="71">
        <f>IF($J545="","",IFERROR(INDEX(B!$C$2:$C$61,MATCH($J545,B!$E$2:$E$61,0))&amp;"",""))</f>
        <v/>
      </c>
      <c r="Y545" s="20" t="n"/>
      <c r="Z545" s="72">
        <f>IF($J545="",FALSE,ISNUMBER(SEARCH("scout",$K545)))</f>
        <v/>
      </c>
      <c r="AA545" s="72">
        <f>IF($J545="",FALSE,IFERROR(INDEX(B!$N$2:$N$61,MATCH($J545,B!$E$2:$E$61,0))="Sim",FALSE))</f>
        <v/>
      </c>
      <c r="AB545" s="72">
        <f>IF($J545="",FALSE,LEFT($X545,2)="XX")</f>
        <v/>
      </c>
      <c r="AC545" s="72">
        <f>IF($J545="",FALSE,IFERROR(INDEX(B!$P$2:$P$61,MATCH($J545,B!$E$2:$E$61,0))="Sim",FALSE))</f>
        <v/>
      </c>
      <c r="AD545" s="20" t="n"/>
      <c r="AE545" s="52">
        <f>IF(H545="","",HOUR(H545))</f>
        <v/>
      </c>
      <c r="AF545" s="52" t="n"/>
    </row>
    <row r="546" ht="19.5" customHeight="1" s="58">
      <c r="A546" s="62">
        <f>IF(G546="","",IF(G546=G545,"",COUNTIF($G$3:$G$976,G546)))</f>
        <v/>
      </c>
      <c r="B546" s="20" t="n"/>
      <c r="C546" s="63">
        <f>IF(G546="","",DAY(G546))</f>
        <v/>
      </c>
      <c r="D546" s="63">
        <f>IF(G546="","",MONTH(G546))</f>
        <v/>
      </c>
      <c r="E546" s="63">
        <f>IF(G546="","",YEAR(G546))</f>
        <v/>
      </c>
      <c r="F546" s="33">
        <f>IF(G546="","",CHOOSE(MONTH(G546),"Janeiro","Fevereiro","Março","Abril","Maio","Junho","Julho","Agosto","Setembro","Outubro","Novembro","Dezembro"))</f>
        <v/>
      </c>
      <c r="G546" s="64" t="n">
        <v>46070</v>
      </c>
      <c r="H546" s="65" t="n">
        <v>0.08305555555555555</v>
      </c>
      <c r="I546" s="66" t="inlineStr">
        <is>
          <t>https://docs.google.com/spreadsheets/d/1ZiCGoPjLCjuYvujDTXK9Ixbth3tekiLtFBzBrGjPCr4/edit?gid=0#gid=0</t>
        </is>
      </c>
      <c r="J546" s="67" t="inlineStr">
        <is>
          <t>Transferência de LOB (Lost Items) - [TILI]</t>
        </is>
      </c>
      <c r="K546" s="67" t="inlineStr"/>
      <c r="L546" s="68" t="b">
        <v>0</v>
      </c>
      <c r="M546" s="20" t="n"/>
      <c r="N546" s="69">
        <f>IF($J546="","",IFERROR(INDEX(B!$F$2:$F$61,MATCH($J546,B!$E$2:$E$61,0))&amp;"",""))</f>
        <v/>
      </c>
      <c r="O546" s="69">
        <f>IF($J546="","",IFERROR(INDEX(B!$G$2:$G$61,MATCH($J546,B!$E$2:$E$61,0))&amp;"",""))</f>
        <v/>
      </c>
      <c r="P546" s="69">
        <f>IF($J546="","",IFERROR(INDEX(B!$H$2:$H$61,MATCH($J546,B!$E$2:$E$61,0))&amp;"",""))</f>
        <v/>
      </c>
      <c r="Q546" s="69">
        <f>IF($J546="","",IFERROR(INDEX(B!$I$2:$I$61,MATCH($J546,B!$E$2:$E$61,0))&amp;"",""))</f>
        <v/>
      </c>
      <c r="R546" s="69">
        <f>IF($J546="","",IFERROR(INDEX(B!$J$2:$J$61,MATCH($J546,B!$E$2:$E$61,0))&amp;"",""))</f>
        <v/>
      </c>
      <c r="S546" s="69">
        <f>IF($J546="","",IFERROR(INDEX(B!$K$2:$K$61,MATCH($J546,B!$E$2:$E$61,0))&amp;"",""))</f>
        <v/>
      </c>
      <c r="T546" s="69">
        <f>IF($J546="","",IFERROR(INDEX(B!$L$2:$L$61,MATCH($J546,B!$E$2:$E$61,0))&amp;"",""))</f>
        <v/>
      </c>
      <c r="U546" s="20" t="n"/>
      <c r="V546" s="70">
        <f>IF($J546="","",IFERROR(INDEX(B!$M$2:$M$61,MATCH($J546,B!$E$2:$E$61,0))&amp;"",""))</f>
        <v/>
      </c>
      <c r="W546" s="71">
        <f>IF(I546="","",IFERROR(MID(I546,FIND("/d/",I546)+3,FIND("/edit",I546)-FIND("/d/",I546)-3),I546))</f>
        <v/>
      </c>
      <c r="X546" s="71">
        <f>IF($J546="","",IFERROR(INDEX(B!$C$2:$C$61,MATCH($J546,B!$E$2:$E$61,0))&amp;"",""))</f>
        <v/>
      </c>
      <c r="Y546" s="20" t="n"/>
      <c r="Z546" s="72">
        <f>IF($J546="",FALSE,ISNUMBER(SEARCH("scout",$K546)))</f>
        <v/>
      </c>
      <c r="AA546" s="72">
        <f>IF($J546="",FALSE,IFERROR(INDEX(B!$N$2:$N$61,MATCH($J546,B!$E$2:$E$61,0))="Sim",FALSE))</f>
        <v/>
      </c>
      <c r="AB546" s="72">
        <f>IF($J546="",FALSE,LEFT($X546,2)="XX")</f>
        <v/>
      </c>
      <c r="AC546" s="72">
        <f>IF($J546="",FALSE,IFERROR(INDEX(B!$P$2:$P$61,MATCH($J546,B!$E$2:$E$61,0))="Sim",FALSE))</f>
        <v/>
      </c>
      <c r="AD546" s="20" t="n"/>
      <c r="AE546" s="52">
        <f>IF(H546="","",HOUR(H546))</f>
        <v/>
      </c>
      <c r="AF546" s="52" t="n"/>
    </row>
    <row r="547" ht="19.5" customHeight="1" s="58">
      <c r="A547" s="62">
        <f>IF(G547="","",IF(G547=G546,"",COUNTIF($G$3:$G$976,G547)))</f>
        <v/>
      </c>
      <c r="B547" s="20" t="n"/>
      <c r="C547" s="63">
        <f>IF(G547="","",DAY(G547))</f>
        <v/>
      </c>
      <c r="D547" s="63">
        <f>IF(G547="","",MONTH(G547))</f>
        <v/>
      </c>
      <c r="E547" s="63">
        <f>IF(G547="","",YEAR(G547))</f>
        <v/>
      </c>
      <c r="F547" s="33">
        <f>IF(G547="","",CHOOSE(MONTH(G547),"Janeiro","Fevereiro","Março","Abril","Maio","Junho","Julho","Agosto","Setembro","Outubro","Novembro","Dezembro"))</f>
        <v/>
      </c>
      <c r="G547" s="64" t="n">
        <v>46070</v>
      </c>
      <c r="H547" s="65" t="n">
        <v>0.08679398148148149</v>
      </c>
      <c r="I547" s="66" t="inlineStr">
        <is>
          <t>https://docs.google.com/spreadsheets/d/1ZiCGoPjLCjuYvujDTXK9Ixbth3tekiLtFBzBrGjPCr4/edit?gid=0#gid=0</t>
        </is>
      </c>
      <c r="J547" s="67" t="inlineStr">
        <is>
          <t>Mais informações (Quanto Pagou?) - [AAV]</t>
        </is>
      </c>
      <c r="K547" s="67" t="inlineStr"/>
      <c r="L547" s="68" t="b">
        <v>0</v>
      </c>
      <c r="M547" s="20" t="n"/>
      <c r="N547" s="69">
        <f>IF($J547="","",IFERROR(INDEX(B!$F$2:$F$61,MATCH($J547,B!$E$2:$E$61,0))&amp;"",""))</f>
        <v/>
      </c>
      <c r="O547" s="69">
        <f>IF($J547="","",IFERROR(INDEX(B!$G$2:$G$61,MATCH($J547,B!$E$2:$E$61,0))&amp;"",""))</f>
        <v/>
      </c>
      <c r="P547" s="69">
        <f>IF($J547="","",IFERROR(INDEX(B!$H$2:$H$61,MATCH($J547,B!$E$2:$E$61,0))&amp;"",""))</f>
        <v/>
      </c>
      <c r="Q547" s="69">
        <f>IF($J547="","",IFERROR(INDEX(B!$I$2:$I$61,MATCH($J547,B!$E$2:$E$61,0))&amp;"",""))</f>
        <v/>
      </c>
      <c r="R547" s="69">
        <f>IF($J547="","",IFERROR(INDEX(B!$J$2:$J$61,MATCH($J547,B!$E$2:$E$61,0))&amp;"",""))</f>
        <v/>
      </c>
      <c r="S547" s="69">
        <f>IF($J547="","",IFERROR(INDEX(B!$K$2:$K$61,MATCH($J547,B!$E$2:$E$61,0))&amp;"",""))</f>
        <v/>
      </c>
      <c r="T547" s="69">
        <f>IF($J547="","",IFERROR(INDEX(B!$L$2:$L$61,MATCH($J547,B!$E$2:$E$61,0))&amp;"",""))</f>
        <v/>
      </c>
      <c r="U547" s="20" t="n"/>
      <c r="V547" s="70">
        <f>IF($J547="","",IFERROR(INDEX(B!$M$2:$M$61,MATCH($J547,B!$E$2:$E$61,0))&amp;"",""))</f>
        <v/>
      </c>
      <c r="W547" s="71">
        <f>IF(I547="","",IFERROR(MID(I547,FIND("/d/",I547)+3,FIND("/edit",I547)-FIND("/d/",I547)-3),I547))</f>
        <v/>
      </c>
      <c r="X547" s="71">
        <f>IF($J547="","",IFERROR(INDEX(B!$C$2:$C$61,MATCH($J547,B!$E$2:$E$61,0))&amp;"",""))</f>
        <v/>
      </c>
      <c r="Y547" s="20" t="n"/>
      <c r="Z547" s="72">
        <f>IF($J547="",FALSE,ISNUMBER(SEARCH("scout",$K547)))</f>
        <v/>
      </c>
      <c r="AA547" s="72">
        <f>IF($J547="",FALSE,IFERROR(INDEX(B!$N$2:$N$61,MATCH($J547,B!$E$2:$E$61,0))="Sim",FALSE))</f>
        <v/>
      </c>
      <c r="AB547" s="72">
        <f>IF($J547="",FALSE,LEFT($X547,2)="XX")</f>
        <v/>
      </c>
      <c r="AC547" s="72">
        <f>IF($J547="",FALSE,IFERROR(INDEX(B!$P$2:$P$61,MATCH($J547,B!$E$2:$E$61,0))="Sim",FALSE))</f>
        <v/>
      </c>
      <c r="AD547" s="20" t="n"/>
      <c r="AE547" s="52">
        <f>IF(H547="","",HOUR(H547))</f>
        <v/>
      </c>
      <c r="AF547" s="52" t="n"/>
    </row>
    <row r="548" ht="19.5" customHeight="1" s="58">
      <c r="A548" s="62">
        <f>IF(G548="","",IF(G548=G547,"",COUNTIF($G$3:$G$976,G548)))</f>
        <v/>
      </c>
      <c r="B548" s="20" t="n"/>
      <c r="C548" s="63">
        <f>IF(G548="","",DAY(G548))</f>
        <v/>
      </c>
      <c r="D548" s="63">
        <f>IF(G548="","",MONTH(G548))</f>
        <v/>
      </c>
      <c r="E548" s="63">
        <f>IF(G548="","",YEAR(G548))</f>
        <v/>
      </c>
      <c r="F548" s="33">
        <f>IF(G548="","",CHOOSE(MONTH(G548),"Janeiro","Fevereiro","Março","Abril","Maio","Junho","Julho","Agosto","Setembro","Outubro","Novembro","Dezembro"))</f>
        <v/>
      </c>
      <c r="G548" s="64" t="n">
        <v>46070</v>
      </c>
      <c r="H548" s="65" t="n">
        <v>0.09177083333333333</v>
      </c>
      <c r="I548" s="66" t="inlineStr">
        <is>
          <t>https://docs.google.com/spreadsheets/d/1ZiCGoPjLCjuYvujDTXK9Ixbth3tekiLtFBzBrGjPCr4/edit?gid=0#gid=0</t>
        </is>
      </c>
      <c r="J548" s="67" t="inlineStr">
        <is>
          <t>Transferência de LOB (Accounts) - [TIAC]</t>
        </is>
      </c>
      <c r="K548" s="67" t="inlineStr">
        <is>
          <t>Scout</t>
        </is>
      </c>
      <c r="L548" s="68" t="b">
        <v>0</v>
      </c>
      <c r="M548" s="20" t="n"/>
      <c r="N548" s="69">
        <f>IF($J548="","",IFERROR(INDEX(B!$F$2:$F$61,MATCH($J548,B!$E$2:$E$61,0))&amp;"",""))</f>
        <v/>
      </c>
      <c r="O548" s="69">
        <f>IF($J548="","",IFERROR(INDEX(B!$G$2:$G$61,MATCH($J548,B!$E$2:$E$61,0))&amp;"",""))</f>
        <v/>
      </c>
      <c r="P548" s="69">
        <f>IF($J548="","",IFERROR(INDEX(B!$H$2:$H$61,MATCH($J548,B!$E$2:$E$61,0))&amp;"",""))</f>
        <v/>
      </c>
      <c r="Q548" s="69">
        <f>IF($J548="","",IFERROR(INDEX(B!$I$2:$I$61,MATCH($J548,B!$E$2:$E$61,0))&amp;"",""))</f>
        <v/>
      </c>
      <c r="R548" s="69">
        <f>IF($J548="","",IFERROR(INDEX(B!$J$2:$J$61,MATCH($J548,B!$E$2:$E$61,0))&amp;"",""))</f>
        <v/>
      </c>
      <c r="S548" s="69">
        <f>IF($J548="","",IFERROR(INDEX(B!$K$2:$K$61,MATCH($J548,B!$E$2:$E$61,0))&amp;"",""))</f>
        <v/>
      </c>
      <c r="T548" s="69">
        <f>IF($J548="","",IFERROR(INDEX(B!$L$2:$L$61,MATCH($J548,B!$E$2:$E$61,0))&amp;"",""))</f>
        <v/>
      </c>
      <c r="U548" s="20" t="n"/>
      <c r="V548" s="70">
        <f>IF($J548="","",IFERROR(INDEX(B!$M$2:$M$61,MATCH($J548,B!$E$2:$E$61,0))&amp;"",""))</f>
        <v/>
      </c>
      <c r="W548" s="71">
        <f>IF(I548="","",IFERROR(MID(I548,FIND("/d/",I548)+3,FIND("/edit",I548)-FIND("/d/",I548)-3),I548))</f>
        <v/>
      </c>
      <c r="X548" s="71">
        <f>IF($J548="","",IFERROR(INDEX(B!$C$2:$C$61,MATCH($J548,B!$E$2:$E$61,0))&amp;"",""))</f>
        <v/>
      </c>
      <c r="Y548" s="20" t="n"/>
      <c r="Z548" s="72">
        <f>IF($J548="",FALSE,ISNUMBER(SEARCH("scout",$K548)))</f>
        <v/>
      </c>
      <c r="AA548" s="72">
        <f>IF($J548="",FALSE,IFERROR(INDEX(B!$N$2:$N$61,MATCH($J548,B!$E$2:$E$61,0))="Sim",FALSE))</f>
        <v/>
      </c>
      <c r="AB548" s="72">
        <f>IF($J548="",FALSE,LEFT($X548,2)="XX")</f>
        <v/>
      </c>
      <c r="AC548" s="72">
        <f>IF($J548="",FALSE,IFERROR(INDEX(B!$P$2:$P$61,MATCH($J548,B!$E$2:$E$61,0))="Sim",FALSE))</f>
        <v/>
      </c>
      <c r="AD548" s="20" t="n"/>
      <c r="AE548" s="52">
        <f>IF(H548="","",HOUR(H548))</f>
        <v/>
      </c>
      <c r="AF548" s="52" t="n"/>
    </row>
    <row r="549" ht="19.5" customHeight="1" s="58">
      <c r="A549" s="62">
        <f>IF(G549="","",IF(G549=G548,"",COUNTIF($G$3:$G$976,G549)))</f>
        <v/>
      </c>
      <c r="B549" s="20" t="n"/>
      <c r="C549" s="63">
        <f>IF(G549="","",DAY(G549))</f>
        <v/>
      </c>
      <c r="D549" s="63">
        <f>IF(G549="","",MONTH(G549))</f>
        <v/>
      </c>
      <c r="E549" s="63">
        <f>IF(G549="","",YEAR(G549))</f>
        <v/>
      </c>
      <c r="F549" s="33">
        <f>IF(G549="","",CHOOSE(MONTH(G549),"Janeiro","Fevereiro","Março","Abril","Maio","Junho","Julho","Agosto","Setembro","Outubro","Novembro","Dezembro"))</f>
        <v/>
      </c>
      <c r="G549" s="64" t="n">
        <v>46070</v>
      </c>
      <c r="H549" s="65" t="n">
        <v>0.09199074074074073</v>
      </c>
      <c r="I549" s="66" t="inlineStr">
        <is>
          <t>https://docs.google.com/spreadsheets/d/1ZiCGoPjLCjuYvujDTXK9Ixbth3tekiLtFBzBrGjPCr4/edit?gid=0#gid=0</t>
        </is>
      </c>
      <c r="J549" s="67" t="inlineStr">
        <is>
          <t>No Need Response (Não precisa de resposta) - [NRN]</t>
        </is>
      </c>
      <c r="K549" s="67" t="inlineStr"/>
      <c r="L549" s="68" t="b">
        <v>0</v>
      </c>
      <c r="M549" s="20" t="n"/>
      <c r="N549" s="69">
        <f>IF($J549="","",IFERROR(INDEX(B!$F$2:$F$61,MATCH($J549,B!$E$2:$E$61,0))&amp;"",""))</f>
        <v/>
      </c>
      <c r="O549" s="69">
        <f>IF($J549="","",IFERROR(INDEX(B!$G$2:$G$61,MATCH($J549,B!$E$2:$E$61,0))&amp;"",""))</f>
        <v/>
      </c>
      <c r="P549" s="69">
        <f>IF($J549="","",IFERROR(INDEX(B!$H$2:$H$61,MATCH($J549,B!$E$2:$E$61,0))&amp;"",""))</f>
        <v/>
      </c>
      <c r="Q549" s="69">
        <f>IF($J549="","",IFERROR(INDEX(B!$I$2:$I$61,MATCH($J549,B!$E$2:$E$61,0))&amp;"",""))</f>
        <v/>
      </c>
      <c r="R549" s="69">
        <f>IF($J549="","",IFERROR(INDEX(B!$J$2:$J$61,MATCH($J549,B!$E$2:$E$61,0))&amp;"",""))</f>
        <v/>
      </c>
      <c r="S549" s="69">
        <f>IF($J549="","",IFERROR(INDEX(B!$K$2:$K$61,MATCH($J549,B!$E$2:$E$61,0))&amp;"",""))</f>
        <v/>
      </c>
      <c r="T549" s="69">
        <f>IF($J549="","",IFERROR(INDEX(B!$L$2:$L$61,MATCH($J549,B!$E$2:$E$61,0))&amp;"",""))</f>
        <v/>
      </c>
      <c r="U549" s="20" t="n"/>
      <c r="V549" s="70">
        <f>IF($J549="","",IFERROR(INDEX(B!$M$2:$M$61,MATCH($J549,B!$E$2:$E$61,0))&amp;"",""))</f>
        <v/>
      </c>
      <c r="W549" s="71">
        <f>IF(I549="","",IFERROR(MID(I549,FIND("/d/",I549)+3,FIND("/edit",I549)-FIND("/d/",I549)-3),I549))</f>
        <v/>
      </c>
      <c r="X549" s="71">
        <f>IF($J549="","",IFERROR(INDEX(B!$C$2:$C$61,MATCH($J549,B!$E$2:$E$61,0))&amp;"",""))</f>
        <v/>
      </c>
      <c r="Y549" s="20" t="n"/>
      <c r="Z549" s="72">
        <f>IF($J549="",FALSE,ISNUMBER(SEARCH("scout",$K549)))</f>
        <v/>
      </c>
      <c r="AA549" s="72">
        <f>IF($J549="",FALSE,IFERROR(INDEX(B!$N$2:$N$61,MATCH($J549,B!$E$2:$E$61,0))="Sim",FALSE))</f>
        <v/>
      </c>
      <c r="AB549" s="72">
        <f>IF($J549="",FALSE,LEFT($X549,2)="XX")</f>
        <v/>
      </c>
      <c r="AC549" s="72">
        <f>IF($J549="",FALSE,IFERROR(INDEX(B!$P$2:$P$61,MATCH($J549,B!$E$2:$E$61,0))="Sim",FALSE))</f>
        <v/>
      </c>
      <c r="AD549" s="20" t="n"/>
      <c r="AE549" s="52">
        <f>IF(H549="","",HOUR(H549))</f>
        <v/>
      </c>
      <c r="AF549" s="52" t="n"/>
    </row>
    <row r="550" ht="19.5" customHeight="1" s="58">
      <c r="A550" s="62">
        <f>IF(G550="","",IF(G550=G549,"",COUNTIF($G$3:$G$976,G550)))</f>
        <v/>
      </c>
      <c r="B550" s="20" t="n"/>
      <c r="C550" s="63">
        <f>IF(G550="","",DAY(G550))</f>
        <v/>
      </c>
      <c r="D550" s="63">
        <f>IF(G550="","",MONTH(G550))</f>
        <v/>
      </c>
      <c r="E550" s="63">
        <f>IF(G550="","",YEAR(G550))</f>
        <v/>
      </c>
      <c r="F550" s="33">
        <f>IF(G550="","",CHOOSE(MONTH(G550),"Janeiro","Fevereiro","Março","Abril","Maio","Junho","Julho","Agosto","Setembro","Outubro","Novembro","Dezembro"))</f>
        <v/>
      </c>
      <c r="G550" s="64" t="n">
        <v>46070</v>
      </c>
      <c r="H550" s="65" t="n">
        <v>0.1066550925925926</v>
      </c>
      <c r="I550" s="66" t="inlineStr">
        <is>
          <t>https://docs.google.com/spreadsheets/d/1ZiCGoPjLCjuYvujDTXK9Ixbth3tekiLtFBzBrGjPCr4/edit?gid=0#gid=0</t>
        </is>
      </c>
      <c r="J550" s="67" t="inlineStr">
        <is>
          <t>Overpaid, Excede o limite Com comprovante - [OPEC]</t>
        </is>
      </c>
      <c r="K550" s="67" t="inlineStr"/>
      <c r="L550" s="68" t="b">
        <v>1</v>
      </c>
      <c r="M550" s="20" t="n"/>
      <c r="N550" s="69">
        <f>IF($J550="","",IFERROR(INDEX(B!$F$2:$F$61,MATCH($J550,B!$E$2:$E$61,0))&amp;"",""))</f>
        <v/>
      </c>
      <c r="O550" s="69">
        <f>IF($J550="","",IFERROR(INDEX(B!$G$2:$G$61,MATCH($J550,B!$E$2:$E$61,0))&amp;"",""))</f>
        <v/>
      </c>
      <c r="P550" s="69">
        <f>IF($J550="","",IFERROR(INDEX(B!$H$2:$H$61,MATCH($J550,B!$E$2:$E$61,0))&amp;"",""))</f>
        <v/>
      </c>
      <c r="Q550" s="69">
        <f>IF($J550="","",IFERROR(INDEX(B!$I$2:$I$61,MATCH($J550,B!$E$2:$E$61,0))&amp;"",""))</f>
        <v/>
      </c>
      <c r="R550" s="69">
        <f>IF($J550="","",IFERROR(INDEX(B!$J$2:$J$61,MATCH($J550,B!$E$2:$E$61,0))&amp;"",""))</f>
        <v/>
      </c>
      <c r="S550" s="69">
        <f>IF($J550="","",IFERROR(INDEX(B!$K$2:$K$61,MATCH($J550,B!$E$2:$E$61,0))&amp;"",""))</f>
        <v/>
      </c>
      <c r="T550" s="69">
        <f>IF($J550="","",IFERROR(INDEX(B!$L$2:$L$61,MATCH($J550,B!$E$2:$E$61,0))&amp;"",""))</f>
        <v/>
      </c>
      <c r="U550" s="20" t="n"/>
      <c r="V550" s="70">
        <f>IF($J550="","",IFERROR(INDEX(B!$M$2:$M$61,MATCH($J550,B!$E$2:$E$61,0))&amp;"",""))</f>
        <v/>
      </c>
      <c r="W550" s="71">
        <f>IF(I550="","",IFERROR(MID(I550,FIND("/d/",I550)+3,FIND("/edit",I550)-FIND("/d/",I550)-3),I550))</f>
        <v/>
      </c>
      <c r="X550" s="71">
        <f>IF($J550="","",IFERROR(INDEX(B!$C$2:$C$61,MATCH($J550,B!$E$2:$E$61,0))&amp;"",""))</f>
        <v/>
      </c>
      <c r="Y550" s="20" t="n"/>
      <c r="Z550" s="72">
        <f>IF($J550="",FALSE,ISNUMBER(SEARCH("scout",$K550)))</f>
        <v/>
      </c>
      <c r="AA550" s="72">
        <f>IF($J550="",FALSE,IFERROR(INDEX(B!$N$2:$N$61,MATCH($J550,B!$E$2:$E$61,0))="Sim",FALSE))</f>
        <v/>
      </c>
      <c r="AB550" s="72">
        <f>IF($J550="",FALSE,LEFT($X550,2)="XX")</f>
        <v/>
      </c>
      <c r="AC550" s="72">
        <f>IF($J550="",FALSE,IFERROR(INDEX(B!$P$2:$P$61,MATCH($J550,B!$E$2:$E$61,0))="Sim",FALSE))</f>
        <v/>
      </c>
      <c r="AD550" s="20" t="n"/>
      <c r="AE550" s="52">
        <f>IF(H550="","",HOUR(H550))</f>
        <v/>
      </c>
      <c r="AF550" s="52" t="n"/>
    </row>
    <row r="551" ht="19.5" customHeight="1" s="58">
      <c r="A551" s="62">
        <f>IF(G551="","",IF(G551=G550,"",COUNTIF($G$3:$G$976,G551)))</f>
        <v/>
      </c>
      <c r="B551" s="20" t="n"/>
      <c r="C551" s="63">
        <f>IF(G551="","",DAY(G551))</f>
        <v/>
      </c>
      <c r="D551" s="63">
        <f>IF(G551="","",MONTH(G551))</f>
        <v/>
      </c>
      <c r="E551" s="63">
        <f>IF(G551="","",YEAR(G551))</f>
        <v/>
      </c>
      <c r="F551" s="33">
        <f>IF(G551="","",CHOOSE(MONTH(G551),"Janeiro","Fevereiro","Março","Abril","Maio","Junho","Julho","Agosto","Setembro","Outubro","Novembro","Dezembro"))</f>
        <v/>
      </c>
      <c r="G551" s="64" t="n">
        <v>46070</v>
      </c>
      <c r="H551" s="65" t="n">
        <v>0.1105324074074074</v>
      </c>
      <c r="I551" s="66" t="inlineStr">
        <is>
          <t>https://docs.google.com/spreadsheets/d/1ZiCGoPjLCjuYvujDTXK9Ixbth3tekiLtFBzBrGjPCr4/edit?gid=0#gid=0</t>
        </is>
      </c>
      <c r="J551" s="67" t="inlineStr">
        <is>
          <t>Mais informações Gerais - [AA]</t>
        </is>
      </c>
      <c r="K551" s="67" t="inlineStr">
        <is>
          <t>Scout</t>
        </is>
      </c>
      <c r="L551" s="68" t="b">
        <v>0</v>
      </c>
      <c r="M551" s="20" t="n"/>
      <c r="N551" s="69">
        <f>IF($J551="","",IFERROR(INDEX(B!$F$2:$F$61,MATCH($J551,B!$E$2:$E$61,0))&amp;"",""))</f>
        <v/>
      </c>
      <c r="O551" s="69">
        <f>IF($J551="","",IFERROR(INDEX(B!$G$2:$G$61,MATCH($J551,B!$E$2:$E$61,0))&amp;"",""))</f>
        <v/>
      </c>
      <c r="P551" s="69">
        <f>IF($J551="","",IFERROR(INDEX(B!$H$2:$H$61,MATCH($J551,B!$E$2:$E$61,0))&amp;"",""))</f>
        <v/>
      </c>
      <c r="Q551" s="69">
        <f>IF($J551="","",IFERROR(INDEX(B!$I$2:$I$61,MATCH($J551,B!$E$2:$E$61,0))&amp;"",""))</f>
        <v/>
      </c>
      <c r="R551" s="69">
        <f>IF($J551="","",IFERROR(INDEX(B!$J$2:$J$61,MATCH($J551,B!$E$2:$E$61,0))&amp;"",""))</f>
        <v/>
      </c>
      <c r="S551" s="69">
        <f>IF($J551="","",IFERROR(INDEX(B!$K$2:$K$61,MATCH($J551,B!$E$2:$E$61,0))&amp;"",""))</f>
        <v/>
      </c>
      <c r="T551" s="69">
        <f>IF($J551="","",IFERROR(INDEX(B!$L$2:$L$61,MATCH($J551,B!$E$2:$E$61,0))&amp;"",""))</f>
        <v/>
      </c>
      <c r="U551" s="20" t="n"/>
      <c r="V551" s="70">
        <f>IF($J551="","",IFERROR(INDEX(B!$M$2:$M$61,MATCH($J551,B!$E$2:$E$61,0))&amp;"",""))</f>
        <v/>
      </c>
      <c r="W551" s="71">
        <f>IF(I551="","",IFERROR(MID(I551,FIND("/d/",I551)+3,FIND("/edit",I551)-FIND("/d/",I551)-3),I551))</f>
        <v/>
      </c>
      <c r="X551" s="71">
        <f>IF($J551="","",IFERROR(INDEX(B!$C$2:$C$61,MATCH($J551,B!$E$2:$E$61,0))&amp;"",""))</f>
        <v/>
      </c>
      <c r="Y551" s="20" t="n"/>
      <c r="Z551" s="72">
        <f>IF($J551="",FALSE,ISNUMBER(SEARCH("scout",$K551)))</f>
        <v/>
      </c>
      <c r="AA551" s="72">
        <f>IF($J551="",FALSE,IFERROR(INDEX(B!$N$2:$N$61,MATCH($J551,B!$E$2:$E$61,0))="Sim",FALSE))</f>
        <v/>
      </c>
      <c r="AB551" s="72">
        <f>IF($J551="",FALSE,LEFT($X551,2)="XX")</f>
        <v/>
      </c>
      <c r="AC551" s="72">
        <f>IF($J551="",FALSE,IFERROR(INDEX(B!$P$2:$P$61,MATCH($J551,B!$E$2:$E$61,0))="Sim",FALSE))</f>
        <v/>
      </c>
      <c r="AD551" s="20" t="n"/>
      <c r="AE551" s="52">
        <f>IF(H551="","",HOUR(H551))</f>
        <v/>
      </c>
      <c r="AF551" s="52" t="n"/>
    </row>
    <row r="552" ht="19.5" customHeight="1" s="58">
      <c r="A552" s="62">
        <f>IF(G552="","",IF(G552=G551,"",COUNTIF($G$3:$G$976,G552)))</f>
        <v/>
      </c>
      <c r="B552" s="20" t="n"/>
      <c r="C552" s="63">
        <f>IF(G552="","",DAY(G552))</f>
        <v/>
      </c>
      <c r="D552" s="63">
        <f>IF(G552="","",MONTH(G552))</f>
        <v/>
      </c>
      <c r="E552" s="63">
        <f>IF(G552="","",YEAR(G552))</f>
        <v/>
      </c>
      <c r="F552" s="33">
        <f>IF(G552="","",CHOOSE(MONTH(G552),"Janeiro","Fevereiro","Março","Abril","Maio","Junho","Julho","Agosto","Setembro","Outubro","Novembro","Dezembro"))</f>
        <v/>
      </c>
      <c r="G552" s="64" t="n">
        <v>46070</v>
      </c>
      <c r="H552" s="65" t="n">
        <v>0.1113541666666667</v>
      </c>
      <c r="I552" s="66" t="inlineStr">
        <is>
          <t>https://docs.google.com/spreadsheets/d/1ZiCGoPjLCjuYvujDTXK9Ixbth3tekiLtFBzBrGjPCr4/edit?gid=0#gid=0</t>
        </is>
      </c>
      <c r="J552" s="67" t="inlineStr">
        <is>
          <t>Transferência de LOB (Geral não especificado) - [TI]</t>
        </is>
      </c>
      <c r="K552" s="67" t="inlineStr"/>
      <c r="L552" s="68" t="b">
        <v>0</v>
      </c>
      <c r="M552" s="20" t="n"/>
      <c r="N552" s="69">
        <f>IF($J552="","",IFERROR(INDEX(B!$F$2:$F$61,MATCH($J552,B!$E$2:$E$61,0))&amp;"",""))</f>
        <v/>
      </c>
      <c r="O552" s="69">
        <f>IF($J552="","",IFERROR(INDEX(B!$G$2:$G$61,MATCH($J552,B!$E$2:$E$61,0))&amp;"",""))</f>
        <v/>
      </c>
      <c r="P552" s="69">
        <f>IF($J552="","",IFERROR(INDEX(B!$H$2:$H$61,MATCH($J552,B!$E$2:$E$61,0))&amp;"",""))</f>
        <v/>
      </c>
      <c r="Q552" s="69">
        <f>IF($J552="","",IFERROR(INDEX(B!$I$2:$I$61,MATCH($J552,B!$E$2:$E$61,0))&amp;"",""))</f>
        <v/>
      </c>
      <c r="R552" s="69">
        <f>IF($J552="","",IFERROR(INDEX(B!$J$2:$J$61,MATCH($J552,B!$E$2:$E$61,0))&amp;"",""))</f>
        <v/>
      </c>
      <c r="S552" s="69">
        <f>IF($J552="","",IFERROR(INDEX(B!$K$2:$K$61,MATCH($J552,B!$E$2:$E$61,0))&amp;"",""))</f>
        <v/>
      </c>
      <c r="T552" s="69">
        <f>IF($J552="","",IFERROR(INDEX(B!$L$2:$L$61,MATCH($J552,B!$E$2:$E$61,0))&amp;"",""))</f>
        <v/>
      </c>
      <c r="U552" s="20" t="n"/>
      <c r="V552" s="70">
        <f>IF($J552="","",IFERROR(INDEX(B!$M$2:$M$61,MATCH($J552,B!$E$2:$E$61,0))&amp;"",""))</f>
        <v/>
      </c>
      <c r="W552" s="71">
        <f>IF(I552="","",IFERROR(MID(I552,FIND("/d/",I552)+3,FIND("/edit",I552)-FIND("/d/",I552)-3),I552))</f>
        <v/>
      </c>
      <c r="X552" s="71">
        <f>IF($J552="","",IFERROR(INDEX(B!$C$2:$C$61,MATCH($J552,B!$E$2:$E$61,0))&amp;"",""))</f>
        <v/>
      </c>
      <c r="Y552" s="20" t="n"/>
      <c r="Z552" s="72">
        <f>IF($J552="",FALSE,ISNUMBER(SEARCH("scout",$K552)))</f>
        <v/>
      </c>
      <c r="AA552" s="72">
        <f>IF($J552="",FALSE,IFERROR(INDEX(B!$N$2:$N$61,MATCH($J552,B!$E$2:$E$61,0))="Sim",FALSE))</f>
        <v/>
      </c>
      <c r="AB552" s="72">
        <f>IF($J552="",FALSE,LEFT($X552,2)="XX")</f>
        <v/>
      </c>
      <c r="AC552" s="72">
        <f>IF($J552="",FALSE,IFERROR(INDEX(B!$P$2:$P$61,MATCH($J552,B!$E$2:$E$61,0))="Sim",FALSE))</f>
        <v/>
      </c>
      <c r="AD552" s="20" t="n"/>
      <c r="AE552" s="52">
        <f>IF(H552="","",HOUR(H552))</f>
        <v/>
      </c>
      <c r="AF552" s="52" t="n"/>
    </row>
    <row r="553" ht="19.5" customHeight="1" s="58">
      <c r="A553" s="62">
        <f>IF(G553="","",IF(G553=G552,"",COUNTIF($G$3:$G$976,G553)))</f>
        <v/>
      </c>
      <c r="B553" s="20" t="n"/>
      <c r="C553" s="63">
        <f>IF(G553="","",DAY(G553))</f>
        <v/>
      </c>
      <c r="D553" s="63">
        <f>IF(G553="","",MONTH(G553))</f>
        <v/>
      </c>
      <c r="E553" s="63">
        <f>IF(G553="","",YEAR(G553))</f>
        <v/>
      </c>
      <c r="F553" s="33">
        <f>IF(G553="","",CHOOSE(MONTH(G553),"Janeiro","Fevereiro","Março","Abril","Maio","Junho","Julho","Agosto","Setembro","Outubro","Novembro","Dezembro"))</f>
        <v/>
      </c>
      <c r="G553" s="64" t="n">
        <v>46070</v>
      </c>
      <c r="H553" s="65" t="n">
        <v>0.1146527777777778</v>
      </c>
      <c r="I553" s="66" t="inlineStr">
        <is>
          <t>https://docs.google.com/spreadsheets/d/1ZiCGoPjLCjuYvujDTXK9Ixbth3tekiLtFBzBrGjPCr4/edit?gid=0#gid=0</t>
        </is>
      </c>
      <c r="J553" s="67" t="inlineStr">
        <is>
          <t>Não houve Taxa de Cancelamento - [NTX]</t>
        </is>
      </c>
      <c r="K553" s="67" t="inlineStr">
        <is>
          <t>Scout</t>
        </is>
      </c>
      <c r="L553" s="68" t="b">
        <v>0</v>
      </c>
      <c r="M553" s="20" t="n"/>
      <c r="N553" s="69">
        <f>IF($J553="","",IFERROR(INDEX(B!$F$2:$F$61,MATCH($J553,B!$E$2:$E$61,0))&amp;"",""))</f>
        <v/>
      </c>
      <c r="O553" s="69">
        <f>IF($J553="","",IFERROR(INDEX(B!$G$2:$G$61,MATCH($J553,B!$E$2:$E$61,0))&amp;"",""))</f>
        <v/>
      </c>
      <c r="P553" s="69">
        <f>IF($J553="","",IFERROR(INDEX(B!$H$2:$H$61,MATCH($J553,B!$E$2:$E$61,0))&amp;"",""))</f>
        <v/>
      </c>
      <c r="Q553" s="69">
        <f>IF($J553="","",IFERROR(INDEX(B!$I$2:$I$61,MATCH($J553,B!$E$2:$E$61,0))&amp;"",""))</f>
        <v/>
      </c>
      <c r="R553" s="69">
        <f>IF($J553="","",IFERROR(INDEX(B!$J$2:$J$61,MATCH($J553,B!$E$2:$E$61,0))&amp;"",""))</f>
        <v/>
      </c>
      <c r="S553" s="69">
        <f>IF($J553="","",IFERROR(INDEX(B!$K$2:$K$61,MATCH($J553,B!$E$2:$E$61,0))&amp;"",""))</f>
        <v/>
      </c>
      <c r="T553" s="69">
        <f>IF($J553="","",IFERROR(INDEX(B!$L$2:$L$61,MATCH($J553,B!$E$2:$E$61,0))&amp;"",""))</f>
        <v/>
      </c>
      <c r="U553" s="20" t="n"/>
      <c r="V553" s="70">
        <f>IF($J553="","",IFERROR(INDEX(B!$M$2:$M$61,MATCH($J553,B!$E$2:$E$61,0))&amp;"",""))</f>
        <v/>
      </c>
      <c r="W553" s="71">
        <f>IF(I553="","",IFERROR(MID(I553,FIND("/d/",I553)+3,FIND("/edit",I553)-FIND("/d/",I553)-3),I553))</f>
        <v/>
      </c>
      <c r="X553" s="71">
        <f>IF($J553="","",IFERROR(INDEX(B!$C$2:$C$61,MATCH($J553,B!$E$2:$E$61,0))&amp;"",""))</f>
        <v/>
      </c>
      <c r="Y553" s="20" t="n"/>
      <c r="Z553" s="72">
        <f>IF($J553="",FALSE,ISNUMBER(SEARCH("scout",$K553)))</f>
        <v/>
      </c>
      <c r="AA553" s="72">
        <f>IF($J553="",FALSE,IFERROR(INDEX(B!$N$2:$N$61,MATCH($J553,B!$E$2:$E$61,0))="Sim",FALSE))</f>
        <v/>
      </c>
      <c r="AB553" s="72">
        <f>IF($J553="",FALSE,LEFT($X553,2)="XX")</f>
        <v/>
      </c>
      <c r="AC553" s="72">
        <f>IF($J553="",FALSE,IFERROR(INDEX(B!$P$2:$P$61,MATCH($J553,B!$E$2:$E$61,0))="Sim",FALSE))</f>
        <v/>
      </c>
      <c r="AD553" s="20" t="n"/>
      <c r="AE553" s="52">
        <f>IF(H553="","",HOUR(H553))</f>
        <v/>
      </c>
      <c r="AF553" s="52" t="n"/>
    </row>
    <row r="554" ht="19.5" customHeight="1" s="58">
      <c r="A554" s="62">
        <f>IF(G554="","",IF(G554=G553,"",COUNTIF($G$3:$G$976,G554)))</f>
        <v/>
      </c>
      <c r="B554" s="20" t="n"/>
      <c r="C554" s="63">
        <f>IF(G554="","",DAY(G554))</f>
        <v/>
      </c>
      <c r="D554" s="63">
        <f>IF(G554="","",MONTH(G554))</f>
        <v/>
      </c>
      <c r="E554" s="63">
        <f>IF(G554="","",YEAR(G554))</f>
        <v/>
      </c>
      <c r="F554" s="33">
        <f>IF(G554="","",CHOOSE(MONTH(G554),"Janeiro","Fevereiro","Março","Abril","Maio","Junho","Julho","Agosto","Setembro","Outubro","Novembro","Dezembro"))</f>
        <v/>
      </c>
      <c r="G554" s="64" t="n">
        <v>46070</v>
      </c>
      <c r="H554" s="65" t="n">
        <v>0.1163541666666667</v>
      </c>
      <c r="I554" s="66" t="inlineStr">
        <is>
          <t>https://docs.google.com/spreadsheets/d/1ZiCGoPjLCjuYvujDTXK9Ixbth3tekiLtFBzBrGjPCr4/edit?gid=0#gid=0</t>
        </is>
      </c>
      <c r="J554" s="67" t="inlineStr">
        <is>
          <t>Taxa de Cancelamento Cobrada Corretamente - [TXCO]</t>
        </is>
      </c>
      <c r="K554" s="67" t="inlineStr"/>
      <c r="L554" s="68" t="b">
        <v>0</v>
      </c>
      <c r="M554" s="20" t="n"/>
      <c r="N554" s="69">
        <f>IF($J554="","",IFERROR(INDEX(B!$F$2:$F$61,MATCH($J554,B!$E$2:$E$61,0))&amp;"",""))</f>
        <v/>
      </c>
      <c r="O554" s="69">
        <f>IF($J554="","",IFERROR(INDEX(B!$G$2:$G$61,MATCH($J554,B!$E$2:$E$61,0))&amp;"",""))</f>
        <v/>
      </c>
      <c r="P554" s="69">
        <f>IF($J554="","",IFERROR(INDEX(B!$H$2:$H$61,MATCH($J554,B!$E$2:$E$61,0))&amp;"",""))</f>
        <v/>
      </c>
      <c r="Q554" s="69">
        <f>IF($J554="","",IFERROR(INDEX(B!$I$2:$I$61,MATCH($J554,B!$E$2:$E$61,0))&amp;"",""))</f>
        <v/>
      </c>
      <c r="R554" s="69">
        <f>IF($J554="","",IFERROR(INDEX(B!$J$2:$J$61,MATCH($J554,B!$E$2:$E$61,0))&amp;"",""))</f>
        <v/>
      </c>
      <c r="S554" s="69">
        <f>IF($J554="","",IFERROR(INDEX(B!$K$2:$K$61,MATCH($J554,B!$E$2:$E$61,0))&amp;"",""))</f>
        <v/>
      </c>
      <c r="T554" s="69">
        <f>IF($J554="","",IFERROR(INDEX(B!$L$2:$L$61,MATCH($J554,B!$E$2:$E$61,0))&amp;"",""))</f>
        <v/>
      </c>
      <c r="U554" s="20" t="n"/>
      <c r="V554" s="70">
        <f>IF($J554="","",IFERROR(INDEX(B!$M$2:$M$61,MATCH($J554,B!$E$2:$E$61,0))&amp;"",""))</f>
        <v/>
      </c>
      <c r="W554" s="71">
        <f>IF(I554="","",IFERROR(MID(I554,FIND("/d/",I554)+3,FIND("/edit",I554)-FIND("/d/",I554)-3),I554))</f>
        <v/>
      </c>
      <c r="X554" s="71">
        <f>IF($J554="","",IFERROR(INDEX(B!$C$2:$C$61,MATCH($J554,B!$E$2:$E$61,0))&amp;"",""))</f>
        <v/>
      </c>
      <c r="Y554" s="20" t="n"/>
      <c r="Z554" s="72">
        <f>IF($J554="",FALSE,ISNUMBER(SEARCH("scout",$K554)))</f>
        <v/>
      </c>
      <c r="AA554" s="72">
        <f>IF($J554="",FALSE,IFERROR(INDEX(B!$N$2:$N$61,MATCH($J554,B!$E$2:$E$61,0))="Sim",FALSE))</f>
        <v/>
      </c>
      <c r="AB554" s="72">
        <f>IF($J554="",FALSE,LEFT($X554,2)="XX")</f>
        <v/>
      </c>
      <c r="AC554" s="72">
        <f>IF($J554="",FALSE,IFERROR(INDEX(B!$P$2:$P$61,MATCH($J554,B!$E$2:$E$61,0))="Sim",FALSE))</f>
        <v/>
      </c>
      <c r="AD554" s="20" t="n"/>
      <c r="AE554" s="52">
        <f>IF(H554="","",HOUR(H554))</f>
        <v/>
      </c>
      <c r="AF554" s="52" t="n"/>
    </row>
    <row r="555" ht="19.5" customHeight="1" s="58">
      <c r="A555" s="62">
        <f>IF(G555="","",IF(G555=G554,"",COUNTIF($G$3:$G$976,G555)))</f>
        <v/>
      </c>
      <c r="B555" s="20" t="n"/>
      <c r="C555" s="63">
        <f>IF(G555="","",DAY(G555))</f>
        <v/>
      </c>
      <c r="D555" s="63">
        <f>IF(G555="","",MONTH(G555))</f>
        <v/>
      </c>
      <c r="E555" s="63">
        <f>IF(G555="","",YEAR(G555))</f>
        <v/>
      </c>
      <c r="F555" s="33">
        <f>IF(G555="","",CHOOSE(MONTH(G555),"Janeiro","Fevereiro","Março","Abril","Maio","Junho","Julho","Agosto","Setembro","Outubro","Novembro","Dezembro"))</f>
        <v/>
      </c>
      <c r="G555" s="64" t="n">
        <v>46070</v>
      </c>
      <c r="H555" s="65" t="n">
        <v>0.1216782407407407</v>
      </c>
      <c r="I555" s="66" t="inlineStr">
        <is>
          <t>https://docs.google.com/spreadsheets/d/1ZiCGoPjLCjuYvujDTXK9Ixbth3tekiLtFBzBrGjPCr4/edit?gid=0#gid=0</t>
        </is>
      </c>
      <c r="J555" s="67" t="inlineStr">
        <is>
          <t>Taxa de Limpeza, Reembolsado ao cliente - [TXLR]</t>
        </is>
      </c>
      <c r="K555" s="67" t="inlineStr">
        <is>
          <t>Scout</t>
        </is>
      </c>
      <c r="L555" s="68" t="b">
        <v>0</v>
      </c>
      <c r="M555" s="20" t="n"/>
      <c r="N555" s="69">
        <f>IF($J555="","",IFERROR(INDEX(B!$F$2:$F$61,MATCH($J555,B!$E$2:$E$61,0))&amp;"",""))</f>
        <v/>
      </c>
      <c r="O555" s="69">
        <f>IF($J555="","",IFERROR(INDEX(B!$G$2:$G$61,MATCH($J555,B!$E$2:$E$61,0))&amp;"",""))</f>
        <v/>
      </c>
      <c r="P555" s="69">
        <f>IF($J555="","",IFERROR(INDEX(B!$H$2:$H$61,MATCH($J555,B!$E$2:$E$61,0))&amp;"",""))</f>
        <v/>
      </c>
      <c r="Q555" s="69">
        <f>IF($J555="","",IFERROR(INDEX(B!$I$2:$I$61,MATCH($J555,B!$E$2:$E$61,0))&amp;"",""))</f>
        <v/>
      </c>
      <c r="R555" s="69">
        <f>IF($J555="","",IFERROR(INDEX(B!$J$2:$J$61,MATCH($J555,B!$E$2:$E$61,0))&amp;"",""))</f>
        <v/>
      </c>
      <c r="S555" s="69">
        <f>IF($J555="","",IFERROR(INDEX(B!$K$2:$K$61,MATCH($J555,B!$E$2:$E$61,0))&amp;"",""))</f>
        <v/>
      </c>
      <c r="T555" s="69">
        <f>IF($J555="","",IFERROR(INDEX(B!$L$2:$L$61,MATCH($J555,B!$E$2:$E$61,0))&amp;"",""))</f>
        <v/>
      </c>
      <c r="U555" s="20" t="n"/>
      <c r="V555" s="70">
        <f>IF($J555="","",IFERROR(INDEX(B!$M$2:$M$61,MATCH($J555,B!$E$2:$E$61,0))&amp;"",""))</f>
        <v/>
      </c>
      <c r="W555" s="71">
        <f>IF(I555="","",IFERROR(MID(I555,FIND("/d/",I555)+3,FIND("/edit",I555)-FIND("/d/",I555)-3),I555))</f>
        <v/>
      </c>
      <c r="X555" s="71">
        <f>IF($J555="","",IFERROR(INDEX(B!$C$2:$C$61,MATCH($J555,B!$E$2:$E$61,0))&amp;"",""))</f>
        <v/>
      </c>
      <c r="Y555" s="20" t="n"/>
      <c r="Z555" s="72">
        <f>IF($J555="",FALSE,ISNUMBER(SEARCH("scout",$K555)))</f>
        <v/>
      </c>
      <c r="AA555" s="72">
        <f>IF($J555="",FALSE,IFERROR(INDEX(B!$N$2:$N$61,MATCH($J555,B!$E$2:$E$61,0))="Sim",FALSE))</f>
        <v/>
      </c>
      <c r="AB555" s="72">
        <f>IF($J555="",FALSE,LEFT($X555,2)="XX")</f>
        <v/>
      </c>
      <c r="AC555" s="72">
        <f>IF($J555="",FALSE,IFERROR(INDEX(B!$P$2:$P$61,MATCH($J555,B!$E$2:$E$61,0))="Sim",FALSE))</f>
        <v/>
      </c>
      <c r="AD555" s="20" t="n"/>
      <c r="AE555" s="52">
        <f>IF(H555="","",HOUR(H555))</f>
        <v/>
      </c>
      <c r="AF555" s="52" t="n"/>
    </row>
    <row r="556" ht="19.5" customHeight="1" s="58">
      <c r="A556" s="62">
        <f>IF(G556="","",IF(G556=G555,"",COUNTIF($G$3:$G$976,G556)))</f>
        <v/>
      </c>
      <c r="B556" s="20" t="n"/>
      <c r="C556" s="63">
        <f>IF(G556="","",DAY(G556))</f>
        <v/>
      </c>
      <c r="D556" s="63">
        <f>IF(G556="","",MONTH(G556))</f>
        <v/>
      </c>
      <c r="E556" s="63">
        <f>IF(G556="","",YEAR(G556))</f>
        <v/>
      </c>
      <c r="F556" s="33">
        <f>IF(G556="","",CHOOSE(MONTH(G556),"Janeiro","Fevereiro","Março","Abril","Maio","Junho","Julho","Agosto","Setembro","Outubro","Novembro","Dezembro"))</f>
        <v/>
      </c>
      <c r="G556" s="64" t="n">
        <v>46070</v>
      </c>
      <c r="H556" s="65" t="n">
        <v>0.1230787037037037</v>
      </c>
      <c r="I556" s="66" t="inlineStr">
        <is>
          <t>https://docs.google.com/spreadsheets/d/1ZiCGoPjLCjuYvujDTXK9Ixbth3tekiLtFBzBrGjPCr4/edit?gid=0#gid=0</t>
        </is>
      </c>
      <c r="J556" s="67" t="inlineStr">
        <is>
          <t>Comprovante de Pagamento - [CP]</t>
        </is>
      </c>
      <c r="K556" s="67" t="inlineStr"/>
      <c r="L556" s="68" t="b">
        <v>0</v>
      </c>
      <c r="M556" s="20" t="n"/>
      <c r="N556" s="69">
        <f>IF($J556="","",IFERROR(INDEX(B!$F$2:$F$61,MATCH($J556,B!$E$2:$E$61,0))&amp;"",""))</f>
        <v/>
      </c>
      <c r="O556" s="69">
        <f>IF($J556="","",IFERROR(INDEX(B!$G$2:$G$61,MATCH($J556,B!$E$2:$E$61,0))&amp;"",""))</f>
        <v/>
      </c>
      <c r="P556" s="69">
        <f>IF($J556="","",IFERROR(INDEX(B!$H$2:$H$61,MATCH($J556,B!$E$2:$E$61,0))&amp;"",""))</f>
        <v/>
      </c>
      <c r="Q556" s="69">
        <f>IF($J556="","",IFERROR(INDEX(B!$I$2:$I$61,MATCH($J556,B!$E$2:$E$61,0))&amp;"",""))</f>
        <v/>
      </c>
      <c r="R556" s="69">
        <f>IF($J556="","",IFERROR(INDEX(B!$J$2:$J$61,MATCH($J556,B!$E$2:$E$61,0))&amp;"",""))</f>
        <v/>
      </c>
      <c r="S556" s="69">
        <f>IF($J556="","",IFERROR(INDEX(B!$K$2:$K$61,MATCH($J556,B!$E$2:$E$61,0))&amp;"",""))</f>
        <v/>
      </c>
      <c r="T556" s="69">
        <f>IF($J556="","",IFERROR(INDEX(B!$L$2:$L$61,MATCH($J556,B!$E$2:$E$61,0))&amp;"",""))</f>
        <v/>
      </c>
      <c r="U556" s="20" t="n"/>
      <c r="V556" s="70">
        <f>IF($J556="","",IFERROR(INDEX(B!$M$2:$M$61,MATCH($J556,B!$E$2:$E$61,0))&amp;"",""))</f>
        <v/>
      </c>
      <c r="W556" s="71">
        <f>IF(I556="","",IFERROR(MID(I556,FIND("/d/",I556)+3,FIND("/edit",I556)-FIND("/d/",I556)-3),I556))</f>
        <v/>
      </c>
      <c r="X556" s="71">
        <f>IF($J556="","",IFERROR(INDEX(B!$C$2:$C$61,MATCH($J556,B!$E$2:$E$61,0))&amp;"",""))</f>
        <v/>
      </c>
      <c r="Y556" s="20" t="n"/>
      <c r="Z556" s="72">
        <f>IF($J556="",FALSE,ISNUMBER(SEARCH("scout",$K556)))</f>
        <v/>
      </c>
      <c r="AA556" s="72">
        <f>IF($J556="",FALSE,IFERROR(INDEX(B!$N$2:$N$61,MATCH($J556,B!$E$2:$E$61,0))="Sim",FALSE))</f>
        <v/>
      </c>
      <c r="AB556" s="72">
        <f>IF($J556="",FALSE,LEFT($X556,2)="XX")</f>
        <v/>
      </c>
      <c r="AC556" s="72">
        <f>IF($J556="",FALSE,IFERROR(INDEX(B!$P$2:$P$61,MATCH($J556,B!$E$2:$E$61,0))="Sim",FALSE))</f>
        <v/>
      </c>
      <c r="AD556" s="20" t="n"/>
      <c r="AE556" s="52">
        <f>IF(H556="","",HOUR(H556))</f>
        <v/>
      </c>
      <c r="AF556" s="52" t="n"/>
    </row>
    <row r="557" ht="19.5" customHeight="1" s="58">
      <c r="A557" s="62">
        <f>IF(G557="","",IF(G557=G556,"",COUNTIF($G$3:$G$976,G557)))</f>
        <v/>
      </c>
      <c r="B557" s="20" t="n"/>
      <c r="C557" s="63">
        <f>IF(G557="","",DAY(G557))</f>
        <v/>
      </c>
      <c r="D557" s="63">
        <f>IF(G557="","",MONTH(G557))</f>
        <v/>
      </c>
      <c r="E557" s="63">
        <f>IF(G557="","",YEAR(G557))</f>
        <v/>
      </c>
      <c r="F557" s="33">
        <f>IF(G557="","",CHOOSE(MONTH(G557),"Janeiro","Fevereiro","Março","Abril","Maio","Junho","Julho","Agosto","Setembro","Outubro","Novembro","Dezembro"))</f>
        <v/>
      </c>
      <c r="G557" s="64" t="n">
        <v>46070</v>
      </c>
      <c r="H557" s="65" t="n">
        <v>0.1304166666666667</v>
      </c>
      <c r="I557" s="66" t="inlineStr">
        <is>
          <t>https://docs.google.com/spreadsheets/d/1ZiCGoPjLCjuYvujDTXK9Ixbth3tekiLtFBzBrGjPCr4/edit?gid=0#gid=0</t>
        </is>
      </c>
      <c r="J557" s="67" t="inlineStr">
        <is>
          <t>Viagem Calculada Incorretamente - [VCI]</t>
        </is>
      </c>
      <c r="K557" s="67" t="inlineStr">
        <is>
          <t>Scout</t>
        </is>
      </c>
      <c r="L557" s="68" t="b">
        <v>0</v>
      </c>
      <c r="M557" s="20" t="n"/>
      <c r="N557" s="69">
        <f>IF($J557="","",IFERROR(INDEX(B!$F$2:$F$61,MATCH($J557,B!$E$2:$E$61,0))&amp;"",""))</f>
        <v/>
      </c>
      <c r="O557" s="69">
        <f>IF($J557="","",IFERROR(INDEX(B!$G$2:$G$61,MATCH($J557,B!$E$2:$E$61,0))&amp;"",""))</f>
        <v/>
      </c>
      <c r="P557" s="69">
        <f>IF($J557="","",IFERROR(INDEX(B!$H$2:$H$61,MATCH($J557,B!$E$2:$E$61,0))&amp;"",""))</f>
        <v/>
      </c>
      <c r="Q557" s="69">
        <f>IF($J557="","",IFERROR(INDEX(B!$I$2:$I$61,MATCH($J557,B!$E$2:$E$61,0))&amp;"",""))</f>
        <v/>
      </c>
      <c r="R557" s="69">
        <f>IF($J557="","",IFERROR(INDEX(B!$J$2:$J$61,MATCH($J557,B!$E$2:$E$61,0))&amp;"",""))</f>
        <v/>
      </c>
      <c r="S557" s="69">
        <f>IF($J557="","",IFERROR(INDEX(B!$K$2:$K$61,MATCH($J557,B!$E$2:$E$61,0))&amp;"",""))</f>
        <v/>
      </c>
      <c r="T557" s="69">
        <f>IF($J557="","",IFERROR(INDEX(B!$L$2:$L$61,MATCH($J557,B!$E$2:$E$61,0))&amp;"",""))</f>
        <v/>
      </c>
      <c r="U557" s="20" t="n"/>
      <c r="V557" s="70">
        <f>IF($J557="","",IFERROR(INDEX(B!$M$2:$M$61,MATCH($J557,B!$E$2:$E$61,0))&amp;"",""))</f>
        <v/>
      </c>
      <c r="W557" s="71">
        <f>IF(I557="","",IFERROR(MID(I557,FIND("/d/",I557)+3,FIND("/edit",I557)-FIND("/d/",I557)-3),I557))</f>
        <v/>
      </c>
      <c r="X557" s="71">
        <f>IF($J557="","",IFERROR(INDEX(B!$C$2:$C$61,MATCH($J557,B!$E$2:$E$61,0))&amp;"",""))</f>
        <v/>
      </c>
      <c r="Y557" s="20" t="n"/>
      <c r="Z557" s="72">
        <f>IF($J557="",FALSE,ISNUMBER(SEARCH("scout",$K557)))</f>
        <v/>
      </c>
      <c r="AA557" s="72">
        <f>IF($J557="",FALSE,IFERROR(INDEX(B!$N$2:$N$61,MATCH($J557,B!$E$2:$E$61,0))="Sim",FALSE))</f>
        <v/>
      </c>
      <c r="AB557" s="72">
        <f>IF($J557="",FALSE,LEFT($X557,2)="XX")</f>
        <v/>
      </c>
      <c r="AC557" s="72">
        <f>IF($J557="",FALSE,IFERROR(INDEX(B!$P$2:$P$61,MATCH($J557,B!$E$2:$E$61,0))="Sim",FALSE))</f>
        <v/>
      </c>
      <c r="AD557" s="20" t="n"/>
      <c r="AE557" s="52">
        <f>IF(H557="","",HOUR(H557))</f>
        <v/>
      </c>
      <c r="AF557" s="52" t="n"/>
    </row>
    <row r="558" ht="19.5" customHeight="1" s="58">
      <c r="A558" s="62">
        <f>IF(G558="","",IF(G558=G557,"",COUNTIF($G$3:$G$976,G558)))</f>
        <v/>
      </c>
      <c r="B558" s="20" t="n"/>
      <c r="C558" s="63">
        <f>IF(G558="","",DAY(G558))</f>
        <v/>
      </c>
      <c r="D558" s="63">
        <f>IF(G558="","",MONTH(G558))</f>
        <v/>
      </c>
      <c r="E558" s="63">
        <f>IF(G558="","",YEAR(G558))</f>
        <v/>
      </c>
      <c r="F558" s="33">
        <f>IF(G558="","",CHOOSE(MONTH(G558),"Janeiro","Fevereiro","Março","Abril","Maio","Junho","Julho","Agosto","Setembro","Outubro","Novembro","Dezembro"))</f>
        <v/>
      </c>
      <c r="G558" s="64" t="n">
        <v>46070</v>
      </c>
      <c r="H558" s="65" t="n">
        <v>0.1308564814814815</v>
      </c>
      <c r="I558" s="66" t="inlineStr">
        <is>
          <t>https://docs.google.com/spreadsheets/d/1ZiCGoPjLCjuYvujDTXK9Ixbth3tekiLtFBzBrGjPCr4/edit?gid=0#gid=0</t>
        </is>
      </c>
      <c r="J558" s="67" t="inlineStr">
        <is>
          <t>Taxa de Cancelamento Cobrada Corretamente - [TXCO]</t>
        </is>
      </c>
      <c r="K558" s="67" t="inlineStr"/>
      <c r="L558" s="68" t="b">
        <v>0</v>
      </c>
      <c r="M558" s="20" t="n"/>
      <c r="N558" s="69">
        <f>IF($J558="","",IFERROR(INDEX(B!$F$2:$F$61,MATCH($J558,B!$E$2:$E$61,0))&amp;"",""))</f>
        <v/>
      </c>
      <c r="O558" s="69">
        <f>IF($J558="","",IFERROR(INDEX(B!$G$2:$G$61,MATCH($J558,B!$E$2:$E$61,0))&amp;"",""))</f>
        <v/>
      </c>
      <c r="P558" s="69">
        <f>IF($J558="","",IFERROR(INDEX(B!$H$2:$H$61,MATCH($J558,B!$E$2:$E$61,0))&amp;"",""))</f>
        <v/>
      </c>
      <c r="Q558" s="69">
        <f>IF($J558="","",IFERROR(INDEX(B!$I$2:$I$61,MATCH($J558,B!$E$2:$E$61,0))&amp;"",""))</f>
        <v/>
      </c>
      <c r="R558" s="69">
        <f>IF($J558="","",IFERROR(INDEX(B!$J$2:$J$61,MATCH($J558,B!$E$2:$E$61,0))&amp;"",""))</f>
        <v/>
      </c>
      <c r="S558" s="69">
        <f>IF($J558="","",IFERROR(INDEX(B!$K$2:$K$61,MATCH($J558,B!$E$2:$E$61,0))&amp;"",""))</f>
        <v/>
      </c>
      <c r="T558" s="69">
        <f>IF($J558="","",IFERROR(INDEX(B!$L$2:$L$61,MATCH($J558,B!$E$2:$E$61,0))&amp;"",""))</f>
        <v/>
      </c>
      <c r="U558" s="20" t="n"/>
      <c r="V558" s="70">
        <f>IF($J558="","",IFERROR(INDEX(B!$M$2:$M$61,MATCH($J558,B!$E$2:$E$61,0))&amp;"",""))</f>
        <v/>
      </c>
      <c r="W558" s="71">
        <f>IF(I558="","",IFERROR(MID(I558,FIND("/d/",I558)+3,FIND("/edit",I558)-FIND("/d/",I558)-3),I558))</f>
        <v/>
      </c>
      <c r="X558" s="71">
        <f>IF($J558="","",IFERROR(INDEX(B!$C$2:$C$61,MATCH($J558,B!$E$2:$E$61,0))&amp;"",""))</f>
        <v/>
      </c>
      <c r="Y558" s="20" t="n"/>
      <c r="Z558" s="72">
        <f>IF($J558="",FALSE,ISNUMBER(SEARCH("scout",$K558)))</f>
        <v/>
      </c>
      <c r="AA558" s="72">
        <f>IF($J558="",FALSE,IFERROR(INDEX(B!$N$2:$N$61,MATCH($J558,B!$E$2:$E$61,0))="Sim",FALSE))</f>
        <v/>
      </c>
      <c r="AB558" s="72">
        <f>IF($J558="",FALSE,LEFT($X558,2)="XX")</f>
        <v/>
      </c>
      <c r="AC558" s="72">
        <f>IF($J558="",FALSE,IFERROR(INDEX(B!$P$2:$P$61,MATCH($J558,B!$E$2:$E$61,0))="Sim",FALSE))</f>
        <v/>
      </c>
      <c r="AD558" s="20" t="n"/>
      <c r="AE558" s="52">
        <f>IF(H558="","",HOUR(H558))</f>
        <v/>
      </c>
      <c r="AF558" s="52" t="n"/>
    </row>
    <row r="559" ht="19.5" customHeight="1" s="58">
      <c r="A559" s="62">
        <f>IF(G559="","",IF(G559=G558,"",COUNTIF($G$3:$G$976,G559)))</f>
        <v/>
      </c>
      <c r="B559" s="20" t="n"/>
      <c r="C559" s="63">
        <f>IF(G559="","",DAY(G559))</f>
        <v/>
      </c>
      <c r="D559" s="63">
        <f>IF(G559="","",MONTH(G559))</f>
        <v/>
      </c>
      <c r="E559" s="63">
        <f>IF(G559="","",YEAR(G559))</f>
        <v/>
      </c>
      <c r="F559" s="33">
        <f>IF(G559="","",CHOOSE(MONTH(G559),"Janeiro","Fevereiro","Março","Abril","Maio","Junho","Julho","Agosto","Setembro","Outubro","Novembro","Dezembro"))</f>
        <v/>
      </c>
      <c r="G559" s="64" t="n">
        <v>46070</v>
      </c>
      <c r="H559" s="65" t="n">
        <v>0.1375</v>
      </c>
      <c r="I559" s="66" t="inlineStr">
        <is>
          <t>https://docs.google.com/spreadsheets/d/1ZiCGoPjLCjuYvujDTXK9Ixbth3tekiLtFBzBrGjPCr4/edit?gid=0#gid=0</t>
        </is>
      </c>
      <c r="J559" s="67" t="inlineStr">
        <is>
          <t>Transferência de LOB (Safety) - [TIST]</t>
        </is>
      </c>
      <c r="K559" s="67" t="inlineStr"/>
      <c r="L559" s="68" t="b">
        <v>0</v>
      </c>
      <c r="M559" s="20" t="n"/>
      <c r="N559" s="69">
        <f>IF($J559="","",IFERROR(INDEX(B!$F$2:$F$61,MATCH($J559,B!$E$2:$E$61,0))&amp;"",""))</f>
        <v/>
      </c>
      <c r="O559" s="69">
        <f>IF($J559="","",IFERROR(INDEX(B!$G$2:$G$61,MATCH($J559,B!$E$2:$E$61,0))&amp;"",""))</f>
        <v/>
      </c>
      <c r="P559" s="69">
        <f>IF($J559="","",IFERROR(INDEX(B!$H$2:$H$61,MATCH($J559,B!$E$2:$E$61,0))&amp;"",""))</f>
        <v/>
      </c>
      <c r="Q559" s="69">
        <f>IF($J559="","",IFERROR(INDEX(B!$I$2:$I$61,MATCH($J559,B!$E$2:$E$61,0))&amp;"",""))</f>
        <v/>
      </c>
      <c r="R559" s="69">
        <f>IF($J559="","",IFERROR(INDEX(B!$J$2:$J$61,MATCH($J559,B!$E$2:$E$61,0))&amp;"",""))</f>
        <v/>
      </c>
      <c r="S559" s="69">
        <f>IF($J559="","",IFERROR(INDEX(B!$K$2:$K$61,MATCH($J559,B!$E$2:$E$61,0))&amp;"",""))</f>
        <v/>
      </c>
      <c r="T559" s="69">
        <f>IF($J559="","",IFERROR(INDEX(B!$L$2:$L$61,MATCH($J559,B!$E$2:$E$61,0))&amp;"",""))</f>
        <v/>
      </c>
      <c r="U559" s="20" t="n"/>
      <c r="V559" s="70">
        <f>IF($J559="","",IFERROR(INDEX(B!$M$2:$M$61,MATCH($J559,B!$E$2:$E$61,0))&amp;"",""))</f>
        <v/>
      </c>
      <c r="W559" s="71">
        <f>IF(I559="","",IFERROR(MID(I559,FIND("/d/",I559)+3,FIND("/edit",I559)-FIND("/d/",I559)-3),I559))</f>
        <v/>
      </c>
      <c r="X559" s="71">
        <f>IF($J559="","",IFERROR(INDEX(B!$C$2:$C$61,MATCH($J559,B!$E$2:$E$61,0))&amp;"",""))</f>
        <v/>
      </c>
      <c r="Y559" s="20" t="n"/>
      <c r="Z559" s="72">
        <f>IF($J559="",FALSE,ISNUMBER(SEARCH("scout",$K559)))</f>
        <v/>
      </c>
      <c r="AA559" s="72">
        <f>IF($J559="",FALSE,IFERROR(INDEX(B!$N$2:$N$61,MATCH($J559,B!$E$2:$E$61,0))="Sim",FALSE))</f>
        <v/>
      </c>
      <c r="AB559" s="72">
        <f>IF($J559="",FALSE,LEFT($X559,2)="XX")</f>
        <v/>
      </c>
      <c r="AC559" s="72">
        <f>IF($J559="",FALSE,IFERROR(INDEX(B!$P$2:$P$61,MATCH($J559,B!$E$2:$E$61,0))="Sim",FALSE))</f>
        <v/>
      </c>
      <c r="AD559" s="20" t="n"/>
      <c r="AE559" s="52">
        <f>IF(H559="","",HOUR(H559))</f>
        <v/>
      </c>
      <c r="AF559" s="52" t="n"/>
    </row>
    <row r="560" ht="19.5" customHeight="1" s="58">
      <c r="A560" s="62">
        <f>IF(G560="","",IF(G560=G559,"",COUNTIF($G$3:$G$976,G560)))</f>
        <v/>
      </c>
      <c r="B560" s="20" t="n"/>
      <c r="C560" s="63">
        <f>IF(G560="","",DAY(G560))</f>
        <v/>
      </c>
      <c r="D560" s="63">
        <f>IF(G560="","",MONTH(G560))</f>
        <v/>
      </c>
      <c r="E560" s="63">
        <f>IF(G560="","",YEAR(G560))</f>
        <v/>
      </c>
      <c r="F560" s="33">
        <f>IF(G560="","",CHOOSE(MONTH(G560),"Janeiro","Fevereiro","Março","Abril","Maio","Junho","Julho","Agosto","Setembro","Outubro","Novembro","Dezembro"))</f>
        <v/>
      </c>
      <c r="G560" s="64" t="n">
        <v>46070</v>
      </c>
      <c r="H560" s="65" t="n">
        <v>0.1450231481481482</v>
      </c>
      <c r="I560" s="66" t="inlineStr">
        <is>
          <t>https://docs.google.com/spreadsheets/d/1ZiCGoPjLCjuYvujDTXK9Ixbth3tekiLtFBzBrGjPCr4/edit?gid=0#gid=0</t>
        </is>
      </c>
      <c r="J560" s="67" t="inlineStr">
        <is>
          <t>Taxa de Cancelamento - [TXC]</t>
        </is>
      </c>
      <c r="K560" s="67" t="inlineStr"/>
      <c r="L560" s="68" t="b">
        <v>0</v>
      </c>
      <c r="M560" s="20" t="n"/>
      <c r="N560" s="69">
        <f>IF($J560="","",IFERROR(INDEX(B!$F$2:$F$61,MATCH($J560,B!$E$2:$E$61,0))&amp;"",""))</f>
        <v/>
      </c>
      <c r="O560" s="69">
        <f>IF($J560="","",IFERROR(INDEX(B!$G$2:$G$61,MATCH($J560,B!$E$2:$E$61,0))&amp;"",""))</f>
        <v/>
      </c>
      <c r="P560" s="69">
        <f>IF($J560="","",IFERROR(INDEX(B!$H$2:$H$61,MATCH($J560,B!$E$2:$E$61,0))&amp;"",""))</f>
        <v/>
      </c>
      <c r="Q560" s="69">
        <f>IF($J560="","",IFERROR(INDEX(B!$I$2:$I$61,MATCH($J560,B!$E$2:$E$61,0))&amp;"",""))</f>
        <v/>
      </c>
      <c r="R560" s="69">
        <f>IF($J560="","",IFERROR(INDEX(B!$J$2:$J$61,MATCH($J560,B!$E$2:$E$61,0))&amp;"",""))</f>
        <v/>
      </c>
      <c r="S560" s="69">
        <f>IF($J560="","",IFERROR(INDEX(B!$K$2:$K$61,MATCH($J560,B!$E$2:$E$61,0))&amp;"",""))</f>
        <v/>
      </c>
      <c r="T560" s="69">
        <f>IF($J560="","",IFERROR(INDEX(B!$L$2:$L$61,MATCH($J560,B!$E$2:$E$61,0))&amp;"",""))</f>
        <v/>
      </c>
      <c r="U560" s="20" t="n"/>
      <c r="V560" s="70">
        <f>IF($J560="","",IFERROR(INDEX(B!$M$2:$M$61,MATCH($J560,B!$E$2:$E$61,0))&amp;"",""))</f>
        <v/>
      </c>
      <c r="W560" s="71">
        <f>IF(I560="","",IFERROR(MID(I560,FIND("/d/",I560)+3,FIND("/edit",I560)-FIND("/d/",I560)-3),I560))</f>
        <v/>
      </c>
      <c r="X560" s="71">
        <f>IF($J560="","",IFERROR(INDEX(B!$C$2:$C$61,MATCH($J560,B!$E$2:$E$61,0))&amp;"",""))</f>
        <v/>
      </c>
      <c r="Y560" s="20" t="n"/>
      <c r="Z560" s="72">
        <f>IF($J560="",FALSE,ISNUMBER(SEARCH("scout",$K560)))</f>
        <v/>
      </c>
      <c r="AA560" s="72">
        <f>IF($J560="",FALSE,IFERROR(INDEX(B!$N$2:$N$61,MATCH($J560,B!$E$2:$E$61,0))="Sim",FALSE))</f>
        <v/>
      </c>
      <c r="AB560" s="72">
        <f>IF($J560="",FALSE,LEFT($X560,2)="XX")</f>
        <v/>
      </c>
      <c r="AC560" s="72">
        <f>IF($J560="",FALSE,IFERROR(INDEX(B!$P$2:$P$61,MATCH($J560,B!$E$2:$E$61,0))="Sim",FALSE))</f>
        <v/>
      </c>
      <c r="AD560" s="20" t="n"/>
      <c r="AE560" s="52">
        <f>IF(H560="","",HOUR(H560))</f>
        <v/>
      </c>
      <c r="AF560" s="52" t="n"/>
    </row>
    <row r="561" ht="19.5" customHeight="1" s="58">
      <c r="A561" s="62">
        <f>IF(G561="","",IF(G561=G560,"",COUNTIF($G$3:$G$976,G561)))</f>
        <v/>
      </c>
      <c r="B561" s="20" t="n"/>
      <c r="C561" s="63">
        <f>IF(G561="","",DAY(G561))</f>
        <v/>
      </c>
      <c r="D561" s="63">
        <f>IF(G561="","",MONTH(G561))</f>
        <v/>
      </c>
      <c r="E561" s="63">
        <f>IF(G561="","",YEAR(G561))</f>
        <v/>
      </c>
      <c r="F561" s="33">
        <f>IF(G561="","",CHOOSE(MONTH(G561),"Janeiro","Fevereiro","Março","Abril","Maio","Junho","Julho","Agosto","Setembro","Outubro","Novembro","Dezembro"))</f>
        <v/>
      </c>
      <c r="G561" s="64" t="n">
        <v>46070</v>
      </c>
      <c r="H561" s="65" t="n">
        <v>0.1452662037037037</v>
      </c>
      <c r="I561" s="66" t="inlineStr">
        <is>
          <t>https://docs.google.com/spreadsheets/d/1ZiCGoPjLCjuYvujDTXK9Ixbth3tekiLtFBzBrGjPCr4/edit?gid=0#gid=0</t>
        </is>
      </c>
      <c r="J561" s="67" t="inlineStr">
        <is>
          <t>No Need Response (Não precisa de resposta) - [NRN]</t>
        </is>
      </c>
      <c r="K561" s="67" t="inlineStr"/>
      <c r="L561" s="68" t="b">
        <v>0</v>
      </c>
      <c r="M561" s="20" t="n"/>
      <c r="N561" s="69">
        <f>IF($J561="","",IFERROR(INDEX(B!$F$2:$F$61,MATCH($J561,B!$E$2:$E$61,0))&amp;"",""))</f>
        <v/>
      </c>
      <c r="O561" s="69">
        <f>IF($J561="","",IFERROR(INDEX(B!$G$2:$G$61,MATCH($J561,B!$E$2:$E$61,0))&amp;"",""))</f>
        <v/>
      </c>
      <c r="P561" s="69">
        <f>IF($J561="","",IFERROR(INDEX(B!$H$2:$H$61,MATCH($J561,B!$E$2:$E$61,0))&amp;"",""))</f>
        <v/>
      </c>
      <c r="Q561" s="69">
        <f>IF($J561="","",IFERROR(INDEX(B!$I$2:$I$61,MATCH($J561,B!$E$2:$E$61,0))&amp;"",""))</f>
        <v/>
      </c>
      <c r="R561" s="69">
        <f>IF($J561="","",IFERROR(INDEX(B!$J$2:$J$61,MATCH($J561,B!$E$2:$E$61,0))&amp;"",""))</f>
        <v/>
      </c>
      <c r="S561" s="69">
        <f>IF($J561="","",IFERROR(INDEX(B!$K$2:$K$61,MATCH($J561,B!$E$2:$E$61,0))&amp;"",""))</f>
        <v/>
      </c>
      <c r="T561" s="69">
        <f>IF($J561="","",IFERROR(INDEX(B!$L$2:$L$61,MATCH($J561,B!$E$2:$E$61,0))&amp;"",""))</f>
        <v/>
      </c>
      <c r="U561" s="20" t="n"/>
      <c r="V561" s="70">
        <f>IF($J561="","",IFERROR(INDEX(B!$M$2:$M$61,MATCH($J561,B!$E$2:$E$61,0))&amp;"",""))</f>
        <v/>
      </c>
      <c r="W561" s="71">
        <f>IF(I561="","",IFERROR(MID(I561,FIND("/d/",I561)+3,FIND("/edit",I561)-FIND("/d/",I561)-3),I561))</f>
        <v/>
      </c>
      <c r="X561" s="71">
        <f>IF($J561="","",IFERROR(INDEX(B!$C$2:$C$61,MATCH($J561,B!$E$2:$E$61,0))&amp;"",""))</f>
        <v/>
      </c>
      <c r="Y561" s="20" t="n"/>
      <c r="Z561" s="72">
        <f>IF($J561="",FALSE,ISNUMBER(SEARCH("scout",$K561)))</f>
        <v/>
      </c>
      <c r="AA561" s="72">
        <f>IF($J561="",FALSE,IFERROR(INDEX(B!$N$2:$N$61,MATCH($J561,B!$E$2:$E$61,0))="Sim",FALSE))</f>
        <v/>
      </c>
      <c r="AB561" s="72">
        <f>IF($J561="",FALSE,LEFT($X561,2)="XX")</f>
        <v/>
      </c>
      <c r="AC561" s="72">
        <f>IF($J561="",FALSE,IFERROR(INDEX(B!$P$2:$P$61,MATCH($J561,B!$E$2:$E$61,0))="Sim",FALSE))</f>
        <v/>
      </c>
      <c r="AD561" s="20" t="n"/>
      <c r="AE561" s="52">
        <f>IF(H561="","",HOUR(H561))</f>
        <v/>
      </c>
      <c r="AF561" s="52" t="n"/>
    </row>
    <row r="562" ht="19.5" customHeight="1" s="58">
      <c r="A562" s="62">
        <f>IF(G562="","",IF(G562=G561,"",COUNTIF($G$3:$G$976,G562)))</f>
        <v/>
      </c>
      <c r="B562" s="20" t="n"/>
      <c r="C562" s="63">
        <f>IF(G562="","",DAY(G562))</f>
        <v/>
      </c>
      <c r="D562" s="63">
        <f>IF(G562="","",MONTH(G562))</f>
        <v/>
      </c>
      <c r="E562" s="63">
        <f>IF(G562="","",YEAR(G562))</f>
        <v/>
      </c>
      <c r="F562" s="33">
        <f>IF(G562="","",CHOOSE(MONTH(G562),"Janeiro","Fevereiro","Março","Abril","Maio","Junho","Julho","Agosto","Setembro","Outubro","Novembro","Dezembro"))</f>
        <v/>
      </c>
      <c r="G562" s="64" t="n">
        <v>46070</v>
      </c>
      <c r="H562" s="65" t="n">
        <v>0.1487731481481482</v>
      </c>
      <c r="I562" s="66" t="inlineStr">
        <is>
          <t>https://docs.google.com/spreadsheets/d/1ZiCGoPjLCjuYvujDTXK9Ixbth3tekiLtFBzBrGjPCr4/edit?gid=0#gid=0</t>
        </is>
      </c>
      <c r="J562" s="67" t="inlineStr">
        <is>
          <t>Pushback (Agradecimento) - [XXA]</t>
        </is>
      </c>
      <c r="K562" s="67" t="inlineStr"/>
      <c r="L562" s="68" t="b">
        <v>0</v>
      </c>
      <c r="M562" s="20" t="n"/>
      <c r="N562" s="69">
        <f>IF($J562="","",IFERROR(INDEX(B!$F$2:$F$61,MATCH($J562,B!$E$2:$E$61,0))&amp;"",""))</f>
        <v/>
      </c>
      <c r="O562" s="69">
        <f>IF($J562="","",IFERROR(INDEX(B!$G$2:$G$61,MATCH($J562,B!$E$2:$E$61,0))&amp;"",""))</f>
        <v/>
      </c>
      <c r="P562" s="69">
        <f>IF($J562="","",IFERROR(INDEX(B!$H$2:$H$61,MATCH($J562,B!$E$2:$E$61,0))&amp;"",""))</f>
        <v/>
      </c>
      <c r="Q562" s="69">
        <f>IF($J562="","",IFERROR(INDEX(B!$I$2:$I$61,MATCH($J562,B!$E$2:$E$61,0))&amp;"",""))</f>
        <v/>
      </c>
      <c r="R562" s="69">
        <f>IF($J562="","",IFERROR(INDEX(B!$J$2:$J$61,MATCH($J562,B!$E$2:$E$61,0))&amp;"",""))</f>
        <v/>
      </c>
      <c r="S562" s="69">
        <f>IF($J562="","",IFERROR(INDEX(B!$K$2:$K$61,MATCH($J562,B!$E$2:$E$61,0))&amp;"",""))</f>
        <v/>
      </c>
      <c r="T562" s="69">
        <f>IF($J562="","",IFERROR(INDEX(B!$L$2:$L$61,MATCH($J562,B!$E$2:$E$61,0))&amp;"",""))</f>
        <v/>
      </c>
      <c r="U562" s="20" t="n"/>
      <c r="V562" s="70">
        <f>IF($J562="","",IFERROR(INDEX(B!$M$2:$M$61,MATCH($J562,B!$E$2:$E$61,0))&amp;"",""))</f>
        <v/>
      </c>
      <c r="W562" s="71">
        <f>IF(I562="","",IFERROR(MID(I562,FIND("/d/",I562)+3,FIND("/edit",I562)-FIND("/d/",I562)-3),I562))</f>
        <v/>
      </c>
      <c r="X562" s="71">
        <f>IF($J562="","",IFERROR(INDEX(B!$C$2:$C$61,MATCH($J562,B!$E$2:$E$61,0))&amp;"",""))</f>
        <v/>
      </c>
      <c r="Y562" s="20" t="n"/>
      <c r="Z562" s="72">
        <f>IF($J562="",FALSE,ISNUMBER(SEARCH("scout",$K562)))</f>
        <v/>
      </c>
      <c r="AA562" s="72">
        <f>IF($J562="",FALSE,IFERROR(INDEX(B!$N$2:$N$61,MATCH($J562,B!$E$2:$E$61,0))="Sim",FALSE))</f>
        <v/>
      </c>
      <c r="AB562" s="72">
        <f>IF($J562="",FALSE,LEFT($X562,2)="XX")</f>
        <v/>
      </c>
      <c r="AC562" s="72">
        <f>IF($J562="",FALSE,IFERROR(INDEX(B!$P$2:$P$61,MATCH($J562,B!$E$2:$E$61,0))="Sim",FALSE))</f>
        <v/>
      </c>
      <c r="AD562" s="20" t="n"/>
      <c r="AE562" s="52">
        <f>IF(H562="","",HOUR(H562))</f>
        <v/>
      </c>
      <c r="AF562" s="52" t="n"/>
    </row>
    <row r="563" ht="19.5" customHeight="1" s="58">
      <c r="A563" s="62">
        <f>IF(G563="","",IF(G563=G562,"",COUNTIF($G$3:$G$976,G563)))</f>
        <v/>
      </c>
      <c r="B563" s="20" t="n"/>
      <c r="C563" s="63">
        <f>IF(G563="","",DAY(G563))</f>
        <v/>
      </c>
      <c r="D563" s="63">
        <f>IF(G563="","",MONTH(G563))</f>
        <v/>
      </c>
      <c r="E563" s="63">
        <f>IF(G563="","",YEAR(G563))</f>
        <v/>
      </c>
      <c r="F563" s="33">
        <f>IF(G563="","",CHOOSE(MONTH(G563),"Janeiro","Fevereiro","Março","Abril","Maio","Junho","Julho","Agosto","Setembro","Outubro","Novembro","Dezembro"))</f>
        <v/>
      </c>
      <c r="G563" s="64" t="n">
        <v>46070</v>
      </c>
      <c r="H563" s="65" t="n">
        <v>0.1492013888888889</v>
      </c>
      <c r="I563" s="66" t="inlineStr">
        <is>
          <t>https://docs.google.com/spreadsheets/d/1ZiCGoPjLCjuYvujDTXK9Ixbth3tekiLtFBzBrGjPCr4/edit?gid=0#gid=0</t>
        </is>
      </c>
      <c r="J563" s="67" t="inlineStr">
        <is>
          <t>Taxa de Limpeza, Sem ajustes - [TXLO]</t>
        </is>
      </c>
      <c r="K563" s="67" t="inlineStr">
        <is>
          <t>Scout</t>
        </is>
      </c>
      <c r="L563" s="68" t="b">
        <v>0</v>
      </c>
      <c r="M563" s="20" t="n"/>
      <c r="N563" s="69">
        <f>IF($J563="","",IFERROR(INDEX(B!$F$2:$F$61,MATCH($J563,B!$E$2:$E$61,0))&amp;"",""))</f>
        <v/>
      </c>
      <c r="O563" s="69">
        <f>IF($J563="","",IFERROR(INDEX(B!$G$2:$G$61,MATCH($J563,B!$E$2:$E$61,0))&amp;"",""))</f>
        <v/>
      </c>
      <c r="P563" s="69">
        <f>IF($J563="","",IFERROR(INDEX(B!$H$2:$H$61,MATCH($J563,B!$E$2:$E$61,0))&amp;"",""))</f>
        <v/>
      </c>
      <c r="Q563" s="69">
        <f>IF($J563="","",IFERROR(INDEX(B!$I$2:$I$61,MATCH($J563,B!$E$2:$E$61,0))&amp;"",""))</f>
        <v/>
      </c>
      <c r="R563" s="69">
        <f>IF($J563="","",IFERROR(INDEX(B!$J$2:$J$61,MATCH($J563,B!$E$2:$E$61,0))&amp;"",""))</f>
        <v/>
      </c>
      <c r="S563" s="69">
        <f>IF($J563="","",IFERROR(INDEX(B!$K$2:$K$61,MATCH($J563,B!$E$2:$E$61,0))&amp;"",""))</f>
        <v/>
      </c>
      <c r="T563" s="69">
        <f>IF($J563="","",IFERROR(INDEX(B!$L$2:$L$61,MATCH($J563,B!$E$2:$E$61,0))&amp;"",""))</f>
        <v/>
      </c>
      <c r="U563" s="20" t="n"/>
      <c r="V563" s="70">
        <f>IF($J563="","",IFERROR(INDEX(B!$M$2:$M$61,MATCH($J563,B!$E$2:$E$61,0))&amp;"",""))</f>
        <v/>
      </c>
      <c r="W563" s="71">
        <f>IF(I563="","",IFERROR(MID(I563,FIND("/d/",I563)+3,FIND("/edit",I563)-FIND("/d/",I563)-3),I563))</f>
        <v/>
      </c>
      <c r="X563" s="71">
        <f>IF($J563="","",IFERROR(INDEX(B!$C$2:$C$61,MATCH($J563,B!$E$2:$E$61,0))&amp;"",""))</f>
        <v/>
      </c>
      <c r="Y563" s="20" t="n"/>
      <c r="Z563" s="72">
        <f>IF($J563="",FALSE,ISNUMBER(SEARCH("scout",$K563)))</f>
        <v/>
      </c>
      <c r="AA563" s="72">
        <f>IF($J563="",FALSE,IFERROR(INDEX(B!$N$2:$N$61,MATCH($J563,B!$E$2:$E$61,0))="Sim",FALSE))</f>
        <v/>
      </c>
      <c r="AB563" s="72">
        <f>IF($J563="",FALSE,LEFT($X563,2)="XX")</f>
        <v/>
      </c>
      <c r="AC563" s="72">
        <f>IF($J563="",FALSE,IFERROR(INDEX(B!$P$2:$P$61,MATCH($J563,B!$E$2:$E$61,0))="Sim",FALSE))</f>
        <v/>
      </c>
      <c r="AD563" s="20" t="n"/>
      <c r="AE563" s="52">
        <f>IF(H563="","",HOUR(H563))</f>
        <v/>
      </c>
      <c r="AF563" s="52" t="n"/>
    </row>
    <row r="564" ht="19.5" customHeight="1" s="58">
      <c r="A564" s="62">
        <f>IF(G564="","",IF(G564=G563,"",COUNTIF($G$3:$G$976,G564)))</f>
        <v/>
      </c>
      <c r="B564" s="20" t="n"/>
      <c r="C564" s="63">
        <f>IF(G564="","",DAY(G564))</f>
        <v/>
      </c>
      <c r="D564" s="63">
        <f>IF(G564="","",MONTH(G564))</f>
        <v/>
      </c>
      <c r="E564" s="63">
        <f>IF(G564="","",YEAR(G564))</f>
        <v/>
      </c>
      <c r="F564" s="33">
        <f>IF(G564="","",CHOOSE(MONTH(G564),"Janeiro","Fevereiro","Março","Abril","Maio","Junho","Julho","Agosto","Setembro","Outubro","Novembro","Dezembro"))</f>
        <v/>
      </c>
      <c r="G564" s="64" t="n">
        <v>46070</v>
      </c>
      <c r="H564" s="65" t="n">
        <v>0.1539236111111111</v>
      </c>
      <c r="I564" s="66" t="inlineStr">
        <is>
          <t>https://docs.google.com/spreadsheets/d/1ZiCGoPjLCjuYvujDTXK9Ixbth3tekiLtFBzBrGjPCr4/edit?gid=0#gid=0</t>
        </is>
      </c>
      <c r="J564" s="67" t="inlineStr">
        <is>
          <t>Taxa de Cancelamento Cobrada Corretamente - [TXCO]</t>
        </is>
      </c>
      <c r="K564" s="67" t="inlineStr"/>
      <c r="L564" s="68" t="b">
        <v>0</v>
      </c>
      <c r="M564" s="20" t="n"/>
      <c r="N564" s="69">
        <f>IF($J564="","",IFERROR(INDEX(B!$F$2:$F$61,MATCH($J564,B!$E$2:$E$61,0))&amp;"",""))</f>
        <v/>
      </c>
      <c r="O564" s="69">
        <f>IF($J564="","",IFERROR(INDEX(B!$G$2:$G$61,MATCH($J564,B!$E$2:$E$61,0))&amp;"",""))</f>
        <v/>
      </c>
      <c r="P564" s="69">
        <f>IF($J564="","",IFERROR(INDEX(B!$H$2:$H$61,MATCH($J564,B!$E$2:$E$61,0))&amp;"",""))</f>
        <v/>
      </c>
      <c r="Q564" s="69">
        <f>IF($J564="","",IFERROR(INDEX(B!$I$2:$I$61,MATCH($J564,B!$E$2:$E$61,0))&amp;"",""))</f>
        <v/>
      </c>
      <c r="R564" s="69">
        <f>IF($J564="","",IFERROR(INDEX(B!$J$2:$J$61,MATCH($J564,B!$E$2:$E$61,0))&amp;"",""))</f>
        <v/>
      </c>
      <c r="S564" s="69">
        <f>IF($J564="","",IFERROR(INDEX(B!$K$2:$K$61,MATCH($J564,B!$E$2:$E$61,0))&amp;"",""))</f>
        <v/>
      </c>
      <c r="T564" s="69">
        <f>IF($J564="","",IFERROR(INDEX(B!$L$2:$L$61,MATCH($J564,B!$E$2:$E$61,0))&amp;"",""))</f>
        <v/>
      </c>
      <c r="U564" s="20" t="n"/>
      <c r="V564" s="70">
        <f>IF($J564="","",IFERROR(INDEX(B!$M$2:$M$61,MATCH($J564,B!$E$2:$E$61,0))&amp;"",""))</f>
        <v/>
      </c>
      <c r="W564" s="71">
        <f>IF(I564="","",IFERROR(MID(I564,FIND("/d/",I564)+3,FIND("/edit",I564)-FIND("/d/",I564)-3),I564))</f>
        <v/>
      </c>
      <c r="X564" s="71">
        <f>IF($J564="","",IFERROR(INDEX(B!$C$2:$C$61,MATCH($J564,B!$E$2:$E$61,0))&amp;"",""))</f>
        <v/>
      </c>
      <c r="Y564" s="20" t="n"/>
      <c r="Z564" s="72">
        <f>IF($J564="",FALSE,ISNUMBER(SEARCH("scout",$K564)))</f>
        <v/>
      </c>
      <c r="AA564" s="72">
        <f>IF($J564="",FALSE,IFERROR(INDEX(B!$N$2:$N$61,MATCH($J564,B!$E$2:$E$61,0))="Sim",FALSE))</f>
        <v/>
      </c>
      <c r="AB564" s="72">
        <f>IF($J564="",FALSE,LEFT($X564,2)="XX")</f>
        <v/>
      </c>
      <c r="AC564" s="72">
        <f>IF($J564="",FALSE,IFERROR(INDEX(B!$P$2:$P$61,MATCH($J564,B!$E$2:$E$61,0))="Sim",FALSE))</f>
        <v/>
      </c>
      <c r="AD564" s="20" t="n"/>
      <c r="AE564" s="52">
        <f>IF(H564="","",HOUR(H564))</f>
        <v/>
      </c>
      <c r="AF564" s="52" t="n"/>
    </row>
    <row r="565" ht="19.5" customHeight="1" s="58">
      <c r="A565" s="62">
        <f>IF(G565="","",IF(G565=G564,"",COUNTIF($G$3:$G$976,G565)))</f>
        <v/>
      </c>
      <c r="B565" s="20" t="n"/>
      <c r="C565" s="63">
        <f>IF(G565="","",DAY(G565))</f>
        <v/>
      </c>
      <c r="D565" s="63">
        <f>IF(G565="","",MONTH(G565))</f>
        <v/>
      </c>
      <c r="E565" s="63">
        <f>IF(G565="","",YEAR(G565))</f>
        <v/>
      </c>
      <c r="F565" s="33">
        <f>IF(G565="","",CHOOSE(MONTH(G565),"Janeiro","Fevereiro","Março","Abril","Maio","Junho","Julho","Agosto","Setembro","Outubro","Novembro","Dezembro"))</f>
        <v/>
      </c>
      <c r="G565" s="64" t="n">
        <v>46070</v>
      </c>
      <c r="H565" s="65" t="n">
        <v>0.1543055555555556</v>
      </c>
      <c r="I565" s="66" t="inlineStr">
        <is>
          <t>https://docs.google.com/spreadsheets/d/1ZiCGoPjLCjuYvujDTXK9Ixbth3tekiLtFBzBrGjPCr4/edit?gid=0#gid=0</t>
        </is>
      </c>
      <c r="J565" s="67" t="inlineStr">
        <is>
          <t>Comprovante de Pagamento - [CP]</t>
        </is>
      </c>
      <c r="K565" s="67" t="inlineStr"/>
      <c r="L565" s="68" t="b">
        <v>0</v>
      </c>
      <c r="M565" s="20" t="n"/>
      <c r="N565" s="69">
        <f>IF($J565="","",IFERROR(INDEX(B!$F$2:$F$61,MATCH($J565,B!$E$2:$E$61,0))&amp;"",""))</f>
        <v/>
      </c>
      <c r="O565" s="69">
        <f>IF($J565="","",IFERROR(INDEX(B!$G$2:$G$61,MATCH($J565,B!$E$2:$E$61,0))&amp;"",""))</f>
        <v/>
      </c>
      <c r="P565" s="69">
        <f>IF($J565="","",IFERROR(INDEX(B!$H$2:$H$61,MATCH($J565,B!$E$2:$E$61,0))&amp;"",""))</f>
        <v/>
      </c>
      <c r="Q565" s="69">
        <f>IF($J565="","",IFERROR(INDEX(B!$I$2:$I$61,MATCH($J565,B!$E$2:$E$61,0))&amp;"",""))</f>
        <v/>
      </c>
      <c r="R565" s="69">
        <f>IF($J565="","",IFERROR(INDEX(B!$J$2:$J$61,MATCH($J565,B!$E$2:$E$61,0))&amp;"",""))</f>
        <v/>
      </c>
      <c r="S565" s="69">
        <f>IF($J565="","",IFERROR(INDEX(B!$K$2:$K$61,MATCH($J565,B!$E$2:$E$61,0))&amp;"",""))</f>
        <v/>
      </c>
      <c r="T565" s="69">
        <f>IF($J565="","",IFERROR(INDEX(B!$L$2:$L$61,MATCH($J565,B!$E$2:$E$61,0))&amp;"",""))</f>
        <v/>
      </c>
      <c r="U565" s="20" t="n"/>
      <c r="V565" s="70">
        <f>IF($J565="","",IFERROR(INDEX(B!$M$2:$M$61,MATCH($J565,B!$E$2:$E$61,0))&amp;"",""))</f>
        <v/>
      </c>
      <c r="W565" s="71">
        <f>IF(I565="","",IFERROR(MID(I565,FIND("/d/",I565)+3,FIND("/edit",I565)-FIND("/d/",I565)-3),I565))</f>
        <v/>
      </c>
      <c r="X565" s="71">
        <f>IF($J565="","",IFERROR(INDEX(B!$C$2:$C$61,MATCH($J565,B!$E$2:$E$61,0))&amp;"",""))</f>
        <v/>
      </c>
      <c r="Y565" s="20" t="n"/>
      <c r="Z565" s="72">
        <f>IF($J565="",FALSE,ISNUMBER(SEARCH("scout",$K565)))</f>
        <v/>
      </c>
      <c r="AA565" s="72">
        <f>IF($J565="",FALSE,IFERROR(INDEX(B!$N$2:$N$61,MATCH($J565,B!$E$2:$E$61,0))="Sim",FALSE))</f>
        <v/>
      </c>
      <c r="AB565" s="72">
        <f>IF($J565="",FALSE,LEFT($X565,2)="XX")</f>
        <v/>
      </c>
      <c r="AC565" s="72">
        <f>IF($J565="",FALSE,IFERROR(INDEX(B!$P$2:$P$61,MATCH($J565,B!$E$2:$E$61,0))="Sim",FALSE))</f>
        <v/>
      </c>
      <c r="AD565" s="20" t="n"/>
      <c r="AE565" s="52">
        <f>IF(H565="","",HOUR(H565))</f>
        <v/>
      </c>
      <c r="AF565" s="52" t="n"/>
    </row>
    <row r="566" ht="19.5" customHeight="1" s="58">
      <c r="A566" s="62">
        <f>IF(G566="","",IF(G566=G565,"",COUNTIF($G$3:$G$976,G566)))</f>
        <v/>
      </c>
      <c r="B566" s="20" t="n"/>
      <c r="C566" s="63">
        <f>IF(G566="","",DAY(G566))</f>
        <v/>
      </c>
      <c r="D566" s="63">
        <f>IF(G566="","",MONTH(G566))</f>
        <v/>
      </c>
      <c r="E566" s="63">
        <f>IF(G566="","",YEAR(G566))</f>
        <v/>
      </c>
      <c r="F566" s="33">
        <f>IF(G566="","",CHOOSE(MONTH(G566),"Janeiro","Fevereiro","Março","Abril","Maio","Junho","Julho","Agosto","Setembro","Outubro","Novembro","Dezembro"))</f>
        <v/>
      </c>
      <c r="G566" s="64" t="n">
        <v>46070</v>
      </c>
      <c r="H566" s="65" t="n">
        <v>0.1606828703703704</v>
      </c>
      <c r="I566" s="66" t="inlineStr">
        <is>
          <t>https://docs.google.com/spreadsheets/d/1ZiCGoPjLCjuYvujDTXK9Ixbth3tekiLtFBzBrGjPCr4/edit?gid=0#gid=0</t>
        </is>
      </c>
      <c r="J566" s="67" t="inlineStr">
        <is>
          <t>Taxa de Limpeza - [TXL]</t>
        </is>
      </c>
      <c r="K566" s="67" t="inlineStr"/>
      <c r="L566" s="68" t="b">
        <v>0</v>
      </c>
      <c r="M566" s="20" t="n"/>
      <c r="N566" s="69">
        <f>IF($J566="","",IFERROR(INDEX(B!$F$2:$F$61,MATCH($J566,B!$E$2:$E$61,0))&amp;"",""))</f>
        <v/>
      </c>
      <c r="O566" s="69">
        <f>IF($J566="","",IFERROR(INDEX(B!$G$2:$G$61,MATCH($J566,B!$E$2:$E$61,0))&amp;"",""))</f>
        <v/>
      </c>
      <c r="P566" s="69">
        <f>IF($J566="","",IFERROR(INDEX(B!$H$2:$H$61,MATCH($J566,B!$E$2:$E$61,0))&amp;"",""))</f>
        <v/>
      </c>
      <c r="Q566" s="69">
        <f>IF($J566="","",IFERROR(INDEX(B!$I$2:$I$61,MATCH($J566,B!$E$2:$E$61,0))&amp;"",""))</f>
        <v/>
      </c>
      <c r="R566" s="69">
        <f>IF($J566="","",IFERROR(INDEX(B!$J$2:$J$61,MATCH($J566,B!$E$2:$E$61,0))&amp;"",""))</f>
        <v/>
      </c>
      <c r="S566" s="69">
        <f>IF($J566="","",IFERROR(INDEX(B!$K$2:$K$61,MATCH($J566,B!$E$2:$E$61,0))&amp;"",""))</f>
        <v/>
      </c>
      <c r="T566" s="69">
        <f>IF($J566="","",IFERROR(INDEX(B!$L$2:$L$61,MATCH($J566,B!$E$2:$E$61,0))&amp;"",""))</f>
        <v/>
      </c>
      <c r="U566" s="20" t="n"/>
      <c r="V566" s="70">
        <f>IF($J566="","",IFERROR(INDEX(B!$M$2:$M$61,MATCH($J566,B!$E$2:$E$61,0))&amp;"",""))</f>
        <v/>
      </c>
      <c r="W566" s="71">
        <f>IF(I566="","",IFERROR(MID(I566,FIND("/d/",I566)+3,FIND("/edit",I566)-FIND("/d/",I566)-3),I566))</f>
        <v/>
      </c>
      <c r="X566" s="71">
        <f>IF($J566="","",IFERROR(INDEX(B!$C$2:$C$61,MATCH($J566,B!$E$2:$E$61,0))&amp;"",""))</f>
        <v/>
      </c>
      <c r="Y566" s="20" t="n"/>
      <c r="Z566" s="72">
        <f>IF($J566="",FALSE,ISNUMBER(SEARCH("scout",$K566)))</f>
        <v/>
      </c>
      <c r="AA566" s="72">
        <f>IF($J566="",FALSE,IFERROR(INDEX(B!$N$2:$N$61,MATCH($J566,B!$E$2:$E$61,0))="Sim",FALSE))</f>
        <v/>
      </c>
      <c r="AB566" s="72">
        <f>IF($J566="",FALSE,LEFT($X566,2)="XX")</f>
        <v/>
      </c>
      <c r="AC566" s="72">
        <f>IF($J566="",FALSE,IFERROR(INDEX(B!$P$2:$P$61,MATCH($J566,B!$E$2:$E$61,0))="Sim",FALSE))</f>
        <v/>
      </c>
      <c r="AD566" s="20" t="n"/>
      <c r="AE566" s="52">
        <f>IF(H566="","",HOUR(H566))</f>
        <v/>
      </c>
      <c r="AF566" s="52" t="n"/>
    </row>
    <row r="567" ht="19.5" customHeight="1" s="58">
      <c r="A567" s="62">
        <f>IF(G567="","",IF(G567=G566,"",COUNTIF($G$3:$G$976,G567)))</f>
        <v/>
      </c>
      <c r="B567" s="20" t="n"/>
      <c r="C567" s="63">
        <f>IF(G567="","",DAY(G567))</f>
        <v/>
      </c>
      <c r="D567" s="63">
        <f>IF(G567="","",MONTH(G567))</f>
        <v/>
      </c>
      <c r="E567" s="63">
        <f>IF(G567="","",YEAR(G567))</f>
        <v/>
      </c>
      <c r="F567" s="33">
        <f>IF(G567="","",CHOOSE(MONTH(G567),"Janeiro","Fevereiro","Março","Abril","Maio","Junho","Julho","Agosto","Setembro","Outubro","Novembro","Dezembro"))</f>
        <v/>
      </c>
      <c r="G567" s="64" t="n">
        <v>46070</v>
      </c>
      <c r="H567" s="65" t="n">
        <v>0.1664814814814815</v>
      </c>
      <c r="I567" s="66" t="inlineStr">
        <is>
          <t>https://docs.google.com/spreadsheets/d/1ZiCGoPjLCjuYvujDTXK9Ixbth3tekiLtFBzBrGjPCr4/edit?gid=0#gid=0</t>
        </is>
      </c>
      <c r="J567" s="67" t="inlineStr">
        <is>
          <t>Transferência de LOB (Profissionalismo) - [TIPR]</t>
        </is>
      </c>
      <c r="K567" s="67" t="inlineStr">
        <is>
          <t>Scout</t>
        </is>
      </c>
      <c r="L567" s="68" t="b">
        <v>0</v>
      </c>
      <c r="M567" s="20" t="n"/>
      <c r="N567" s="69">
        <f>IF($J567="","",IFERROR(INDEX(B!$F$2:$F$61,MATCH($J567,B!$E$2:$E$61,0))&amp;"",""))</f>
        <v/>
      </c>
      <c r="O567" s="69">
        <f>IF($J567="","",IFERROR(INDEX(B!$G$2:$G$61,MATCH($J567,B!$E$2:$E$61,0))&amp;"",""))</f>
        <v/>
      </c>
      <c r="P567" s="69">
        <f>IF($J567="","",IFERROR(INDEX(B!$H$2:$H$61,MATCH($J567,B!$E$2:$E$61,0))&amp;"",""))</f>
        <v/>
      </c>
      <c r="Q567" s="69">
        <f>IF($J567="","",IFERROR(INDEX(B!$I$2:$I$61,MATCH($J567,B!$E$2:$E$61,0))&amp;"",""))</f>
        <v/>
      </c>
      <c r="R567" s="69">
        <f>IF($J567="","",IFERROR(INDEX(B!$J$2:$J$61,MATCH($J567,B!$E$2:$E$61,0))&amp;"",""))</f>
        <v/>
      </c>
      <c r="S567" s="69">
        <f>IF($J567="","",IFERROR(INDEX(B!$K$2:$K$61,MATCH($J567,B!$E$2:$E$61,0))&amp;"",""))</f>
        <v/>
      </c>
      <c r="T567" s="69">
        <f>IF($J567="","",IFERROR(INDEX(B!$L$2:$L$61,MATCH($J567,B!$E$2:$E$61,0))&amp;"",""))</f>
        <v/>
      </c>
      <c r="U567" s="20" t="n"/>
      <c r="V567" s="70">
        <f>IF($J567="","",IFERROR(INDEX(B!$M$2:$M$61,MATCH($J567,B!$E$2:$E$61,0))&amp;"",""))</f>
        <v/>
      </c>
      <c r="W567" s="71">
        <f>IF(I567="","",IFERROR(MID(I567,FIND("/d/",I567)+3,FIND("/edit",I567)-FIND("/d/",I567)-3),I567))</f>
        <v/>
      </c>
      <c r="X567" s="71">
        <f>IF($J567="","",IFERROR(INDEX(B!$C$2:$C$61,MATCH($J567,B!$E$2:$E$61,0))&amp;"",""))</f>
        <v/>
      </c>
      <c r="Y567" s="20" t="n"/>
      <c r="Z567" s="72">
        <f>IF($J567="",FALSE,ISNUMBER(SEARCH("scout",$K567)))</f>
        <v/>
      </c>
      <c r="AA567" s="72">
        <f>IF($J567="",FALSE,IFERROR(INDEX(B!$N$2:$N$61,MATCH($J567,B!$E$2:$E$61,0))="Sim",FALSE))</f>
        <v/>
      </c>
      <c r="AB567" s="72">
        <f>IF($J567="",FALSE,LEFT($X567,2)="XX")</f>
        <v/>
      </c>
      <c r="AC567" s="72">
        <f>IF($J567="",FALSE,IFERROR(INDEX(B!$P$2:$P$61,MATCH($J567,B!$E$2:$E$61,0))="Sim",FALSE))</f>
        <v/>
      </c>
      <c r="AD567" s="20" t="n"/>
      <c r="AE567" s="52">
        <f>IF(H567="","",HOUR(H567))</f>
        <v/>
      </c>
      <c r="AF567" s="52" t="n"/>
    </row>
    <row r="568" ht="19.5" customHeight="1" s="58">
      <c r="A568" s="62">
        <f>IF(G568="","",IF(G568=G567,"",COUNTIF($G$3:$G$976,G568)))</f>
        <v/>
      </c>
      <c r="B568" s="20" t="n"/>
      <c r="C568" s="63">
        <f>IF(G568="","",DAY(G568))</f>
        <v/>
      </c>
      <c r="D568" s="63">
        <f>IF(G568="","",MONTH(G568))</f>
        <v/>
      </c>
      <c r="E568" s="63">
        <f>IF(G568="","",YEAR(G568))</f>
        <v/>
      </c>
      <c r="F568" s="33">
        <f>IF(G568="","",CHOOSE(MONTH(G568),"Janeiro","Fevereiro","Março","Abril","Maio","Junho","Julho","Agosto","Setembro","Outubro","Novembro","Dezembro"))</f>
        <v/>
      </c>
      <c r="G568" s="64" t="n">
        <v>46070</v>
      </c>
      <c r="H568" s="65" t="n">
        <v>0.1692013888888889</v>
      </c>
      <c r="I568" s="66" t="inlineStr">
        <is>
          <t>https://docs.google.com/spreadsheets/d/1ZiCGoPjLCjuYvujDTXK9Ixbth3tekiLtFBzBrGjPCr4/edit?gid=0#gid=0</t>
        </is>
      </c>
      <c r="J568" s="67" t="inlineStr">
        <is>
          <t>Taxa de Limpeza, Reembolsado ao cliente - [TXLR]</t>
        </is>
      </c>
      <c r="K568" s="67" t="inlineStr"/>
      <c r="L568" s="68" t="b">
        <v>0</v>
      </c>
      <c r="M568" s="20" t="n"/>
      <c r="N568" s="69">
        <f>IF($J568="","",IFERROR(INDEX(B!$F$2:$F$61,MATCH($J568,B!$E$2:$E$61,0))&amp;"",""))</f>
        <v/>
      </c>
      <c r="O568" s="69">
        <f>IF($J568="","",IFERROR(INDEX(B!$G$2:$G$61,MATCH($J568,B!$E$2:$E$61,0))&amp;"",""))</f>
        <v/>
      </c>
      <c r="P568" s="69">
        <f>IF($J568="","",IFERROR(INDEX(B!$H$2:$H$61,MATCH($J568,B!$E$2:$E$61,0))&amp;"",""))</f>
        <v/>
      </c>
      <c r="Q568" s="69">
        <f>IF($J568="","",IFERROR(INDEX(B!$I$2:$I$61,MATCH($J568,B!$E$2:$E$61,0))&amp;"",""))</f>
        <v/>
      </c>
      <c r="R568" s="69">
        <f>IF($J568="","",IFERROR(INDEX(B!$J$2:$J$61,MATCH($J568,B!$E$2:$E$61,0))&amp;"",""))</f>
        <v/>
      </c>
      <c r="S568" s="69">
        <f>IF($J568="","",IFERROR(INDEX(B!$K$2:$K$61,MATCH($J568,B!$E$2:$E$61,0))&amp;"",""))</f>
        <v/>
      </c>
      <c r="T568" s="69">
        <f>IF($J568="","",IFERROR(INDEX(B!$L$2:$L$61,MATCH($J568,B!$E$2:$E$61,0))&amp;"",""))</f>
        <v/>
      </c>
      <c r="U568" s="20" t="n"/>
      <c r="V568" s="70">
        <f>IF($J568="","",IFERROR(INDEX(B!$M$2:$M$61,MATCH($J568,B!$E$2:$E$61,0))&amp;"",""))</f>
        <v/>
      </c>
      <c r="W568" s="71">
        <f>IF(I568="","",IFERROR(MID(I568,FIND("/d/",I568)+3,FIND("/edit",I568)-FIND("/d/",I568)-3),I568))</f>
        <v/>
      </c>
      <c r="X568" s="71">
        <f>IF($J568="","",IFERROR(INDEX(B!$C$2:$C$61,MATCH($J568,B!$E$2:$E$61,0))&amp;"",""))</f>
        <v/>
      </c>
      <c r="Y568" s="20" t="n"/>
      <c r="Z568" s="72">
        <f>IF($J568="",FALSE,ISNUMBER(SEARCH("scout",$K568)))</f>
        <v/>
      </c>
      <c r="AA568" s="72">
        <f>IF($J568="",FALSE,IFERROR(INDEX(B!$N$2:$N$61,MATCH($J568,B!$E$2:$E$61,0))="Sim",FALSE))</f>
        <v/>
      </c>
      <c r="AB568" s="72">
        <f>IF($J568="",FALSE,LEFT($X568,2)="XX")</f>
        <v/>
      </c>
      <c r="AC568" s="72">
        <f>IF($J568="",FALSE,IFERROR(INDEX(B!$P$2:$P$61,MATCH($J568,B!$E$2:$E$61,0))="Sim",FALSE))</f>
        <v/>
      </c>
      <c r="AD568" s="20" t="n"/>
      <c r="AE568" s="52">
        <f>IF(H568="","",HOUR(H568))</f>
        <v/>
      </c>
      <c r="AF568" s="52" t="n"/>
    </row>
    <row r="569" ht="19.5" customHeight="1" s="58">
      <c r="A569" s="62">
        <f>IF(G569="","",IF(G569=G568,"",COUNTIF($G$3:$G$976,G569)))</f>
        <v/>
      </c>
      <c r="B569" s="20" t="n"/>
      <c r="C569" s="63">
        <f>IF(G569="","",DAY(G569))</f>
        <v/>
      </c>
      <c r="D569" s="63">
        <f>IF(G569="","",MONTH(G569))</f>
        <v/>
      </c>
      <c r="E569" s="63">
        <f>IF(G569="","",YEAR(G569))</f>
        <v/>
      </c>
      <c r="F569" s="33">
        <f>IF(G569="","",CHOOSE(MONTH(G569),"Janeiro","Fevereiro","Março","Abril","Maio","Junho","Julho","Agosto","Setembro","Outubro","Novembro","Dezembro"))</f>
        <v/>
      </c>
      <c r="G569" s="64" t="n">
        <v>46070</v>
      </c>
      <c r="H569" s="65" t="n">
        <v>0.176087962962963</v>
      </c>
      <c r="I569" s="66" t="inlineStr">
        <is>
          <t>https://docs.google.com/spreadsheets/d/1ZiCGoPjLCjuYvujDTXK9Ixbth3tekiLtFBzBrGjPCr4/edit?gid=0#gid=0</t>
        </is>
      </c>
      <c r="J569" s="67" t="inlineStr">
        <is>
          <t>Comprovante de Pagamento - [CP]</t>
        </is>
      </c>
      <c r="K569" s="67" t="inlineStr"/>
      <c r="L569" s="68" t="b">
        <v>1</v>
      </c>
      <c r="M569" s="20" t="n"/>
      <c r="N569" s="69">
        <f>IF($J569="","",IFERROR(INDEX(B!$F$2:$F$61,MATCH($J569,B!$E$2:$E$61,0))&amp;"",""))</f>
        <v/>
      </c>
      <c r="O569" s="69">
        <f>IF($J569="","",IFERROR(INDEX(B!$G$2:$G$61,MATCH($J569,B!$E$2:$E$61,0))&amp;"",""))</f>
        <v/>
      </c>
      <c r="P569" s="69">
        <f>IF($J569="","",IFERROR(INDEX(B!$H$2:$H$61,MATCH($J569,B!$E$2:$E$61,0))&amp;"",""))</f>
        <v/>
      </c>
      <c r="Q569" s="69">
        <f>IF($J569="","",IFERROR(INDEX(B!$I$2:$I$61,MATCH($J569,B!$E$2:$E$61,0))&amp;"",""))</f>
        <v/>
      </c>
      <c r="R569" s="69">
        <f>IF($J569="","",IFERROR(INDEX(B!$J$2:$J$61,MATCH($J569,B!$E$2:$E$61,0))&amp;"",""))</f>
        <v/>
      </c>
      <c r="S569" s="69">
        <f>IF($J569="","",IFERROR(INDEX(B!$K$2:$K$61,MATCH($J569,B!$E$2:$E$61,0))&amp;"",""))</f>
        <v/>
      </c>
      <c r="T569" s="69">
        <f>IF($J569="","",IFERROR(INDEX(B!$L$2:$L$61,MATCH($J569,B!$E$2:$E$61,0))&amp;"",""))</f>
        <v/>
      </c>
      <c r="U569" s="20" t="n"/>
      <c r="V569" s="70">
        <f>IF($J569="","",IFERROR(INDEX(B!$M$2:$M$61,MATCH($J569,B!$E$2:$E$61,0))&amp;"",""))</f>
        <v/>
      </c>
      <c r="W569" s="71">
        <f>IF(I569="","",IFERROR(MID(I569,FIND("/d/",I569)+3,FIND("/edit",I569)-FIND("/d/",I569)-3),I569))</f>
        <v/>
      </c>
      <c r="X569" s="71">
        <f>IF($J569="","",IFERROR(INDEX(B!$C$2:$C$61,MATCH($J569,B!$E$2:$E$61,0))&amp;"",""))</f>
        <v/>
      </c>
      <c r="Y569" s="20" t="n"/>
      <c r="Z569" s="72">
        <f>IF($J569="",FALSE,ISNUMBER(SEARCH("scout",$K569)))</f>
        <v/>
      </c>
      <c r="AA569" s="72">
        <f>IF($J569="",FALSE,IFERROR(INDEX(B!$N$2:$N$61,MATCH($J569,B!$E$2:$E$61,0))="Sim",FALSE))</f>
        <v/>
      </c>
      <c r="AB569" s="72">
        <f>IF($J569="",FALSE,LEFT($X569,2)="XX")</f>
        <v/>
      </c>
      <c r="AC569" s="72">
        <f>IF($J569="",FALSE,IFERROR(INDEX(B!$P$2:$P$61,MATCH($J569,B!$E$2:$E$61,0))="Sim",FALSE))</f>
        <v/>
      </c>
      <c r="AD569" s="20" t="n"/>
      <c r="AE569" s="52">
        <f>IF(H569="","",HOUR(H569))</f>
        <v/>
      </c>
      <c r="AF569" s="52" t="n"/>
    </row>
    <row r="570" ht="19.5" customHeight="1" s="58">
      <c r="A570" s="62">
        <f>IF(G570="","",IF(G570=G569,"",COUNTIF($G$3:$G$976,G570)))</f>
        <v/>
      </c>
      <c r="B570" s="20" t="n"/>
      <c r="C570" s="63">
        <f>IF(G570="","",DAY(G570))</f>
        <v/>
      </c>
      <c r="D570" s="63">
        <f>IF(G570="","",MONTH(G570))</f>
        <v/>
      </c>
      <c r="E570" s="63">
        <f>IF(G570="","",YEAR(G570))</f>
        <v/>
      </c>
      <c r="F570" s="33">
        <f>IF(G570="","",CHOOSE(MONTH(G570),"Janeiro","Fevereiro","Março","Abril","Maio","Junho","Julho","Agosto","Setembro","Outubro","Novembro","Dezembro"))</f>
        <v/>
      </c>
      <c r="G570" s="64" t="n">
        <v>46070</v>
      </c>
      <c r="H570" s="65" t="n">
        <v>0.1782291666666667</v>
      </c>
      <c r="I570" s="66" t="inlineStr">
        <is>
          <t>https://docs.google.com/spreadsheets/d/1ZiCGoPjLCjuYvujDTXK9Ixbth3tekiLtFBzBrGjPCr4/edit?gid=0#gid=0</t>
        </is>
      </c>
      <c r="J570" s="67" t="inlineStr">
        <is>
          <t>Taxa de Cancelamento - [TXC]</t>
        </is>
      </c>
      <c r="K570" s="67" t="inlineStr"/>
      <c r="L570" s="68" t="b">
        <v>0</v>
      </c>
      <c r="M570" s="20" t="n"/>
      <c r="N570" s="69">
        <f>IF($J570="","",IFERROR(INDEX(B!$F$2:$F$61,MATCH($J570,B!$E$2:$E$61,0))&amp;"",""))</f>
        <v/>
      </c>
      <c r="O570" s="69">
        <f>IF($J570="","",IFERROR(INDEX(B!$G$2:$G$61,MATCH($J570,B!$E$2:$E$61,0))&amp;"",""))</f>
        <v/>
      </c>
      <c r="P570" s="69">
        <f>IF($J570="","",IFERROR(INDEX(B!$H$2:$H$61,MATCH($J570,B!$E$2:$E$61,0))&amp;"",""))</f>
        <v/>
      </c>
      <c r="Q570" s="69">
        <f>IF($J570="","",IFERROR(INDEX(B!$I$2:$I$61,MATCH($J570,B!$E$2:$E$61,0))&amp;"",""))</f>
        <v/>
      </c>
      <c r="R570" s="69">
        <f>IF($J570="","",IFERROR(INDEX(B!$J$2:$J$61,MATCH($J570,B!$E$2:$E$61,0))&amp;"",""))</f>
        <v/>
      </c>
      <c r="S570" s="69">
        <f>IF($J570="","",IFERROR(INDEX(B!$K$2:$K$61,MATCH($J570,B!$E$2:$E$61,0))&amp;"",""))</f>
        <v/>
      </c>
      <c r="T570" s="69">
        <f>IF($J570="","",IFERROR(INDEX(B!$L$2:$L$61,MATCH($J570,B!$E$2:$E$61,0))&amp;"",""))</f>
        <v/>
      </c>
      <c r="U570" s="20" t="n"/>
      <c r="V570" s="70">
        <f>IF($J570="","",IFERROR(INDEX(B!$M$2:$M$61,MATCH($J570,B!$E$2:$E$61,0))&amp;"",""))</f>
        <v/>
      </c>
      <c r="W570" s="71">
        <f>IF(I570="","",IFERROR(MID(I570,FIND("/d/",I570)+3,FIND("/edit",I570)-FIND("/d/",I570)-3),I570))</f>
        <v/>
      </c>
      <c r="X570" s="71">
        <f>IF($J570="","",IFERROR(INDEX(B!$C$2:$C$61,MATCH($J570,B!$E$2:$E$61,0))&amp;"",""))</f>
        <v/>
      </c>
      <c r="Y570" s="20" t="n"/>
      <c r="Z570" s="72">
        <f>IF($J570="",FALSE,ISNUMBER(SEARCH("scout",$K570)))</f>
        <v/>
      </c>
      <c r="AA570" s="72">
        <f>IF($J570="",FALSE,IFERROR(INDEX(B!$N$2:$N$61,MATCH($J570,B!$E$2:$E$61,0))="Sim",FALSE))</f>
        <v/>
      </c>
      <c r="AB570" s="72">
        <f>IF($J570="",FALSE,LEFT($X570,2)="XX")</f>
        <v/>
      </c>
      <c r="AC570" s="72">
        <f>IF($J570="",FALSE,IFERROR(INDEX(B!$P$2:$P$61,MATCH($J570,B!$E$2:$E$61,0))="Sim",FALSE))</f>
        <v/>
      </c>
      <c r="AD570" s="20" t="n"/>
      <c r="AE570" s="52">
        <f>IF(H570="","",HOUR(H570))</f>
        <v/>
      </c>
      <c r="AF570" s="52" t="n"/>
    </row>
    <row r="571" ht="19.5" customHeight="1" s="58">
      <c r="A571" s="62">
        <f>IF(G571="","",IF(G571=G570,"",COUNTIF($G$3:$G$976,G571)))</f>
        <v/>
      </c>
      <c r="B571" s="20" t="n"/>
      <c r="C571" s="63">
        <f>IF(G571="","",DAY(G571))</f>
        <v/>
      </c>
      <c r="D571" s="63">
        <f>IF(G571="","",MONTH(G571))</f>
        <v/>
      </c>
      <c r="E571" s="63">
        <f>IF(G571="","",YEAR(G571))</f>
        <v/>
      </c>
      <c r="F571" s="33">
        <f>IF(G571="","",CHOOSE(MONTH(G571),"Janeiro","Fevereiro","Março","Abril","Maio","Junho","Julho","Agosto","Setembro","Outubro","Novembro","Dezembro"))</f>
        <v/>
      </c>
      <c r="G571" s="64" t="n">
        <v>46070</v>
      </c>
      <c r="H571" s="65" t="n">
        <v>0.1831481481481481</v>
      </c>
      <c r="I571" s="66" t="inlineStr">
        <is>
          <t>https://docs.google.com/spreadsheets/d/1ZiCGoPjLCjuYvujDTXK9Ixbth3tekiLtFBzBrGjPCr4/edit?gid=0#gid=0</t>
        </is>
      </c>
      <c r="J571" s="67" t="inlineStr">
        <is>
          <t>Overpaid, Não excede o limite, Com comprovante - [OPNC]</t>
        </is>
      </c>
      <c r="K571" s="67" t="inlineStr"/>
      <c r="L571" s="68" t="b">
        <v>0</v>
      </c>
      <c r="M571" s="20" t="n"/>
      <c r="N571" s="69">
        <f>IF($J571="","",IFERROR(INDEX(B!$F$2:$F$61,MATCH($J571,B!$E$2:$E$61,0))&amp;"",""))</f>
        <v/>
      </c>
      <c r="O571" s="69">
        <f>IF($J571="","",IFERROR(INDEX(B!$G$2:$G$61,MATCH($J571,B!$E$2:$E$61,0))&amp;"",""))</f>
        <v/>
      </c>
      <c r="P571" s="69">
        <f>IF($J571="","",IFERROR(INDEX(B!$H$2:$H$61,MATCH($J571,B!$E$2:$E$61,0))&amp;"",""))</f>
        <v/>
      </c>
      <c r="Q571" s="69">
        <f>IF($J571="","",IFERROR(INDEX(B!$I$2:$I$61,MATCH($J571,B!$E$2:$E$61,0))&amp;"",""))</f>
        <v/>
      </c>
      <c r="R571" s="69">
        <f>IF($J571="","",IFERROR(INDEX(B!$J$2:$J$61,MATCH($J571,B!$E$2:$E$61,0))&amp;"",""))</f>
        <v/>
      </c>
      <c r="S571" s="69">
        <f>IF($J571="","",IFERROR(INDEX(B!$K$2:$K$61,MATCH($J571,B!$E$2:$E$61,0))&amp;"",""))</f>
        <v/>
      </c>
      <c r="T571" s="69">
        <f>IF($J571="","",IFERROR(INDEX(B!$L$2:$L$61,MATCH($J571,B!$E$2:$E$61,0))&amp;"",""))</f>
        <v/>
      </c>
      <c r="U571" s="20" t="n"/>
      <c r="V571" s="70">
        <f>IF($J571="","",IFERROR(INDEX(B!$M$2:$M$61,MATCH($J571,B!$E$2:$E$61,0))&amp;"",""))</f>
        <v/>
      </c>
      <c r="W571" s="71">
        <f>IF(I571="","",IFERROR(MID(I571,FIND("/d/",I571)+3,FIND("/edit",I571)-FIND("/d/",I571)-3),I571))</f>
        <v/>
      </c>
      <c r="X571" s="71">
        <f>IF($J571="","",IFERROR(INDEX(B!$C$2:$C$61,MATCH($J571,B!$E$2:$E$61,0))&amp;"",""))</f>
        <v/>
      </c>
      <c r="Y571" s="20" t="n"/>
      <c r="Z571" s="72">
        <f>IF($J571="",FALSE,ISNUMBER(SEARCH("scout",$K571)))</f>
        <v/>
      </c>
      <c r="AA571" s="72">
        <f>IF($J571="",FALSE,IFERROR(INDEX(B!$N$2:$N$61,MATCH($J571,B!$E$2:$E$61,0))="Sim",FALSE))</f>
        <v/>
      </c>
      <c r="AB571" s="72">
        <f>IF($J571="",FALSE,LEFT($X571,2)="XX")</f>
        <v/>
      </c>
      <c r="AC571" s="72">
        <f>IF($J571="",FALSE,IFERROR(INDEX(B!$P$2:$P$61,MATCH($J571,B!$E$2:$E$61,0))="Sim",FALSE))</f>
        <v/>
      </c>
      <c r="AD571" s="20" t="n"/>
      <c r="AE571" s="52">
        <f>IF(H571="","",HOUR(H571))</f>
        <v/>
      </c>
      <c r="AF571" s="52" t="n"/>
    </row>
    <row r="572" ht="19.5" customHeight="1" s="58">
      <c r="A572" s="62">
        <f>IF(G572="","",IF(G572=G571,"",COUNTIF($G$3:$G$976,G572)))</f>
        <v/>
      </c>
      <c r="B572" s="20" t="n"/>
      <c r="C572" s="63">
        <f>IF(G572="","",DAY(G572))</f>
        <v/>
      </c>
      <c r="D572" s="63">
        <f>IF(G572="","",MONTH(G572))</f>
        <v/>
      </c>
      <c r="E572" s="63">
        <f>IF(G572="","",YEAR(G572))</f>
        <v/>
      </c>
      <c r="F572" s="33">
        <f>IF(G572="","",CHOOSE(MONTH(G572),"Janeiro","Fevereiro","Março","Abril","Maio","Junho","Julho","Agosto","Setembro","Outubro","Novembro","Dezembro"))</f>
        <v/>
      </c>
      <c r="G572" s="64" t="n">
        <v>46070</v>
      </c>
      <c r="H572" s="65" t="n">
        <v>0.1871180555555556</v>
      </c>
      <c r="I572" s="66" t="inlineStr">
        <is>
          <t>https://docs.google.com/spreadsheets/d/1ZiCGoPjLCjuYvujDTXK9Ixbth3tekiLtFBzBrGjPCr4/edit?gid=0#gid=0</t>
        </is>
      </c>
      <c r="J572" s="67" t="inlineStr">
        <is>
          <t>Taxa de Limpeza, Reembolsado ao cliente - [TXLR]</t>
        </is>
      </c>
      <c r="K572" s="67" t="inlineStr"/>
      <c r="L572" s="68" t="b">
        <v>0</v>
      </c>
      <c r="M572" s="20" t="n"/>
      <c r="N572" s="69">
        <f>IF($J572="","",IFERROR(INDEX(B!$F$2:$F$61,MATCH($J572,B!$E$2:$E$61,0))&amp;"",""))</f>
        <v/>
      </c>
      <c r="O572" s="69">
        <f>IF($J572="","",IFERROR(INDEX(B!$G$2:$G$61,MATCH($J572,B!$E$2:$E$61,0))&amp;"",""))</f>
        <v/>
      </c>
      <c r="P572" s="69">
        <f>IF($J572="","",IFERROR(INDEX(B!$H$2:$H$61,MATCH($J572,B!$E$2:$E$61,0))&amp;"",""))</f>
        <v/>
      </c>
      <c r="Q572" s="69">
        <f>IF($J572="","",IFERROR(INDEX(B!$I$2:$I$61,MATCH($J572,B!$E$2:$E$61,0))&amp;"",""))</f>
        <v/>
      </c>
      <c r="R572" s="69">
        <f>IF($J572="","",IFERROR(INDEX(B!$J$2:$J$61,MATCH($J572,B!$E$2:$E$61,0))&amp;"",""))</f>
        <v/>
      </c>
      <c r="S572" s="69">
        <f>IF($J572="","",IFERROR(INDEX(B!$K$2:$K$61,MATCH($J572,B!$E$2:$E$61,0))&amp;"",""))</f>
        <v/>
      </c>
      <c r="T572" s="69">
        <f>IF($J572="","",IFERROR(INDEX(B!$L$2:$L$61,MATCH($J572,B!$E$2:$E$61,0))&amp;"",""))</f>
        <v/>
      </c>
      <c r="U572" s="20" t="n"/>
      <c r="V572" s="70">
        <f>IF($J572="","",IFERROR(INDEX(B!$M$2:$M$61,MATCH($J572,B!$E$2:$E$61,0))&amp;"",""))</f>
        <v/>
      </c>
      <c r="W572" s="71">
        <f>IF(I572="","",IFERROR(MID(I572,FIND("/d/",I572)+3,FIND("/edit",I572)-FIND("/d/",I572)-3),I572))</f>
        <v/>
      </c>
      <c r="X572" s="71">
        <f>IF($J572="","",IFERROR(INDEX(B!$C$2:$C$61,MATCH($J572,B!$E$2:$E$61,0))&amp;"",""))</f>
        <v/>
      </c>
      <c r="Y572" s="20" t="n"/>
      <c r="Z572" s="72">
        <f>IF($J572="",FALSE,ISNUMBER(SEARCH("scout",$K572)))</f>
        <v/>
      </c>
      <c r="AA572" s="72">
        <f>IF($J572="",FALSE,IFERROR(INDEX(B!$N$2:$N$61,MATCH($J572,B!$E$2:$E$61,0))="Sim",FALSE))</f>
        <v/>
      </c>
      <c r="AB572" s="72">
        <f>IF($J572="",FALSE,LEFT($X572,2)="XX")</f>
        <v/>
      </c>
      <c r="AC572" s="72">
        <f>IF($J572="",FALSE,IFERROR(INDEX(B!$P$2:$P$61,MATCH($J572,B!$E$2:$E$61,0))="Sim",FALSE))</f>
        <v/>
      </c>
      <c r="AD572" s="20" t="n"/>
      <c r="AE572" s="52">
        <f>IF(H572="","",HOUR(H572))</f>
        <v/>
      </c>
      <c r="AF572" s="52" t="n"/>
    </row>
    <row r="573" ht="19.5" customHeight="1" s="58">
      <c r="A573" s="62">
        <f>IF(G573="","",IF(G573=G572,"",COUNTIF($G$3:$G$976,G573)))</f>
        <v/>
      </c>
      <c r="B573" s="20" t="n"/>
      <c r="C573" s="63">
        <f>IF(G573="","",DAY(G573))</f>
        <v/>
      </c>
      <c r="D573" s="63">
        <f>IF(G573="","",MONTH(G573))</f>
        <v/>
      </c>
      <c r="E573" s="63">
        <f>IF(G573="","",YEAR(G573))</f>
        <v/>
      </c>
      <c r="F573" s="33">
        <f>IF(G573="","",CHOOSE(MONTH(G573),"Janeiro","Fevereiro","Março","Abril","Maio","Junho","Julho","Agosto","Setembro","Outubro","Novembro","Dezembro"))</f>
        <v/>
      </c>
      <c r="G573" s="64" t="n">
        <v>46070</v>
      </c>
      <c r="H573" s="65" t="n">
        <v>0.1882986111111111</v>
      </c>
      <c r="I573" s="66" t="inlineStr">
        <is>
          <t>https://docs.google.com/spreadsheets/d/1ZiCGoPjLCjuYvujDTXK9Ixbth3tekiLtFBzBrGjPCr4/edit?gid=0#gid=0</t>
        </is>
      </c>
      <c r="J573" s="67" t="inlineStr">
        <is>
          <t>Pushback - [XX]</t>
        </is>
      </c>
      <c r="K573" s="67" t="inlineStr"/>
      <c r="L573" s="68" t="b">
        <v>0</v>
      </c>
      <c r="M573" s="20" t="n"/>
      <c r="N573" s="69">
        <f>IF($J573="","",IFERROR(INDEX(B!$F$2:$F$61,MATCH($J573,B!$E$2:$E$61,0))&amp;"",""))</f>
        <v/>
      </c>
      <c r="O573" s="69">
        <f>IF($J573="","",IFERROR(INDEX(B!$G$2:$G$61,MATCH($J573,B!$E$2:$E$61,0))&amp;"",""))</f>
        <v/>
      </c>
      <c r="P573" s="69">
        <f>IF($J573="","",IFERROR(INDEX(B!$H$2:$H$61,MATCH($J573,B!$E$2:$E$61,0))&amp;"",""))</f>
        <v/>
      </c>
      <c r="Q573" s="69">
        <f>IF($J573="","",IFERROR(INDEX(B!$I$2:$I$61,MATCH($J573,B!$E$2:$E$61,0))&amp;"",""))</f>
        <v/>
      </c>
      <c r="R573" s="69">
        <f>IF($J573="","",IFERROR(INDEX(B!$J$2:$J$61,MATCH($J573,B!$E$2:$E$61,0))&amp;"",""))</f>
        <v/>
      </c>
      <c r="S573" s="69">
        <f>IF($J573="","",IFERROR(INDEX(B!$K$2:$K$61,MATCH($J573,B!$E$2:$E$61,0))&amp;"",""))</f>
        <v/>
      </c>
      <c r="T573" s="69">
        <f>IF($J573="","",IFERROR(INDEX(B!$L$2:$L$61,MATCH($J573,B!$E$2:$E$61,0))&amp;"",""))</f>
        <v/>
      </c>
      <c r="U573" s="20" t="n"/>
      <c r="V573" s="70">
        <f>IF($J573="","",IFERROR(INDEX(B!$M$2:$M$61,MATCH($J573,B!$E$2:$E$61,0))&amp;"",""))</f>
        <v/>
      </c>
      <c r="W573" s="71">
        <f>IF(I573="","",IFERROR(MID(I573,FIND("/d/",I573)+3,FIND("/edit",I573)-FIND("/d/",I573)-3),I573))</f>
        <v/>
      </c>
      <c r="X573" s="71">
        <f>IF($J573="","",IFERROR(INDEX(B!$C$2:$C$61,MATCH($J573,B!$E$2:$E$61,0))&amp;"",""))</f>
        <v/>
      </c>
      <c r="Y573" s="20" t="n"/>
      <c r="Z573" s="72">
        <f>IF($J573="",FALSE,ISNUMBER(SEARCH("scout",$K573)))</f>
        <v/>
      </c>
      <c r="AA573" s="72">
        <f>IF($J573="",FALSE,IFERROR(INDEX(B!$N$2:$N$61,MATCH($J573,B!$E$2:$E$61,0))="Sim",FALSE))</f>
        <v/>
      </c>
      <c r="AB573" s="72">
        <f>IF($J573="",FALSE,LEFT($X573,2)="XX")</f>
        <v/>
      </c>
      <c r="AC573" s="72">
        <f>IF($J573="",FALSE,IFERROR(INDEX(B!$P$2:$P$61,MATCH($J573,B!$E$2:$E$61,0))="Sim",FALSE))</f>
        <v/>
      </c>
      <c r="AD573" s="20" t="n"/>
      <c r="AE573" s="52">
        <f>IF(H573="","",HOUR(H573))</f>
        <v/>
      </c>
      <c r="AF573" s="52" t="n"/>
    </row>
    <row r="574" ht="19.5" customHeight="1" s="58">
      <c r="A574" s="62">
        <f>IF(G574="","",IF(G574=G573,"",COUNTIF($G$3:$G$976,G574)))</f>
        <v/>
      </c>
      <c r="B574" s="20" t="n"/>
      <c r="C574" s="63">
        <f>IF(G574="","",DAY(G574))</f>
        <v/>
      </c>
      <c r="D574" s="63">
        <f>IF(G574="","",MONTH(G574))</f>
        <v/>
      </c>
      <c r="E574" s="63">
        <f>IF(G574="","",YEAR(G574))</f>
        <v/>
      </c>
      <c r="F574" s="33">
        <f>IF(G574="","",CHOOSE(MONTH(G574),"Janeiro","Fevereiro","Março","Abril","Maio","Junho","Julho","Agosto","Setembro","Outubro","Novembro","Dezembro"))</f>
        <v/>
      </c>
      <c r="G574" s="64" t="n">
        <v>46070</v>
      </c>
      <c r="H574" s="65" t="n">
        <v>0.1962962962962963</v>
      </c>
      <c r="I574" s="66" t="inlineStr">
        <is>
          <t>https://docs.google.com/spreadsheets/d/1ZiCGoPjLCjuYvujDTXK9Ixbth3tekiLtFBzBrGjPCr4/edit?gid=0#gid=0</t>
        </is>
      </c>
      <c r="J574" s="67" t="inlineStr">
        <is>
          <t>Transferência de LOB (Safety) - [TIST]</t>
        </is>
      </c>
      <c r="K574" s="67" t="inlineStr"/>
      <c r="L574" s="68" t="b">
        <v>0</v>
      </c>
      <c r="M574" s="20" t="n"/>
      <c r="N574" s="69">
        <f>IF($J574="","",IFERROR(INDEX(B!$F$2:$F$61,MATCH($J574,B!$E$2:$E$61,0))&amp;"",""))</f>
        <v/>
      </c>
      <c r="O574" s="69">
        <f>IF($J574="","",IFERROR(INDEX(B!$G$2:$G$61,MATCH($J574,B!$E$2:$E$61,0))&amp;"",""))</f>
        <v/>
      </c>
      <c r="P574" s="69">
        <f>IF($J574="","",IFERROR(INDEX(B!$H$2:$H$61,MATCH($J574,B!$E$2:$E$61,0))&amp;"",""))</f>
        <v/>
      </c>
      <c r="Q574" s="69">
        <f>IF($J574="","",IFERROR(INDEX(B!$I$2:$I$61,MATCH($J574,B!$E$2:$E$61,0))&amp;"",""))</f>
        <v/>
      </c>
      <c r="R574" s="69">
        <f>IF($J574="","",IFERROR(INDEX(B!$J$2:$J$61,MATCH($J574,B!$E$2:$E$61,0))&amp;"",""))</f>
        <v/>
      </c>
      <c r="S574" s="69">
        <f>IF($J574="","",IFERROR(INDEX(B!$K$2:$K$61,MATCH($J574,B!$E$2:$E$61,0))&amp;"",""))</f>
        <v/>
      </c>
      <c r="T574" s="69">
        <f>IF($J574="","",IFERROR(INDEX(B!$L$2:$L$61,MATCH($J574,B!$E$2:$E$61,0))&amp;"",""))</f>
        <v/>
      </c>
      <c r="U574" s="20" t="n"/>
      <c r="V574" s="70">
        <f>IF($J574="","",IFERROR(INDEX(B!$M$2:$M$61,MATCH($J574,B!$E$2:$E$61,0))&amp;"",""))</f>
        <v/>
      </c>
      <c r="W574" s="71">
        <f>IF(I574="","",IFERROR(MID(I574,FIND("/d/",I574)+3,FIND("/edit",I574)-FIND("/d/",I574)-3),I574))</f>
        <v/>
      </c>
      <c r="X574" s="71">
        <f>IF($J574="","",IFERROR(INDEX(B!$C$2:$C$61,MATCH($J574,B!$E$2:$E$61,0))&amp;"",""))</f>
        <v/>
      </c>
      <c r="Y574" s="20" t="n"/>
      <c r="Z574" s="72">
        <f>IF($J574="",FALSE,ISNUMBER(SEARCH("scout",$K574)))</f>
        <v/>
      </c>
      <c r="AA574" s="72">
        <f>IF($J574="",FALSE,IFERROR(INDEX(B!$N$2:$N$61,MATCH($J574,B!$E$2:$E$61,0))="Sim",FALSE))</f>
        <v/>
      </c>
      <c r="AB574" s="72">
        <f>IF($J574="",FALSE,LEFT($X574,2)="XX")</f>
        <v/>
      </c>
      <c r="AC574" s="72">
        <f>IF($J574="",FALSE,IFERROR(INDEX(B!$P$2:$P$61,MATCH($J574,B!$E$2:$E$61,0))="Sim",FALSE))</f>
        <v/>
      </c>
      <c r="AD574" s="20" t="n"/>
      <c r="AE574" s="52">
        <f>IF(H574="","",HOUR(H574))</f>
        <v/>
      </c>
      <c r="AF574" s="52" t="n"/>
    </row>
    <row r="575" ht="19.5" customHeight="1" s="58">
      <c r="A575" s="62">
        <f>IF(G575="","",IF(G575=G574,"",COUNTIF($G$3:$G$976,G575)))</f>
        <v/>
      </c>
      <c r="B575" s="20" t="n"/>
      <c r="C575" s="63">
        <f>IF(G575="","",DAY(G575))</f>
        <v/>
      </c>
      <c r="D575" s="63">
        <f>IF(G575="","",MONTH(G575))</f>
        <v/>
      </c>
      <c r="E575" s="63">
        <f>IF(G575="","",YEAR(G575))</f>
        <v/>
      </c>
      <c r="F575" s="33">
        <f>IF(G575="","",CHOOSE(MONTH(G575),"Janeiro","Fevereiro","Março","Abril","Maio","Junho","Julho","Agosto","Setembro","Outubro","Novembro","Dezembro"))</f>
        <v/>
      </c>
      <c r="G575" s="64" t="n">
        <v>46070</v>
      </c>
      <c r="H575" s="65" t="n">
        <v>0.1999768518518519</v>
      </c>
      <c r="I575" s="66" t="inlineStr">
        <is>
          <t>https://docs.google.com/spreadsheets/d/1ZiCGoPjLCjuYvujDTXK9Ixbth3tekiLtFBzBrGjPCr4/edit?gid=0#gid=0</t>
        </is>
      </c>
      <c r="J575" s="67" t="inlineStr">
        <is>
          <t>Mais informações (Quanto Pagou?) - [AAV]</t>
        </is>
      </c>
      <c r="K575" s="67" t="inlineStr">
        <is>
          <t>Scout</t>
        </is>
      </c>
      <c r="L575" s="68" t="b">
        <v>0</v>
      </c>
      <c r="M575" s="20" t="n"/>
      <c r="N575" s="69">
        <f>IF($J575="","",IFERROR(INDEX(B!$F$2:$F$61,MATCH($J575,B!$E$2:$E$61,0))&amp;"",""))</f>
        <v/>
      </c>
      <c r="O575" s="69">
        <f>IF($J575="","",IFERROR(INDEX(B!$G$2:$G$61,MATCH($J575,B!$E$2:$E$61,0))&amp;"",""))</f>
        <v/>
      </c>
      <c r="P575" s="69">
        <f>IF($J575="","",IFERROR(INDEX(B!$H$2:$H$61,MATCH($J575,B!$E$2:$E$61,0))&amp;"",""))</f>
        <v/>
      </c>
      <c r="Q575" s="69">
        <f>IF($J575="","",IFERROR(INDEX(B!$I$2:$I$61,MATCH($J575,B!$E$2:$E$61,0))&amp;"",""))</f>
        <v/>
      </c>
      <c r="R575" s="69">
        <f>IF($J575="","",IFERROR(INDEX(B!$J$2:$J$61,MATCH($J575,B!$E$2:$E$61,0))&amp;"",""))</f>
        <v/>
      </c>
      <c r="S575" s="69">
        <f>IF($J575="","",IFERROR(INDEX(B!$K$2:$K$61,MATCH($J575,B!$E$2:$E$61,0))&amp;"",""))</f>
        <v/>
      </c>
      <c r="T575" s="69">
        <f>IF($J575="","",IFERROR(INDEX(B!$L$2:$L$61,MATCH($J575,B!$E$2:$E$61,0))&amp;"",""))</f>
        <v/>
      </c>
      <c r="U575" s="20" t="n"/>
      <c r="V575" s="70">
        <f>IF($J575="","",IFERROR(INDEX(B!$M$2:$M$61,MATCH($J575,B!$E$2:$E$61,0))&amp;"",""))</f>
        <v/>
      </c>
      <c r="W575" s="71">
        <f>IF(I575="","",IFERROR(MID(I575,FIND("/d/",I575)+3,FIND("/edit",I575)-FIND("/d/",I575)-3),I575))</f>
        <v/>
      </c>
      <c r="X575" s="71">
        <f>IF($J575="","",IFERROR(INDEX(B!$C$2:$C$61,MATCH($J575,B!$E$2:$E$61,0))&amp;"",""))</f>
        <v/>
      </c>
      <c r="Y575" s="20" t="n"/>
      <c r="Z575" s="72">
        <f>IF($J575="",FALSE,ISNUMBER(SEARCH("scout",$K575)))</f>
        <v/>
      </c>
      <c r="AA575" s="72">
        <f>IF($J575="",FALSE,IFERROR(INDEX(B!$N$2:$N$61,MATCH($J575,B!$E$2:$E$61,0))="Sim",FALSE))</f>
        <v/>
      </c>
      <c r="AB575" s="72">
        <f>IF($J575="",FALSE,LEFT($X575,2)="XX")</f>
        <v/>
      </c>
      <c r="AC575" s="72">
        <f>IF($J575="",FALSE,IFERROR(INDEX(B!$P$2:$P$61,MATCH($J575,B!$E$2:$E$61,0))="Sim",FALSE))</f>
        <v/>
      </c>
      <c r="AD575" s="20" t="n"/>
      <c r="AE575" s="52">
        <f>IF(H575="","",HOUR(H575))</f>
        <v/>
      </c>
      <c r="AF575" s="52" t="n"/>
    </row>
    <row r="576" ht="19.5" customHeight="1" s="58">
      <c r="A576" s="62">
        <f>IF(G576="","",IF(G576=G575,"",COUNTIF($G$3:$G$976,G576)))</f>
        <v/>
      </c>
      <c r="B576" s="20" t="n"/>
      <c r="C576" s="63">
        <f>IF(G576="","",DAY(G576))</f>
        <v/>
      </c>
      <c r="D576" s="63">
        <f>IF(G576="","",MONTH(G576))</f>
        <v/>
      </c>
      <c r="E576" s="63">
        <f>IF(G576="","",YEAR(G576))</f>
        <v/>
      </c>
      <c r="F576" s="33">
        <f>IF(G576="","",CHOOSE(MONTH(G576),"Janeiro","Fevereiro","Março","Abril","Maio","Junho","Julho","Agosto","Setembro","Outubro","Novembro","Dezembro"))</f>
        <v/>
      </c>
      <c r="G576" s="64" t="n">
        <v>46070</v>
      </c>
      <c r="H576" s="65" t="n">
        <v>0.2054513888888889</v>
      </c>
      <c r="I576" s="66" t="inlineStr">
        <is>
          <t>https://docs.google.com/spreadsheets/d/1ZiCGoPjLCjuYvujDTXK9Ixbth3tekiLtFBzBrGjPCr4/edit?gid=0#gid=0</t>
        </is>
      </c>
      <c r="J576" s="67" t="inlineStr">
        <is>
          <t>Taxa de Cancelamento Cobrada Corretamente - [TXCO]</t>
        </is>
      </c>
      <c r="K576" s="67" t="inlineStr"/>
      <c r="L576" s="68" t="b">
        <v>0</v>
      </c>
      <c r="M576" s="20" t="n"/>
      <c r="N576" s="69">
        <f>IF($J576="","",IFERROR(INDEX(B!$F$2:$F$61,MATCH($J576,B!$E$2:$E$61,0))&amp;"",""))</f>
        <v/>
      </c>
      <c r="O576" s="69">
        <f>IF($J576="","",IFERROR(INDEX(B!$G$2:$G$61,MATCH($J576,B!$E$2:$E$61,0))&amp;"",""))</f>
        <v/>
      </c>
      <c r="P576" s="69">
        <f>IF($J576="","",IFERROR(INDEX(B!$H$2:$H$61,MATCH($J576,B!$E$2:$E$61,0))&amp;"",""))</f>
        <v/>
      </c>
      <c r="Q576" s="69">
        <f>IF($J576="","",IFERROR(INDEX(B!$I$2:$I$61,MATCH($J576,B!$E$2:$E$61,0))&amp;"",""))</f>
        <v/>
      </c>
      <c r="R576" s="69">
        <f>IF($J576="","",IFERROR(INDEX(B!$J$2:$J$61,MATCH($J576,B!$E$2:$E$61,0))&amp;"",""))</f>
        <v/>
      </c>
      <c r="S576" s="69">
        <f>IF($J576="","",IFERROR(INDEX(B!$K$2:$K$61,MATCH($J576,B!$E$2:$E$61,0))&amp;"",""))</f>
        <v/>
      </c>
      <c r="T576" s="69">
        <f>IF($J576="","",IFERROR(INDEX(B!$L$2:$L$61,MATCH($J576,B!$E$2:$E$61,0))&amp;"",""))</f>
        <v/>
      </c>
      <c r="U576" s="20" t="n"/>
      <c r="V576" s="70">
        <f>IF($J576="","",IFERROR(INDEX(B!$M$2:$M$61,MATCH($J576,B!$E$2:$E$61,0))&amp;"",""))</f>
        <v/>
      </c>
      <c r="W576" s="71">
        <f>IF(I576="","",IFERROR(MID(I576,FIND("/d/",I576)+3,FIND("/edit",I576)-FIND("/d/",I576)-3),I576))</f>
        <v/>
      </c>
      <c r="X576" s="71">
        <f>IF($J576="","",IFERROR(INDEX(B!$C$2:$C$61,MATCH($J576,B!$E$2:$E$61,0))&amp;"",""))</f>
        <v/>
      </c>
      <c r="Y576" s="20" t="n"/>
      <c r="Z576" s="72">
        <f>IF($J576="",FALSE,ISNUMBER(SEARCH("scout",$K576)))</f>
        <v/>
      </c>
      <c r="AA576" s="72">
        <f>IF($J576="",FALSE,IFERROR(INDEX(B!$N$2:$N$61,MATCH($J576,B!$E$2:$E$61,0))="Sim",FALSE))</f>
        <v/>
      </c>
      <c r="AB576" s="72">
        <f>IF($J576="",FALSE,LEFT($X576,2)="XX")</f>
        <v/>
      </c>
      <c r="AC576" s="72">
        <f>IF($J576="",FALSE,IFERROR(INDEX(B!$P$2:$P$61,MATCH($J576,B!$E$2:$E$61,0))="Sim",FALSE))</f>
        <v/>
      </c>
      <c r="AD576" s="20" t="n"/>
      <c r="AE576" s="52">
        <f>IF(H576="","",HOUR(H576))</f>
        <v/>
      </c>
      <c r="AF576" s="52" t="n"/>
    </row>
    <row r="577" ht="19.5" customHeight="1" s="58">
      <c r="A577" s="62">
        <f>IF(G577="","",IF(G577=G576,"",COUNTIF($G$3:$G$976,G577)))</f>
        <v/>
      </c>
      <c r="B577" s="20" t="n"/>
      <c r="C577" s="63">
        <f>IF(G577="","",DAY(G577))</f>
        <v/>
      </c>
      <c r="D577" s="63">
        <f>IF(G577="","",MONTH(G577))</f>
        <v/>
      </c>
      <c r="E577" s="63">
        <f>IF(G577="","",YEAR(G577))</f>
        <v/>
      </c>
      <c r="F577" s="33">
        <f>IF(G577="","",CHOOSE(MONTH(G577),"Janeiro","Fevereiro","Março","Abril","Maio","Junho","Julho","Agosto","Setembro","Outubro","Novembro","Dezembro"))</f>
        <v/>
      </c>
      <c r="G577" s="64" t="n">
        <v>46070</v>
      </c>
      <c r="H577" s="65" t="n">
        <v>0.2059953703703704</v>
      </c>
      <c r="I577" s="66" t="inlineStr">
        <is>
          <t>https://docs.google.com/spreadsheets/d/1ZiCGoPjLCjuYvujDTXK9Ixbth3tekiLtFBzBrGjPCr4/edit?gid=0#gid=0</t>
        </is>
      </c>
      <c r="J577" s="67" t="inlineStr">
        <is>
          <t>Overpaid, Não excede o limite, Com comprovante - [OPNC]</t>
        </is>
      </c>
      <c r="K577" s="67" t="inlineStr"/>
      <c r="L577" s="68" t="b">
        <v>0</v>
      </c>
      <c r="M577" s="20" t="n"/>
      <c r="N577" s="69">
        <f>IF($J577="","",IFERROR(INDEX(B!$F$2:$F$61,MATCH($J577,B!$E$2:$E$61,0))&amp;"",""))</f>
        <v/>
      </c>
      <c r="O577" s="69">
        <f>IF($J577="","",IFERROR(INDEX(B!$G$2:$G$61,MATCH($J577,B!$E$2:$E$61,0))&amp;"",""))</f>
        <v/>
      </c>
      <c r="P577" s="69">
        <f>IF($J577="","",IFERROR(INDEX(B!$H$2:$H$61,MATCH($J577,B!$E$2:$E$61,0))&amp;"",""))</f>
        <v/>
      </c>
      <c r="Q577" s="69">
        <f>IF($J577="","",IFERROR(INDEX(B!$I$2:$I$61,MATCH($J577,B!$E$2:$E$61,0))&amp;"",""))</f>
        <v/>
      </c>
      <c r="R577" s="69">
        <f>IF($J577="","",IFERROR(INDEX(B!$J$2:$J$61,MATCH($J577,B!$E$2:$E$61,0))&amp;"",""))</f>
        <v/>
      </c>
      <c r="S577" s="69">
        <f>IF($J577="","",IFERROR(INDEX(B!$K$2:$K$61,MATCH($J577,B!$E$2:$E$61,0))&amp;"",""))</f>
        <v/>
      </c>
      <c r="T577" s="69">
        <f>IF($J577="","",IFERROR(INDEX(B!$L$2:$L$61,MATCH($J577,B!$E$2:$E$61,0))&amp;"",""))</f>
        <v/>
      </c>
      <c r="U577" s="20" t="n"/>
      <c r="V577" s="70">
        <f>IF($J577="","",IFERROR(INDEX(B!$M$2:$M$61,MATCH($J577,B!$E$2:$E$61,0))&amp;"",""))</f>
        <v/>
      </c>
      <c r="W577" s="71">
        <f>IF(I577="","",IFERROR(MID(I577,FIND("/d/",I577)+3,FIND("/edit",I577)-FIND("/d/",I577)-3),I577))</f>
        <v/>
      </c>
      <c r="X577" s="71">
        <f>IF($J577="","",IFERROR(INDEX(B!$C$2:$C$61,MATCH($J577,B!$E$2:$E$61,0))&amp;"",""))</f>
        <v/>
      </c>
      <c r="Y577" s="20" t="n"/>
      <c r="Z577" s="72">
        <f>IF($J577="",FALSE,ISNUMBER(SEARCH("scout",$K577)))</f>
        <v/>
      </c>
      <c r="AA577" s="72">
        <f>IF($J577="",FALSE,IFERROR(INDEX(B!$N$2:$N$61,MATCH($J577,B!$E$2:$E$61,0))="Sim",FALSE))</f>
        <v/>
      </c>
      <c r="AB577" s="72">
        <f>IF($J577="",FALSE,LEFT($X577,2)="XX")</f>
        <v/>
      </c>
      <c r="AC577" s="72">
        <f>IF($J577="",FALSE,IFERROR(INDEX(B!$P$2:$P$61,MATCH($J577,B!$E$2:$E$61,0))="Sim",FALSE))</f>
        <v/>
      </c>
      <c r="AD577" s="20" t="n"/>
      <c r="AE577" s="52">
        <f>IF(H577="","",HOUR(H577))</f>
        <v/>
      </c>
      <c r="AF577" s="52" t="n"/>
    </row>
    <row r="578" ht="19.5" customHeight="1" s="58">
      <c r="A578" s="62">
        <f>IF(G578="","",IF(G578=G577,"",COUNTIF($G$3:$G$976,G578)))</f>
        <v/>
      </c>
      <c r="B578" s="20" t="n"/>
      <c r="C578" s="63">
        <f>IF(G578="","",DAY(G578))</f>
        <v/>
      </c>
      <c r="D578" s="63">
        <f>IF(G578="","",MONTH(G578))</f>
        <v/>
      </c>
      <c r="E578" s="63">
        <f>IF(G578="","",YEAR(G578))</f>
        <v/>
      </c>
      <c r="F578" s="33">
        <f>IF(G578="","",CHOOSE(MONTH(G578),"Janeiro","Fevereiro","Março","Abril","Maio","Junho","Julho","Agosto","Setembro","Outubro","Novembro","Dezembro"))</f>
        <v/>
      </c>
      <c r="G578" s="64" t="n">
        <v>46070</v>
      </c>
      <c r="H578" s="65" t="n">
        <v>0.2101388888888889</v>
      </c>
      <c r="I578" s="66" t="inlineStr">
        <is>
          <t>https://docs.google.com/spreadsheets/d/1ZiCGoPjLCjuYvujDTXK9Ixbth3tekiLtFBzBrGjPCr4/edit?gid=0#gid=0</t>
        </is>
      </c>
      <c r="J578" s="67" t="inlineStr">
        <is>
          <t>Taxa de Limpeza, Reembolsado ao cliente - [TXLR]</t>
        </is>
      </c>
      <c r="K578" s="67" t="inlineStr"/>
      <c r="L578" s="68" t="b">
        <v>0</v>
      </c>
      <c r="M578" s="20" t="n"/>
      <c r="N578" s="69">
        <f>IF($J578="","",IFERROR(INDEX(B!$F$2:$F$61,MATCH($J578,B!$E$2:$E$61,0))&amp;"",""))</f>
        <v/>
      </c>
      <c r="O578" s="69">
        <f>IF($J578="","",IFERROR(INDEX(B!$G$2:$G$61,MATCH($J578,B!$E$2:$E$61,0))&amp;"",""))</f>
        <v/>
      </c>
      <c r="P578" s="69">
        <f>IF($J578="","",IFERROR(INDEX(B!$H$2:$H$61,MATCH($J578,B!$E$2:$E$61,0))&amp;"",""))</f>
        <v/>
      </c>
      <c r="Q578" s="69">
        <f>IF($J578="","",IFERROR(INDEX(B!$I$2:$I$61,MATCH($J578,B!$E$2:$E$61,0))&amp;"",""))</f>
        <v/>
      </c>
      <c r="R578" s="69">
        <f>IF($J578="","",IFERROR(INDEX(B!$J$2:$J$61,MATCH($J578,B!$E$2:$E$61,0))&amp;"",""))</f>
        <v/>
      </c>
      <c r="S578" s="69">
        <f>IF($J578="","",IFERROR(INDEX(B!$K$2:$K$61,MATCH($J578,B!$E$2:$E$61,0))&amp;"",""))</f>
        <v/>
      </c>
      <c r="T578" s="69">
        <f>IF($J578="","",IFERROR(INDEX(B!$L$2:$L$61,MATCH($J578,B!$E$2:$E$61,0))&amp;"",""))</f>
        <v/>
      </c>
      <c r="U578" s="20" t="n"/>
      <c r="V578" s="70">
        <f>IF($J578="","",IFERROR(INDEX(B!$M$2:$M$61,MATCH($J578,B!$E$2:$E$61,0))&amp;"",""))</f>
        <v/>
      </c>
      <c r="W578" s="71">
        <f>IF(I578="","",IFERROR(MID(I578,FIND("/d/",I578)+3,FIND("/edit",I578)-FIND("/d/",I578)-3),I578))</f>
        <v/>
      </c>
      <c r="X578" s="71">
        <f>IF($J578="","",IFERROR(INDEX(B!$C$2:$C$61,MATCH($J578,B!$E$2:$E$61,0))&amp;"",""))</f>
        <v/>
      </c>
      <c r="Y578" s="20" t="n"/>
      <c r="Z578" s="72">
        <f>IF($J578="",FALSE,ISNUMBER(SEARCH("scout",$K578)))</f>
        <v/>
      </c>
      <c r="AA578" s="72">
        <f>IF($J578="",FALSE,IFERROR(INDEX(B!$N$2:$N$61,MATCH($J578,B!$E$2:$E$61,0))="Sim",FALSE))</f>
        <v/>
      </c>
      <c r="AB578" s="72">
        <f>IF($J578="",FALSE,LEFT($X578,2)="XX")</f>
        <v/>
      </c>
      <c r="AC578" s="72">
        <f>IF($J578="",FALSE,IFERROR(INDEX(B!$P$2:$P$61,MATCH($J578,B!$E$2:$E$61,0))="Sim",FALSE))</f>
        <v/>
      </c>
      <c r="AD578" s="20" t="n"/>
      <c r="AE578" s="52">
        <f>IF(H578="","",HOUR(H578))</f>
        <v/>
      </c>
      <c r="AF578" s="52" t="n"/>
    </row>
    <row r="579" ht="19.5" customHeight="1" s="58">
      <c r="A579" s="62">
        <f>IF(G579="","",IF(G579=G578,"",COUNTIF($G$3:$G$976,G579)))</f>
        <v/>
      </c>
      <c r="B579" s="20" t="n"/>
      <c r="C579" s="63">
        <f>IF(G579="","",DAY(G579))</f>
        <v/>
      </c>
      <c r="D579" s="63">
        <f>IF(G579="","",MONTH(G579))</f>
        <v/>
      </c>
      <c r="E579" s="63">
        <f>IF(G579="","",YEAR(G579))</f>
        <v/>
      </c>
      <c r="F579" s="33">
        <f>IF(G579="","",CHOOSE(MONTH(G579),"Janeiro","Fevereiro","Março","Abril","Maio","Junho","Julho","Agosto","Setembro","Outubro","Novembro","Dezembro"))</f>
        <v/>
      </c>
      <c r="G579" s="64" t="n">
        <v>46070</v>
      </c>
      <c r="H579" s="65" t="n">
        <v>0.2214351851851852</v>
      </c>
      <c r="I579" s="66" t="inlineStr">
        <is>
          <t>https://docs.google.com/spreadsheets/d/1ZiCGoPjLCjuYvujDTXK9Ixbth3tekiLtFBzBrGjPCr4/edit?gid=0#gid=0</t>
        </is>
      </c>
      <c r="J579" s="67" t="inlineStr">
        <is>
          <t>Erro de Gps (Problema Técnico) - [GPS]</t>
        </is>
      </c>
      <c r="K579" s="67" t="inlineStr"/>
      <c r="L579" s="68" t="b">
        <v>0</v>
      </c>
      <c r="M579" s="20" t="n"/>
      <c r="N579" s="69">
        <f>IF($J579="","",IFERROR(INDEX(B!$F$2:$F$61,MATCH($J579,B!$E$2:$E$61,0))&amp;"",""))</f>
        <v/>
      </c>
      <c r="O579" s="69">
        <f>IF($J579="","",IFERROR(INDEX(B!$G$2:$G$61,MATCH($J579,B!$E$2:$E$61,0))&amp;"",""))</f>
        <v/>
      </c>
      <c r="P579" s="69">
        <f>IF($J579="","",IFERROR(INDEX(B!$H$2:$H$61,MATCH($J579,B!$E$2:$E$61,0))&amp;"",""))</f>
        <v/>
      </c>
      <c r="Q579" s="69">
        <f>IF($J579="","",IFERROR(INDEX(B!$I$2:$I$61,MATCH($J579,B!$E$2:$E$61,0))&amp;"",""))</f>
        <v/>
      </c>
      <c r="R579" s="69">
        <f>IF($J579="","",IFERROR(INDEX(B!$J$2:$J$61,MATCH($J579,B!$E$2:$E$61,0))&amp;"",""))</f>
        <v/>
      </c>
      <c r="S579" s="69">
        <f>IF($J579="","",IFERROR(INDEX(B!$K$2:$K$61,MATCH($J579,B!$E$2:$E$61,0))&amp;"",""))</f>
        <v/>
      </c>
      <c r="T579" s="69">
        <f>IF($J579="","",IFERROR(INDEX(B!$L$2:$L$61,MATCH($J579,B!$E$2:$E$61,0))&amp;"",""))</f>
        <v/>
      </c>
      <c r="U579" s="20" t="n"/>
      <c r="V579" s="70">
        <f>IF($J579="","",IFERROR(INDEX(B!$M$2:$M$61,MATCH($J579,B!$E$2:$E$61,0))&amp;"",""))</f>
        <v/>
      </c>
      <c r="W579" s="71">
        <f>IF(I579="","",IFERROR(MID(I579,FIND("/d/",I579)+3,FIND("/edit",I579)-FIND("/d/",I579)-3),I579))</f>
        <v/>
      </c>
      <c r="X579" s="71">
        <f>IF($J579="","",IFERROR(INDEX(B!$C$2:$C$61,MATCH($J579,B!$E$2:$E$61,0))&amp;"",""))</f>
        <v/>
      </c>
      <c r="Y579" s="20" t="n"/>
      <c r="Z579" s="72">
        <f>IF($J579="",FALSE,ISNUMBER(SEARCH("scout",$K579)))</f>
        <v/>
      </c>
      <c r="AA579" s="72">
        <f>IF($J579="",FALSE,IFERROR(INDEX(B!$N$2:$N$61,MATCH($J579,B!$E$2:$E$61,0))="Sim",FALSE))</f>
        <v/>
      </c>
      <c r="AB579" s="72">
        <f>IF($J579="",FALSE,LEFT($X579,2)="XX")</f>
        <v/>
      </c>
      <c r="AC579" s="72">
        <f>IF($J579="",FALSE,IFERROR(INDEX(B!$P$2:$P$61,MATCH($J579,B!$E$2:$E$61,0))="Sim",FALSE))</f>
        <v/>
      </c>
      <c r="AD579" s="20" t="n"/>
      <c r="AE579" s="52">
        <f>IF(H579="","",HOUR(H579))</f>
        <v/>
      </c>
      <c r="AF579" s="52" t="n"/>
    </row>
    <row r="580" ht="19.5" customHeight="1" s="58">
      <c r="A580" s="62">
        <f>IF(G580="","",IF(G580=G579,"",COUNTIF($G$3:$G$976,G580)))</f>
        <v/>
      </c>
      <c r="B580" s="20" t="n"/>
      <c r="C580" s="63">
        <f>IF(G580="","",DAY(G580))</f>
        <v/>
      </c>
      <c r="D580" s="63">
        <f>IF(G580="","",MONTH(G580))</f>
        <v/>
      </c>
      <c r="E580" s="63">
        <f>IF(G580="","",YEAR(G580))</f>
        <v/>
      </c>
      <c r="F580" s="33">
        <f>IF(G580="","",CHOOSE(MONTH(G580),"Janeiro","Fevereiro","Março","Abril","Maio","Junho","Julho","Agosto","Setembro","Outubro","Novembro","Dezembro"))</f>
        <v/>
      </c>
      <c r="G580" s="64" t="n">
        <v>46070</v>
      </c>
      <c r="H580" s="65" t="n">
        <v>0.222337962962963</v>
      </c>
      <c r="I580" s="66" t="inlineStr">
        <is>
          <t>https://docs.google.com/spreadsheets/d/1ZiCGoPjLCjuYvujDTXK9Ixbth3tekiLtFBzBrGjPCr4/edit?gid=0#gid=0</t>
        </is>
      </c>
      <c r="J580" s="67" t="inlineStr">
        <is>
          <t>Taxa de Cancelamento Cobrada Corretamente - [TXCO]</t>
        </is>
      </c>
      <c r="K580" s="67" t="inlineStr"/>
      <c r="L580" s="68" t="b">
        <v>1</v>
      </c>
      <c r="M580" s="20" t="n"/>
      <c r="N580" s="69">
        <f>IF($J580="","",IFERROR(INDEX(B!$F$2:$F$61,MATCH($J580,B!$E$2:$E$61,0))&amp;"",""))</f>
        <v/>
      </c>
      <c r="O580" s="69">
        <f>IF($J580="","",IFERROR(INDEX(B!$G$2:$G$61,MATCH($J580,B!$E$2:$E$61,0))&amp;"",""))</f>
        <v/>
      </c>
      <c r="P580" s="69">
        <f>IF($J580="","",IFERROR(INDEX(B!$H$2:$H$61,MATCH($J580,B!$E$2:$E$61,0))&amp;"",""))</f>
        <v/>
      </c>
      <c r="Q580" s="69">
        <f>IF($J580="","",IFERROR(INDEX(B!$I$2:$I$61,MATCH($J580,B!$E$2:$E$61,0))&amp;"",""))</f>
        <v/>
      </c>
      <c r="R580" s="69">
        <f>IF($J580="","",IFERROR(INDEX(B!$J$2:$J$61,MATCH($J580,B!$E$2:$E$61,0))&amp;"",""))</f>
        <v/>
      </c>
      <c r="S580" s="69">
        <f>IF($J580="","",IFERROR(INDEX(B!$K$2:$K$61,MATCH($J580,B!$E$2:$E$61,0))&amp;"",""))</f>
        <v/>
      </c>
      <c r="T580" s="69">
        <f>IF($J580="","",IFERROR(INDEX(B!$L$2:$L$61,MATCH($J580,B!$E$2:$E$61,0))&amp;"",""))</f>
        <v/>
      </c>
      <c r="U580" s="20" t="n"/>
      <c r="V580" s="70">
        <f>IF($J580="","",IFERROR(INDEX(B!$M$2:$M$61,MATCH($J580,B!$E$2:$E$61,0))&amp;"",""))</f>
        <v/>
      </c>
      <c r="W580" s="71">
        <f>IF(I580="","",IFERROR(MID(I580,FIND("/d/",I580)+3,FIND("/edit",I580)-FIND("/d/",I580)-3),I580))</f>
        <v/>
      </c>
      <c r="X580" s="71">
        <f>IF($J580="","",IFERROR(INDEX(B!$C$2:$C$61,MATCH($J580,B!$E$2:$E$61,0))&amp;"",""))</f>
        <v/>
      </c>
      <c r="Y580" s="20" t="n"/>
      <c r="Z580" s="72">
        <f>IF($J580="",FALSE,ISNUMBER(SEARCH("scout",$K580)))</f>
        <v/>
      </c>
      <c r="AA580" s="72">
        <f>IF($J580="",FALSE,IFERROR(INDEX(B!$N$2:$N$61,MATCH($J580,B!$E$2:$E$61,0))="Sim",FALSE))</f>
        <v/>
      </c>
      <c r="AB580" s="72">
        <f>IF($J580="",FALSE,LEFT($X580,2)="XX")</f>
        <v/>
      </c>
      <c r="AC580" s="72">
        <f>IF($J580="",FALSE,IFERROR(INDEX(B!$P$2:$P$61,MATCH($J580,B!$E$2:$E$61,0))="Sim",FALSE))</f>
        <v/>
      </c>
      <c r="AD580" s="20" t="n"/>
      <c r="AE580" s="52">
        <f>IF(H580="","",HOUR(H580))</f>
        <v/>
      </c>
      <c r="AF580" s="52" t="n"/>
    </row>
    <row r="581" ht="19.5" customHeight="1" s="58">
      <c r="A581" s="62">
        <f>IF(G581="","",IF(G581=G580,"",COUNTIF($G$3:$G$976,G581)))</f>
        <v/>
      </c>
      <c r="B581" s="20" t="n"/>
      <c r="C581" s="63">
        <f>IF(G581="","",DAY(G581))</f>
        <v/>
      </c>
      <c r="D581" s="63">
        <f>IF(G581="","",MONTH(G581))</f>
        <v/>
      </c>
      <c r="E581" s="63">
        <f>IF(G581="","",YEAR(G581))</f>
        <v/>
      </c>
      <c r="F581" s="33">
        <f>IF(G581="","",CHOOSE(MONTH(G581),"Janeiro","Fevereiro","Março","Abril","Maio","Junho","Julho","Agosto","Setembro","Outubro","Novembro","Dezembro"))</f>
        <v/>
      </c>
      <c r="G581" s="64" t="n">
        <v>46070</v>
      </c>
      <c r="H581" s="65" t="n">
        <v>0.2371759259259259</v>
      </c>
      <c r="I581" s="66" t="inlineStr">
        <is>
          <t>https://docs.google.com/spreadsheets/d/1ZiCGoPjLCjuYvujDTXK9Ixbth3tekiLtFBzBrGjPCr4/edit?gid=0#gid=0</t>
        </is>
      </c>
      <c r="J581" s="67" t="inlineStr">
        <is>
          <t>Comprovante de Pagamento - [CP]</t>
        </is>
      </c>
      <c r="K581" s="67" t="inlineStr"/>
      <c r="L581" s="68" t="b">
        <v>1</v>
      </c>
      <c r="M581" s="20" t="n"/>
      <c r="N581" s="69">
        <f>IF($J581="","",IFERROR(INDEX(B!$F$2:$F$61,MATCH($J581,B!$E$2:$E$61,0))&amp;"",""))</f>
        <v/>
      </c>
      <c r="O581" s="69">
        <f>IF($J581="","",IFERROR(INDEX(B!$G$2:$G$61,MATCH($J581,B!$E$2:$E$61,0))&amp;"",""))</f>
        <v/>
      </c>
      <c r="P581" s="69">
        <f>IF($J581="","",IFERROR(INDEX(B!$H$2:$H$61,MATCH($J581,B!$E$2:$E$61,0))&amp;"",""))</f>
        <v/>
      </c>
      <c r="Q581" s="69">
        <f>IF($J581="","",IFERROR(INDEX(B!$I$2:$I$61,MATCH($J581,B!$E$2:$E$61,0))&amp;"",""))</f>
        <v/>
      </c>
      <c r="R581" s="69">
        <f>IF($J581="","",IFERROR(INDEX(B!$J$2:$J$61,MATCH($J581,B!$E$2:$E$61,0))&amp;"",""))</f>
        <v/>
      </c>
      <c r="S581" s="69">
        <f>IF($J581="","",IFERROR(INDEX(B!$K$2:$K$61,MATCH($J581,B!$E$2:$E$61,0))&amp;"",""))</f>
        <v/>
      </c>
      <c r="T581" s="69">
        <f>IF($J581="","",IFERROR(INDEX(B!$L$2:$L$61,MATCH($J581,B!$E$2:$E$61,0))&amp;"",""))</f>
        <v/>
      </c>
      <c r="U581" s="20" t="n"/>
      <c r="V581" s="70">
        <f>IF($J581="","",IFERROR(INDEX(B!$M$2:$M$61,MATCH($J581,B!$E$2:$E$61,0))&amp;"",""))</f>
        <v/>
      </c>
      <c r="W581" s="71">
        <f>IF(I581="","",IFERROR(MID(I581,FIND("/d/",I581)+3,FIND("/edit",I581)-FIND("/d/",I581)-3),I581))</f>
        <v/>
      </c>
      <c r="X581" s="71">
        <f>IF($J581="","",IFERROR(INDEX(B!$C$2:$C$61,MATCH($J581,B!$E$2:$E$61,0))&amp;"",""))</f>
        <v/>
      </c>
      <c r="Y581" s="20" t="n"/>
      <c r="Z581" s="72">
        <f>IF($J581="",FALSE,ISNUMBER(SEARCH("scout",$K581)))</f>
        <v/>
      </c>
      <c r="AA581" s="72">
        <f>IF($J581="",FALSE,IFERROR(INDEX(B!$N$2:$N$61,MATCH($J581,B!$E$2:$E$61,0))="Sim",FALSE))</f>
        <v/>
      </c>
      <c r="AB581" s="72">
        <f>IF($J581="",FALSE,LEFT($X581,2)="XX")</f>
        <v/>
      </c>
      <c r="AC581" s="72">
        <f>IF($J581="",FALSE,IFERROR(INDEX(B!$P$2:$P$61,MATCH($J581,B!$E$2:$E$61,0))="Sim",FALSE))</f>
        <v/>
      </c>
      <c r="AD581" s="20" t="n"/>
      <c r="AE581" s="52">
        <f>IF(H581="","",HOUR(H581))</f>
        <v/>
      </c>
      <c r="AF581" s="52" t="n"/>
    </row>
    <row r="582" ht="19.5" customHeight="1" s="58">
      <c r="A582" s="62">
        <f>IF(G582="","",IF(G582=G581,"",COUNTIF($G$3:$G$976,G582)))</f>
        <v/>
      </c>
      <c r="B582" s="20" t="n"/>
      <c r="C582" s="63">
        <f>IF(G582="","",DAY(G582))</f>
        <v/>
      </c>
      <c r="D582" s="63">
        <f>IF(G582="","",MONTH(G582))</f>
        <v/>
      </c>
      <c r="E582" s="63">
        <f>IF(G582="","",YEAR(G582))</f>
        <v/>
      </c>
      <c r="F582" s="33">
        <f>IF(G582="","",CHOOSE(MONTH(G582),"Janeiro","Fevereiro","Março","Abril","Maio","Junho","Julho","Agosto","Setembro","Outubro","Novembro","Dezembro"))</f>
        <v/>
      </c>
      <c r="G582" s="64" t="n">
        <v>46071</v>
      </c>
      <c r="H582" s="65" t="n">
        <v>0.007743055555555556</v>
      </c>
      <c r="I582" s="66" t="inlineStr">
        <is>
          <t>https://docs.google.com/spreadsheets/d/1ZiCGoPjLCjuYvujDTXK9Ixbth3tekiLtFBzBrGjPCr4/edit?gid=0#gid=0</t>
        </is>
      </c>
      <c r="J582" s="67" t="inlineStr">
        <is>
          <t>Overpaid, Excede o limite Com comprovante - [OPEC]</t>
        </is>
      </c>
      <c r="K582" s="67" t="inlineStr"/>
      <c r="L582" s="68" t="b">
        <v>1</v>
      </c>
      <c r="M582" s="20" t="n"/>
      <c r="N582" s="69">
        <f>IF($J582="","",IFERROR(INDEX(B!$F$2:$F$61,MATCH($J582,B!$E$2:$E$61,0))&amp;"",""))</f>
        <v/>
      </c>
      <c r="O582" s="69">
        <f>IF($J582="","",IFERROR(INDEX(B!$G$2:$G$61,MATCH($J582,B!$E$2:$E$61,0))&amp;"",""))</f>
        <v/>
      </c>
      <c r="P582" s="69">
        <f>IF($J582="","",IFERROR(INDEX(B!$H$2:$H$61,MATCH($J582,B!$E$2:$E$61,0))&amp;"",""))</f>
        <v/>
      </c>
      <c r="Q582" s="69">
        <f>IF($J582="","",IFERROR(INDEX(B!$I$2:$I$61,MATCH($J582,B!$E$2:$E$61,0))&amp;"",""))</f>
        <v/>
      </c>
      <c r="R582" s="69">
        <f>IF($J582="","",IFERROR(INDEX(B!$J$2:$J$61,MATCH($J582,B!$E$2:$E$61,0))&amp;"",""))</f>
        <v/>
      </c>
      <c r="S582" s="69">
        <f>IF($J582="","",IFERROR(INDEX(B!$K$2:$K$61,MATCH($J582,B!$E$2:$E$61,0))&amp;"",""))</f>
        <v/>
      </c>
      <c r="T582" s="69">
        <f>IF($J582="","",IFERROR(INDEX(B!$L$2:$L$61,MATCH($J582,B!$E$2:$E$61,0))&amp;"",""))</f>
        <v/>
      </c>
      <c r="U582" s="20" t="n"/>
      <c r="V582" s="70">
        <f>IF($J582="","",IFERROR(INDEX(B!$M$2:$M$61,MATCH($J582,B!$E$2:$E$61,0))&amp;"",""))</f>
        <v/>
      </c>
      <c r="W582" s="71">
        <f>IF(I582="","",IFERROR(MID(I582,FIND("/d/",I582)+3,FIND("/edit",I582)-FIND("/d/",I582)-3),I582))</f>
        <v/>
      </c>
      <c r="X582" s="71">
        <f>IF($J582="","",IFERROR(INDEX(B!$C$2:$C$61,MATCH($J582,B!$E$2:$E$61,0))&amp;"",""))</f>
        <v/>
      </c>
      <c r="Y582" s="20" t="n"/>
      <c r="Z582" s="72">
        <f>IF($J582="",FALSE,ISNUMBER(SEARCH("scout",$K582)))</f>
        <v/>
      </c>
      <c r="AA582" s="72">
        <f>IF($J582="",FALSE,IFERROR(INDEX(B!$N$2:$N$61,MATCH($J582,B!$E$2:$E$61,0))="Sim",FALSE))</f>
        <v/>
      </c>
      <c r="AB582" s="72">
        <f>IF($J582="",FALSE,LEFT($X582,2)="XX")</f>
        <v/>
      </c>
      <c r="AC582" s="72">
        <f>IF($J582="",FALSE,IFERROR(INDEX(B!$P$2:$P$61,MATCH($J582,B!$E$2:$E$61,0))="Sim",FALSE))</f>
        <v/>
      </c>
      <c r="AD582" s="20" t="n"/>
      <c r="AE582" s="52">
        <f>IF(H582="","",HOUR(H582))</f>
        <v/>
      </c>
      <c r="AF582" s="52" t="n"/>
    </row>
    <row r="583" ht="19.5" customHeight="1" s="58">
      <c r="A583" s="62">
        <f>IF(G583="","",IF(G583=G582,"",COUNTIF($G$3:$G$976,G583)))</f>
        <v/>
      </c>
      <c r="B583" s="20" t="n"/>
      <c r="C583" s="63">
        <f>IF(G583="","",DAY(G583))</f>
        <v/>
      </c>
      <c r="D583" s="63">
        <f>IF(G583="","",MONTH(G583))</f>
        <v/>
      </c>
      <c r="E583" s="63">
        <f>IF(G583="","",YEAR(G583))</f>
        <v/>
      </c>
      <c r="F583" s="33">
        <f>IF(G583="","",CHOOSE(MONTH(G583),"Janeiro","Fevereiro","Março","Abril","Maio","Junho","Julho","Agosto","Setembro","Outubro","Novembro","Dezembro"))</f>
        <v/>
      </c>
      <c r="G583" s="64" t="n">
        <v>46071</v>
      </c>
      <c r="H583" s="65" t="n">
        <v>0.01122685185185185</v>
      </c>
      <c r="I583" s="66" t="inlineStr">
        <is>
          <t>https://docs.google.com/spreadsheets/d/1ZiCGoPjLCjuYvujDTXK9Ixbth3tekiLtFBzBrGjPCr4/edit?gid=0#gid=0</t>
        </is>
      </c>
      <c r="J583" s="67" t="inlineStr">
        <is>
          <t>Taxa de Cancelamento Cobrada Corretamente - [TXCO]</t>
        </is>
      </c>
      <c r="K583" s="67" t="inlineStr"/>
      <c r="L583" s="68" t="b">
        <v>0</v>
      </c>
      <c r="M583" s="20" t="n"/>
      <c r="N583" s="69">
        <f>IF($J583="","",IFERROR(INDEX(B!$F$2:$F$61,MATCH($J583,B!$E$2:$E$61,0))&amp;"",""))</f>
        <v/>
      </c>
      <c r="O583" s="69">
        <f>IF($J583="","",IFERROR(INDEX(B!$G$2:$G$61,MATCH($J583,B!$E$2:$E$61,0))&amp;"",""))</f>
        <v/>
      </c>
      <c r="P583" s="69">
        <f>IF($J583="","",IFERROR(INDEX(B!$H$2:$H$61,MATCH($J583,B!$E$2:$E$61,0))&amp;"",""))</f>
        <v/>
      </c>
      <c r="Q583" s="69">
        <f>IF($J583="","",IFERROR(INDEX(B!$I$2:$I$61,MATCH($J583,B!$E$2:$E$61,0))&amp;"",""))</f>
        <v/>
      </c>
      <c r="R583" s="69">
        <f>IF($J583="","",IFERROR(INDEX(B!$J$2:$J$61,MATCH($J583,B!$E$2:$E$61,0))&amp;"",""))</f>
        <v/>
      </c>
      <c r="S583" s="69">
        <f>IF($J583="","",IFERROR(INDEX(B!$K$2:$K$61,MATCH($J583,B!$E$2:$E$61,0))&amp;"",""))</f>
        <v/>
      </c>
      <c r="T583" s="69">
        <f>IF($J583="","",IFERROR(INDEX(B!$L$2:$L$61,MATCH($J583,B!$E$2:$E$61,0))&amp;"",""))</f>
        <v/>
      </c>
      <c r="U583" s="20" t="n"/>
      <c r="V583" s="70">
        <f>IF($J583="","",IFERROR(INDEX(B!$M$2:$M$61,MATCH($J583,B!$E$2:$E$61,0))&amp;"",""))</f>
        <v/>
      </c>
      <c r="W583" s="71">
        <f>IF(I583="","",IFERROR(MID(I583,FIND("/d/",I583)+3,FIND("/edit",I583)-FIND("/d/",I583)-3),I583))</f>
        <v/>
      </c>
      <c r="X583" s="71">
        <f>IF($J583="","",IFERROR(INDEX(B!$C$2:$C$61,MATCH($J583,B!$E$2:$E$61,0))&amp;"",""))</f>
        <v/>
      </c>
      <c r="Y583" s="20" t="n"/>
      <c r="Z583" s="72">
        <f>IF($J583="",FALSE,ISNUMBER(SEARCH("scout",$K583)))</f>
        <v/>
      </c>
      <c r="AA583" s="72">
        <f>IF($J583="",FALSE,IFERROR(INDEX(B!$N$2:$N$61,MATCH($J583,B!$E$2:$E$61,0))="Sim",FALSE))</f>
        <v/>
      </c>
      <c r="AB583" s="72">
        <f>IF($J583="",FALSE,LEFT($X583,2)="XX")</f>
        <v/>
      </c>
      <c r="AC583" s="72">
        <f>IF($J583="",FALSE,IFERROR(INDEX(B!$P$2:$P$61,MATCH($J583,B!$E$2:$E$61,0))="Sim",FALSE))</f>
        <v/>
      </c>
      <c r="AD583" s="20" t="n"/>
      <c r="AE583" s="52">
        <f>IF(H583="","",HOUR(H583))</f>
        <v/>
      </c>
      <c r="AF583" s="52" t="n"/>
    </row>
    <row r="584" ht="19.5" customHeight="1" s="58">
      <c r="A584" s="62">
        <f>IF(G584="","",IF(G584=G583,"",COUNTIF($G$3:$G$976,G584)))</f>
        <v/>
      </c>
      <c r="B584" s="20" t="n"/>
      <c r="C584" s="63">
        <f>IF(G584="","",DAY(G584))</f>
        <v/>
      </c>
      <c r="D584" s="63">
        <f>IF(G584="","",MONTH(G584))</f>
        <v/>
      </c>
      <c r="E584" s="63">
        <f>IF(G584="","",YEAR(G584))</f>
        <v/>
      </c>
      <c r="F584" s="33">
        <f>IF(G584="","",CHOOSE(MONTH(G584),"Janeiro","Fevereiro","Março","Abril","Maio","Junho","Julho","Agosto","Setembro","Outubro","Novembro","Dezembro"))</f>
        <v/>
      </c>
      <c r="G584" s="64" t="n">
        <v>46071</v>
      </c>
      <c r="H584" s="65" t="n">
        <v>0.01165509259259259</v>
      </c>
      <c r="I584" s="66" t="inlineStr">
        <is>
          <t>https://docs.google.com/spreadsheets/d/1ZiCGoPjLCjuYvujDTXK9Ixbth3tekiLtFBzBrGjPCr4/edit?gid=0#gid=0</t>
        </is>
      </c>
      <c r="J584" s="67" t="inlineStr">
        <is>
          <t>Transferência de LOB (Geral não especificado) - [TI]</t>
        </is>
      </c>
      <c r="K584" s="67" t="inlineStr"/>
      <c r="L584" s="68" t="b">
        <v>0</v>
      </c>
      <c r="M584" s="20" t="n"/>
      <c r="N584" s="69">
        <f>IF($J584="","",IFERROR(INDEX(B!$F$2:$F$61,MATCH($J584,B!$E$2:$E$61,0))&amp;"",""))</f>
        <v/>
      </c>
      <c r="O584" s="69">
        <f>IF($J584="","",IFERROR(INDEX(B!$G$2:$G$61,MATCH($J584,B!$E$2:$E$61,0))&amp;"",""))</f>
        <v/>
      </c>
      <c r="P584" s="69">
        <f>IF($J584="","",IFERROR(INDEX(B!$H$2:$H$61,MATCH($J584,B!$E$2:$E$61,0))&amp;"",""))</f>
        <v/>
      </c>
      <c r="Q584" s="69">
        <f>IF($J584="","",IFERROR(INDEX(B!$I$2:$I$61,MATCH($J584,B!$E$2:$E$61,0))&amp;"",""))</f>
        <v/>
      </c>
      <c r="R584" s="69">
        <f>IF($J584="","",IFERROR(INDEX(B!$J$2:$J$61,MATCH($J584,B!$E$2:$E$61,0))&amp;"",""))</f>
        <v/>
      </c>
      <c r="S584" s="69">
        <f>IF($J584="","",IFERROR(INDEX(B!$K$2:$K$61,MATCH($J584,B!$E$2:$E$61,0))&amp;"",""))</f>
        <v/>
      </c>
      <c r="T584" s="69">
        <f>IF($J584="","",IFERROR(INDEX(B!$L$2:$L$61,MATCH($J584,B!$E$2:$E$61,0))&amp;"",""))</f>
        <v/>
      </c>
      <c r="U584" s="20" t="n"/>
      <c r="V584" s="70">
        <f>IF($J584="","",IFERROR(INDEX(B!$M$2:$M$61,MATCH($J584,B!$E$2:$E$61,0))&amp;"",""))</f>
        <v/>
      </c>
      <c r="W584" s="71">
        <f>IF(I584="","",IFERROR(MID(I584,FIND("/d/",I584)+3,FIND("/edit",I584)-FIND("/d/",I584)-3),I584))</f>
        <v/>
      </c>
      <c r="X584" s="71">
        <f>IF($J584="","",IFERROR(INDEX(B!$C$2:$C$61,MATCH($J584,B!$E$2:$E$61,0))&amp;"",""))</f>
        <v/>
      </c>
      <c r="Y584" s="20" t="n"/>
      <c r="Z584" s="72">
        <f>IF($J584="",FALSE,ISNUMBER(SEARCH("scout",$K584)))</f>
        <v/>
      </c>
      <c r="AA584" s="72">
        <f>IF($J584="",FALSE,IFERROR(INDEX(B!$N$2:$N$61,MATCH($J584,B!$E$2:$E$61,0))="Sim",FALSE))</f>
        <v/>
      </c>
      <c r="AB584" s="72">
        <f>IF($J584="",FALSE,LEFT($X584,2)="XX")</f>
        <v/>
      </c>
      <c r="AC584" s="72">
        <f>IF($J584="",FALSE,IFERROR(INDEX(B!$P$2:$P$61,MATCH($J584,B!$E$2:$E$61,0))="Sim",FALSE))</f>
        <v/>
      </c>
      <c r="AD584" s="20" t="n"/>
      <c r="AE584" s="52">
        <f>IF(H584="","",HOUR(H584))</f>
        <v/>
      </c>
      <c r="AF584" s="52" t="n"/>
    </row>
    <row r="585" ht="19.5" customHeight="1" s="58">
      <c r="A585" s="62">
        <f>IF(G585="","",IF(G585=G584,"",COUNTIF($G$3:$G$976,G585)))</f>
        <v/>
      </c>
      <c r="B585" s="20" t="n"/>
      <c r="C585" s="63">
        <f>IF(G585="","",DAY(G585))</f>
        <v/>
      </c>
      <c r="D585" s="63">
        <f>IF(G585="","",MONTH(G585))</f>
        <v/>
      </c>
      <c r="E585" s="63">
        <f>IF(G585="","",YEAR(G585))</f>
        <v/>
      </c>
      <c r="F585" s="33">
        <f>IF(G585="","",CHOOSE(MONTH(G585),"Janeiro","Fevereiro","Março","Abril","Maio","Junho","Julho","Agosto","Setembro","Outubro","Novembro","Dezembro"))</f>
        <v/>
      </c>
      <c r="G585" s="64" t="n">
        <v>46071</v>
      </c>
      <c r="H585" s="65" t="n">
        <v>0.01200231481481481</v>
      </c>
      <c r="I585" s="66" t="inlineStr">
        <is>
          <t>https://docs.google.com/spreadsheets/d/1ZiCGoPjLCjuYvujDTXK9Ixbth3tekiLtFBzBrGjPCr4/edit?gid=0#gid=0</t>
        </is>
      </c>
      <c r="J585" s="67" t="inlineStr">
        <is>
          <t>Erro de Gps (Problema Técnico) - [GPS]</t>
        </is>
      </c>
      <c r="K585" s="67" t="inlineStr"/>
      <c r="L585" s="68" t="b">
        <v>0</v>
      </c>
      <c r="M585" s="20" t="n"/>
      <c r="N585" s="69">
        <f>IF($J585="","",IFERROR(INDEX(B!$F$2:$F$61,MATCH($J585,B!$E$2:$E$61,0))&amp;"",""))</f>
        <v/>
      </c>
      <c r="O585" s="69">
        <f>IF($J585="","",IFERROR(INDEX(B!$G$2:$G$61,MATCH($J585,B!$E$2:$E$61,0))&amp;"",""))</f>
        <v/>
      </c>
      <c r="P585" s="69">
        <f>IF($J585="","",IFERROR(INDEX(B!$H$2:$H$61,MATCH($J585,B!$E$2:$E$61,0))&amp;"",""))</f>
        <v/>
      </c>
      <c r="Q585" s="69">
        <f>IF($J585="","",IFERROR(INDEX(B!$I$2:$I$61,MATCH($J585,B!$E$2:$E$61,0))&amp;"",""))</f>
        <v/>
      </c>
      <c r="R585" s="69">
        <f>IF($J585="","",IFERROR(INDEX(B!$J$2:$J$61,MATCH($J585,B!$E$2:$E$61,0))&amp;"",""))</f>
        <v/>
      </c>
      <c r="S585" s="69">
        <f>IF($J585="","",IFERROR(INDEX(B!$K$2:$K$61,MATCH($J585,B!$E$2:$E$61,0))&amp;"",""))</f>
        <v/>
      </c>
      <c r="T585" s="69">
        <f>IF($J585="","",IFERROR(INDEX(B!$L$2:$L$61,MATCH($J585,B!$E$2:$E$61,0))&amp;"",""))</f>
        <v/>
      </c>
      <c r="U585" s="20" t="n"/>
      <c r="V585" s="70">
        <f>IF($J585="","",IFERROR(INDEX(B!$M$2:$M$61,MATCH($J585,B!$E$2:$E$61,0))&amp;"",""))</f>
        <v/>
      </c>
      <c r="W585" s="71">
        <f>IF(I585="","",IFERROR(MID(I585,FIND("/d/",I585)+3,FIND("/edit",I585)-FIND("/d/",I585)-3),I585))</f>
        <v/>
      </c>
      <c r="X585" s="71">
        <f>IF($J585="","",IFERROR(INDEX(B!$C$2:$C$61,MATCH($J585,B!$E$2:$E$61,0))&amp;"",""))</f>
        <v/>
      </c>
      <c r="Y585" s="20" t="n"/>
      <c r="Z585" s="72">
        <f>IF($J585="",FALSE,ISNUMBER(SEARCH("scout",$K585)))</f>
        <v/>
      </c>
      <c r="AA585" s="72">
        <f>IF($J585="",FALSE,IFERROR(INDEX(B!$N$2:$N$61,MATCH($J585,B!$E$2:$E$61,0))="Sim",FALSE))</f>
        <v/>
      </c>
      <c r="AB585" s="72">
        <f>IF($J585="",FALSE,LEFT($X585,2)="XX")</f>
        <v/>
      </c>
      <c r="AC585" s="72">
        <f>IF($J585="",FALSE,IFERROR(INDEX(B!$P$2:$P$61,MATCH($J585,B!$E$2:$E$61,0))="Sim",FALSE))</f>
        <v/>
      </c>
      <c r="AD585" s="20" t="n"/>
      <c r="AE585" s="52">
        <f>IF(H585="","",HOUR(H585))</f>
        <v/>
      </c>
      <c r="AF585" s="52" t="n"/>
    </row>
    <row r="586" ht="19.5" customHeight="1" s="58">
      <c r="A586" s="62">
        <f>IF(G586="","",IF(G586=G585,"",COUNTIF($G$3:$G$976,G586)))</f>
        <v/>
      </c>
      <c r="B586" s="20" t="n"/>
      <c r="C586" s="63">
        <f>IF(G586="","",DAY(G586))</f>
        <v/>
      </c>
      <c r="D586" s="63">
        <f>IF(G586="","",MONTH(G586))</f>
        <v/>
      </c>
      <c r="E586" s="63">
        <f>IF(G586="","",YEAR(G586))</f>
        <v/>
      </c>
      <c r="F586" s="33">
        <f>IF(G586="","",CHOOSE(MONTH(G586),"Janeiro","Fevereiro","Março","Abril","Maio","Junho","Julho","Agosto","Setembro","Outubro","Novembro","Dezembro"))</f>
        <v/>
      </c>
      <c r="G586" s="64" t="n">
        <v>46071</v>
      </c>
      <c r="H586" s="65" t="n">
        <v>0.01207175925925926</v>
      </c>
      <c r="I586" s="66" t="inlineStr">
        <is>
          <t>https://docs.google.com/spreadsheets/d/1ZiCGoPjLCjuYvujDTXK9Ixbth3tekiLtFBzBrGjPCr4/edit?gid=0#gid=0</t>
        </is>
      </c>
      <c r="J586" s="67" t="inlineStr">
        <is>
          <t>Overpaid, Excede o limite, Sem comprovante - [OPEN]</t>
        </is>
      </c>
      <c r="K586" s="67" t="inlineStr">
        <is>
          <t>Scout</t>
        </is>
      </c>
      <c r="L586" s="68" t="b">
        <v>0</v>
      </c>
      <c r="M586" s="20" t="n"/>
      <c r="N586" s="69">
        <f>IF($J586="","",IFERROR(INDEX(B!$F$2:$F$61,MATCH($J586,B!$E$2:$E$61,0))&amp;"",""))</f>
        <v/>
      </c>
      <c r="O586" s="69">
        <f>IF($J586="","",IFERROR(INDEX(B!$G$2:$G$61,MATCH($J586,B!$E$2:$E$61,0))&amp;"",""))</f>
        <v/>
      </c>
      <c r="P586" s="69">
        <f>IF($J586="","",IFERROR(INDEX(B!$H$2:$H$61,MATCH($J586,B!$E$2:$E$61,0))&amp;"",""))</f>
        <v/>
      </c>
      <c r="Q586" s="69">
        <f>IF($J586="","",IFERROR(INDEX(B!$I$2:$I$61,MATCH($J586,B!$E$2:$E$61,0))&amp;"",""))</f>
        <v/>
      </c>
      <c r="R586" s="69">
        <f>IF($J586="","",IFERROR(INDEX(B!$J$2:$J$61,MATCH($J586,B!$E$2:$E$61,0))&amp;"",""))</f>
        <v/>
      </c>
      <c r="S586" s="69">
        <f>IF($J586="","",IFERROR(INDEX(B!$K$2:$K$61,MATCH($J586,B!$E$2:$E$61,0))&amp;"",""))</f>
        <v/>
      </c>
      <c r="T586" s="69">
        <f>IF($J586="","",IFERROR(INDEX(B!$L$2:$L$61,MATCH($J586,B!$E$2:$E$61,0))&amp;"",""))</f>
        <v/>
      </c>
      <c r="U586" s="20" t="n"/>
      <c r="V586" s="70">
        <f>IF($J586="","",IFERROR(INDEX(B!$M$2:$M$61,MATCH($J586,B!$E$2:$E$61,0))&amp;"",""))</f>
        <v/>
      </c>
      <c r="W586" s="71">
        <f>IF(I586="","",IFERROR(MID(I586,FIND("/d/",I586)+3,FIND("/edit",I586)-FIND("/d/",I586)-3),I586))</f>
        <v/>
      </c>
      <c r="X586" s="71">
        <f>IF($J586="","",IFERROR(INDEX(B!$C$2:$C$61,MATCH($J586,B!$E$2:$E$61,0))&amp;"",""))</f>
        <v/>
      </c>
      <c r="Y586" s="20" t="n"/>
      <c r="Z586" s="72">
        <f>IF($J586="",FALSE,ISNUMBER(SEARCH("scout",$K586)))</f>
        <v/>
      </c>
      <c r="AA586" s="72">
        <f>IF($J586="",FALSE,IFERROR(INDEX(B!$N$2:$N$61,MATCH($J586,B!$E$2:$E$61,0))="Sim",FALSE))</f>
        <v/>
      </c>
      <c r="AB586" s="72">
        <f>IF($J586="",FALSE,LEFT($X586,2)="XX")</f>
        <v/>
      </c>
      <c r="AC586" s="72">
        <f>IF($J586="",FALSE,IFERROR(INDEX(B!$P$2:$P$61,MATCH($J586,B!$E$2:$E$61,0))="Sim",FALSE))</f>
        <v/>
      </c>
      <c r="AD586" s="20" t="n"/>
      <c r="AE586" s="52">
        <f>IF(H586="","",HOUR(H586))</f>
        <v/>
      </c>
      <c r="AF586" s="52" t="n"/>
    </row>
    <row r="587" ht="19.5" customHeight="1" s="58">
      <c r="A587" s="62">
        <f>IF(G587="","",IF(G587=G586,"",COUNTIF($G$3:$G$976,G587)))</f>
        <v/>
      </c>
      <c r="B587" s="20" t="n"/>
      <c r="C587" s="63">
        <f>IF(G587="","",DAY(G587))</f>
        <v/>
      </c>
      <c r="D587" s="63">
        <f>IF(G587="","",MONTH(G587))</f>
        <v/>
      </c>
      <c r="E587" s="63">
        <f>IF(G587="","",YEAR(G587))</f>
        <v/>
      </c>
      <c r="F587" s="33">
        <f>IF(G587="","",CHOOSE(MONTH(G587),"Janeiro","Fevereiro","Março","Abril","Maio","Junho","Julho","Agosto","Setembro","Outubro","Novembro","Dezembro"))</f>
        <v/>
      </c>
      <c r="G587" s="64" t="n">
        <v>46071</v>
      </c>
      <c r="H587" s="65" t="n">
        <v>0.01967592592592593</v>
      </c>
      <c r="I587" s="66" t="inlineStr">
        <is>
          <t>https://docs.google.com/spreadsheets/d/1ZiCGoPjLCjuYvujDTXK9Ixbth3tekiLtFBzBrGjPCr4/edit?gid=0#gid=0</t>
        </is>
      </c>
      <c r="J587" s="67" t="inlineStr">
        <is>
          <t>Overpaid, Excede o limite, Sem comprovante - [OPEN]</t>
        </is>
      </c>
      <c r="K587" s="67" t="inlineStr">
        <is>
          <t>Scout</t>
        </is>
      </c>
      <c r="L587" s="68" t="b">
        <v>0</v>
      </c>
      <c r="M587" s="20" t="n"/>
      <c r="N587" s="69">
        <f>IF($J587="","",IFERROR(INDEX(B!$F$2:$F$61,MATCH($J587,B!$E$2:$E$61,0))&amp;"",""))</f>
        <v/>
      </c>
      <c r="O587" s="69">
        <f>IF($J587="","",IFERROR(INDEX(B!$G$2:$G$61,MATCH($J587,B!$E$2:$E$61,0))&amp;"",""))</f>
        <v/>
      </c>
      <c r="P587" s="69">
        <f>IF($J587="","",IFERROR(INDEX(B!$H$2:$H$61,MATCH($J587,B!$E$2:$E$61,0))&amp;"",""))</f>
        <v/>
      </c>
      <c r="Q587" s="69">
        <f>IF($J587="","",IFERROR(INDEX(B!$I$2:$I$61,MATCH($J587,B!$E$2:$E$61,0))&amp;"",""))</f>
        <v/>
      </c>
      <c r="R587" s="69">
        <f>IF($J587="","",IFERROR(INDEX(B!$J$2:$J$61,MATCH($J587,B!$E$2:$E$61,0))&amp;"",""))</f>
        <v/>
      </c>
      <c r="S587" s="69">
        <f>IF($J587="","",IFERROR(INDEX(B!$K$2:$K$61,MATCH($J587,B!$E$2:$E$61,0))&amp;"",""))</f>
        <v/>
      </c>
      <c r="T587" s="69">
        <f>IF($J587="","",IFERROR(INDEX(B!$L$2:$L$61,MATCH($J587,B!$E$2:$E$61,0))&amp;"",""))</f>
        <v/>
      </c>
      <c r="U587" s="20" t="n"/>
      <c r="V587" s="70">
        <f>IF($J587="","",IFERROR(INDEX(B!$M$2:$M$61,MATCH($J587,B!$E$2:$E$61,0))&amp;"",""))</f>
        <v/>
      </c>
      <c r="W587" s="71">
        <f>IF(I587="","",IFERROR(MID(I587,FIND("/d/",I587)+3,FIND("/edit",I587)-FIND("/d/",I587)-3),I587))</f>
        <v/>
      </c>
      <c r="X587" s="71">
        <f>IF($J587="","",IFERROR(INDEX(B!$C$2:$C$61,MATCH($J587,B!$E$2:$E$61,0))&amp;"",""))</f>
        <v/>
      </c>
      <c r="Y587" s="20" t="n"/>
      <c r="Z587" s="72">
        <f>IF($J587="",FALSE,ISNUMBER(SEARCH("scout",$K587)))</f>
        <v/>
      </c>
      <c r="AA587" s="72">
        <f>IF($J587="",FALSE,IFERROR(INDEX(B!$N$2:$N$61,MATCH($J587,B!$E$2:$E$61,0))="Sim",FALSE))</f>
        <v/>
      </c>
      <c r="AB587" s="72">
        <f>IF($J587="",FALSE,LEFT($X587,2)="XX")</f>
        <v/>
      </c>
      <c r="AC587" s="72">
        <f>IF($J587="",FALSE,IFERROR(INDEX(B!$P$2:$P$61,MATCH($J587,B!$E$2:$E$61,0))="Sim",FALSE))</f>
        <v/>
      </c>
      <c r="AD587" s="20" t="n"/>
      <c r="AE587" s="52">
        <f>IF(H587="","",HOUR(H587))</f>
        <v/>
      </c>
      <c r="AF587" s="52" t="n"/>
    </row>
    <row r="588" ht="19.5" customHeight="1" s="58">
      <c r="A588" s="62">
        <f>IF(G588="","",IF(G588=G587,"",COUNTIF($G$3:$G$976,G588)))</f>
        <v/>
      </c>
      <c r="B588" s="20" t="n"/>
      <c r="C588" s="63">
        <f>IF(G588="","",DAY(G588))</f>
        <v/>
      </c>
      <c r="D588" s="63">
        <f>IF(G588="","",MONTH(G588))</f>
        <v/>
      </c>
      <c r="E588" s="63">
        <f>IF(G588="","",YEAR(G588))</f>
        <v/>
      </c>
      <c r="F588" s="33">
        <f>IF(G588="","",CHOOSE(MONTH(G588),"Janeiro","Fevereiro","Março","Abril","Maio","Junho","Julho","Agosto","Setembro","Outubro","Novembro","Dezembro"))</f>
        <v/>
      </c>
      <c r="G588" s="64" t="n">
        <v>46071</v>
      </c>
      <c r="H588" s="65" t="n">
        <v>0.02490740740740741</v>
      </c>
      <c r="I588" s="66" t="inlineStr">
        <is>
          <t>https://docs.google.com/spreadsheets/d/1ZiCGoPjLCjuYvujDTXK9Ixbth3tekiLtFBzBrGjPCr4/edit?gid=0#gid=0</t>
        </is>
      </c>
      <c r="J588" s="67" t="inlineStr">
        <is>
          <t>Viagem Calculada Incorretamente - [VCI]</t>
        </is>
      </c>
      <c r="K588" s="67" t="inlineStr"/>
      <c r="L588" s="68" t="b">
        <v>0</v>
      </c>
      <c r="M588" s="20" t="n"/>
      <c r="N588" s="69">
        <f>IF($J588="","",IFERROR(INDEX(B!$F$2:$F$61,MATCH($J588,B!$E$2:$E$61,0))&amp;"",""))</f>
        <v/>
      </c>
      <c r="O588" s="69">
        <f>IF($J588="","",IFERROR(INDEX(B!$G$2:$G$61,MATCH($J588,B!$E$2:$E$61,0))&amp;"",""))</f>
        <v/>
      </c>
      <c r="P588" s="69">
        <f>IF($J588="","",IFERROR(INDEX(B!$H$2:$H$61,MATCH($J588,B!$E$2:$E$61,0))&amp;"",""))</f>
        <v/>
      </c>
      <c r="Q588" s="69">
        <f>IF($J588="","",IFERROR(INDEX(B!$I$2:$I$61,MATCH($J588,B!$E$2:$E$61,0))&amp;"",""))</f>
        <v/>
      </c>
      <c r="R588" s="69">
        <f>IF($J588="","",IFERROR(INDEX(B!$J$2:$J$61,MATCH($J588,B!$E$2:$E$61,0))&amp;"",""))</f>
        <v/>
      </c>
      <c r="S588" s="69">
        <f>IF($J588="","",IFERROR(INDEX(B!$K$2:$K$61,MATCH($J588,B!$E$2:$E$61,0))&amp;"",""))</f>
        <v/>
      </c>
      <c r="T588" s="69">
        <f>IF($J588="","",IFERROR(INDEX(B!$L$2:$L$61,MATCH($J588,B!$E$2:$E$61,0))&amp;"",""))</f>
        <v/>
      </c>
      <c r="U588" s="20" t="n"/>
      <c r="V588" s="70">
        <f>IF($J588="","",IFERROR(INDEX(B!$M$2:$M$61,MATCH($J588,B!$E$2:$E$61,0))&amp;"",""))</f>
        <v/>
      </c>
      <c r="W588" s="71">
        <f>IF(I588="","",IFERROR(MID(I588,FIND("/d/",I588)+3,FIND("/edit",I588)-FIND("/d/",I588)-3),I588))</f>
        <v/>
      </c>
      <c r="X588" s="71">
        <f>IF($J588="","",IFERROR(INDEX(B!$C$2:$C$61,MATCH($J588,B!$E$2:$E$61,0))&amp;"",""))</f>
        <v/>
      </c>
      <c r="Y588" s="20" t="n"/>
      <c r="Z588" s="72">
        <f>IF($J588="",FALSE,ISNUMBER(SEARCH("scout",$K588)))</f>
        <v/>
      </c>
      <c r="AA588" s="72">
        <f>IF($J588="",FALSE,IFERROR(INDEX(B!$N$2:$N$61,MATCH($J588,B!$E$2:$E$61,0))="Sim",FALSE))</f>
        <v/>
      </c>
      <c r="AB588" s="72">
        <f>IF($J588="",FALSE,LEFT($X588,2)="XX")</f>
        <v/>
      </c>
      <c r="AC588" s="72">
        <f>IF($J588="",FALSE,IFERROR(INDEX(B!$P$2:$P$61,MATCH($J588,B!$E$2:$E$61,0))="Sim",FALSE))</f>
        <v/>
      </c>
      <c r="AD588" s="20" t="n"/>
      <c r="AE588" s="52">
        <f>IF(H588="","",HOUR(H588))</f>
        <v/>
      </c>
      <c r="AF588" s="52" t="n"/>
    </row>
    <row r="589" ht="19.5" customHeight="1" s="58">
      <c r="A589" s="62">
        <f>IF(G589="","",IF(G589=G588,"",COUNTIF($G$3:$G$976,G589)))</f>
        <v/>
      </c>
      <c r="B589" s="20" t="n"/>
      <c r="C589" s="63">
        <f>IF(G589="","",DAY(G589))</f>
        <v/>
      </c>
      <c r="D589" s="63">
        <f>IF(G589="","",MONTH(G589))</f>
        <v/>
      </c>
      <c r="E589" s="63">
        <f>IF(G589="","",YEAR(G589))</f>
        <v/>
      </c>
      <c r="F589" s="33">
        <f>IF(G589="","",CHOOSE(MONTH(G589),"Janeiro","Fevereiro","Março","Abril","Maio","Junho","Julho","Agosto","Setembro","Outubro","Novembro","Dezembro"))</f>
        <v/>
      </c>
      <c r="G589" s="64" t="n">
        <v>46071</v>
      </c>
      <c r="H589" s="65" t="n">
        <v>0.02612268518518519</v>
      </c>
      <c r="I589" s="66" t="inlineStr">
        <is>
          <t>https://docs.google.com/spreadsheets/d/1ZiCGoPjLCjuYvujDTXK9Ixbth3tekiLtFBzBrGjPCr4/edit?gid=0#gid=0</t>
        </is>
      </c>
      <c r="J589" s="67" t="inlineStr">
        <is>
          <t>Taxa de Limpeza - [TXL]</t>
        </is>
      </c>
      <c r="K589" s="67" t="inlineStr">
        <is>
          <t>Scout</t>
        </is>
      </c>
      <c r="L589" s="68" t="b">
        <v>1</v>
      </c>
      <c r="M589" s="20" t="n"/>
      <c r="N589" s="69">
        <f>IF($J589="","",IFERROR(INDEX(B!$F$2:$F$61,MATCH($J589,B!$E$2:$E$61,0))&amp;"",""))</f>
        <v/>
      </c>
      <c r="O589" s="69">
        <f>IF($J589="","",IFERROR(INDEX(B!$G$2:$G$61,MATCH($J589,B!$E$2:$E$61,0))&amp;"",""))</f>
        <v/>
      </c>
      <c r="P589" s="69">
        <f>IF($J589="","",IFERROR(INDEX(B!$H$2:$H$61,MATCH($J589,B!$E$2:$E$61,0))&amp;"",""))</f>
        <v/>
      </c>
      <c r="Q589" s="69">
        <f>IF($J589="","",IFERROR(INDEX(B!$I$2:$I$61,MATCH($J589,B!$E$2:$E$61,0))&amp;"",""))</f>
        <v/>
      </c>
      <c r="R589" s="69">
        <f>IF($J589="","",IFERROR(INDEX(B!$J$2:$J$61,MATCH($J589,B!$E$2:$E$61,0))&amp;"",""))</f>
        <v/>
      </c>
      <c r="S589" s="69">
        <f>IF($J589="","",IFERROR(INDEX(B!$K$2:$K$61,MATCH($J589,B!$E$2:$E$61,0))&amp;"",""))</f>
        <v/>
      </c>
      <c r="T589" s="69">
        <f>IF($J589="","",IFERROR(INDEX(B!$L$2:$L$61,MATCH($J589,B!$E$2:$E$61,0))&amp;"",""))</f>
        <v/>
      </c>
      <c r="U589" s="20" t="n"/>
      <c r="V589" s="70">
        <f>IF($J589="","",IFERROR(INDEX(B!$M$2:$M$61,MATCH($J589,B!$E$2:$E$61,0))&amp;"",""))</f>
        <v/>
      </c>
      <c r="W589" s="71">
        <f>IF(I589="","",IFERROR(MID(I589,FIND("/d/",I589)+3,FIND("/edit",I589)-FIND("/d/",I589)-3),I589))</f>
        <v/>
      </c>
      <c r="X589" s="71">
        <f>IF($J589="","",IFERROR(INDEX(B!$C$2:$C$61,MATCH($J589,B!$E$2:$E$61,0))&amp;"",""))</f>
        <v/>
      </c>
      <c r="Y589" s="20" t="n"/>
      <c r="Z589" s="72">
        <f>IF($J589="",FALSE,ISNUMBER(SEARCH("scout",$K589)))</f>
        <v/>
      </c>
      <c r="AA589" s="72">
        <f>IF($J589="",FALSE,IFERROR(INDEX(B!$N$2:$N$61,MATCH($J589,B!$E$2:$E$61,0))="Sim",FALSE))</f>
        <v/>
      </c>
      <c r="AB589" s="72">
        <f>IF($J589="",FALSE,LEFT($X589,2)="XX")</f>
        <v/>
      </c>
      <c r="AC589" s="72">
        <f>IF($J589="",FALSE,IFERROR(INDEX(B!$P$2:$P$61,MATCH($J589,B!$E$2:$E$61,0))="Sim",FALSE))</f>
        <v/>
      </c>
      <c r="AD589" s="20" t="n"/>
      <c r="AE589" s="52">
        <f>IF(H589="","",HOUR(H589))</f>
        <v/>
      </c>
      <c r="AF589" s="52" t="n"/>
    </row>
    <row r="590" ht="19.5" customHeight="1" s="58">
      <c r="A590" s="62">
        <f>IF(G590="","",IF(G590=G589,"",COUNTIF($G$3:$G$976,G590)))</f>
        <v/>
      </c>
      <c r="B590" s="20" t="n"/>
      <c r="C590" s="63">
        <f>IF(G590="","",DAY(G590))</f>
        <v/>
      </c>
      <c r="D590" s="63">
        <f>IF(G590="","",MONTH(G590))</f>
        <v/>
      </c>
      <c r="E590" s="63">
        <f>IF(G590="","",YEAR(G590))</f>
        <v/>
      </c>
      <c r="F590" s="33">
        <f>IF(G590="","",CHOOSE(MONTH(G590),"Janeiro","Fevereiro","Março","Abril","Maio","Junho","Julho","Agosto","Setembro","Outubro","Novembro","Dezembro"))</f>
        <v/>
      </c>
      <c r="G590" s="64" t="n">
        <v>46071</v>
      </c>
      <c r="H590" s="65" t="n">
        <v>0.03991898148148148</v>
      </c>
      <c r="I590" s="66" t="inlineStr">
        <is>
          <t>https://docs.google.com/spreadsheets/d/1ZiCGoPjLCjuYvujDTXK9Ixbth3tekiLtFBzBrGjPCr4/edit?gid=0#gid=0</t>
        </is>
      </c>
      <c r="J590" s="67" t="inlineStr">
        <is>
          <t>Pushback - [XX]</t>
        </is>
      </c>
      <c r="K590" s="67" t="inlineStr"/>
      <c r="L590" s="68" t="b">
        <v>0</v>
      </c>
      <c r="M590" s="20" t="n"/>
      <c r="N590" s="69">
        <f>IF($J590="","",IFERROR(INDEX(B!$F$2:$F$61,MATCH($J590,B!$E$2:$E$61,0))&amp;"",""))</f>
        <v/>
      </c>
      <c r="O590" s="69">
        <f>IF($J590="","",IFERROR(INDEX(B!$G$2:$G$61,MATCH($J590,B!$E$2:$E$61,0))&amp;"",""))</f>
        <v/>
      </c>
      <c r="P590" s="69">
        <f>IF($J590="","",IFERROR(INDEX(B!$H$2:$H$61,MATCH($J590,B!$E$2:$E$61,0))&amp;"",""))</f>
        <v/>
      </c>
      <c r="Q590" s="69">
        <f>IF($J590="","",IFERROR(INDEX(B!$I$2:$I$61,MATCH($J590,B!$E$2:$E$61,0))&amp;"",""))</f>
        <v/>
      </c>
      <c r="R590" s="69">
        <f>IF($J590="","",IFERROR(INDEX(B!$J$2:$J$61,MATCH($J590,B!$E$2:$E$61,0))&amp;"",""))</f>
        <v/>
      </c>
      <c r="S590" s="69">
        <f>IF($J590="","",IFERROR(INDEX(B!$K$2:$K$61,MATCH($J590,B!$E$2:$E$61,0))&amp;"",""))</f>
        <v/>
      </c>
      <c r="T590" s="69">
        <f>IF($J590="","",IFERROR(INDEX(B!$L$2:$L$61,MATCH($J590,B!$E$2:$E$61,0))&amp;"",""))</f>
        <v/>
      </c>
      <c r="U590" s="20" t="n"/>
      <c r="V590" s="70">
        <f>IF($J590="","",IFERROR(INDEX(B!$M$2:$M$61,MATCH($J590,B!$E$2:$E$61,0))&amp;"",""))</f>
        <v/>
      </c>
      <c r="W590" s="71">
        <f>IF(I590="","",IFERROR(MID(I590,FIND("/d/",I590)+3,FIND("/edit",I590)-FIND("/d/",I590)-3),I590))</f>
        <v/>
      </c>
      <c r="X590" s="71">
        <f>IF($J590="","",IFERROR(INDEX(B!$C$2:$C$61,MATCH($J590,B!$E$2:$E$61,0))&amp;"",""))</f>
        <v/>
      </c>
      <c r="Y590" s="20" t="n"/>
      <c r="Z590" s="72">
        <f>IF($J590="",FALSE,ISNUMBER(SEARCH("scout",$K590)))</f>
        <v/>
      </c>
      <c r="AA590" s="72">
        <f>IF($J590="",FALSE,IFERROR(INDEX(B!$N$2:$N$61,MATCH($J590,B!$E$2:$E$61,0))="Sim",FALSE))</f>
        <v/>
      </c>
      <c r="AB590" s="72">
        <f>IF($J590="",FALSE,LEFT($X590,2)="XX")</f>
        <v/>
      </c>
      <c r="AC590" s="72">
        <f>IF($J590="",FALSE,IFERROR(INDEX(B!$P$2:$P$61,MATCH($J590,B!$E$2:$E$61,0))="Sim",FALSE))</f>
        <v/>
      </c>
      <c r="AD590" s="20" t="n"/>
      <c r="AE590" s="52">
        <f>IF(H590="","",HOUR(H590))</f>
        <v/>
      </c>
      <c r="AF590" s="52" t="n"/>
    </row>
    <row r="591" ht="19.5" customHeight="1" s="58">
      <c r="A591" s="62">
        <f>IF(G591="","",IF(G591=G590,"",COUNTIF($G$3:$G$976,G591)))</f>
        <v/>
      </c>
      <c r="B591" s="20" t="n"/>
      <c r="C591" s="63">
        <f>IF(G591="","",DAY(G591))</f>
        <v/>
      </c>
      <c r="D591" s="63">
        <f>IF(G591="","",MONTH(G591))</f>
        <v/>
      </c>
      <c r="E591" s="63">
        <f>IF(G591="","",YEAR(G591))</f>
        <v/>
      </c>
      <c r="F591" s="33">
        <f>IF(G591="","",CHOOSE(MONTH(G591),"Janeiro","Fevereiro","Março","Abril","Maio","Junho","Julho","Agosto","Setembro","Outubro","Novembro","Dezembro"))</f>
        <v/>
      </c>
      <c r="G591" s="64" t="n">
        <v>46071</v>
      </c>
      <c r="H591" s="65" t="n">
        <v>0.0534375</v>
      </c>
      <c r="I591" s="66" t="inlineStr">
        <is>
          <t>https://docs.google.com/spreadsheets/d/1ZiCGoPjLCjuYvujDTXK9Ixbth3tekiLtFBzBrGjPCr4/edit?gid=0#gid=0</t>
        </is>
      </c>
      <c r="J591" s="67" t="inlineStr">
        <is>
          <t>Taxa de Cancelamento Cobrada Corretamente - [TXCO]</t>
        </is>
      </c>
      <c r="K591" s="67" t="inlineStr">
        <is>
          <t>Scout</t>
        </is>
      </c>
      <c r="L591" s="68" t="b">
        <v>0</v>
      </c>
      <c r="M591" s="20" t="n"/>
      <c r="N591" s="69">
        <f>IF($J591="","",IFERROR(INDEX(B!$F$2:$F$61,MATCH($J591,B!$E$2:$E$61,0))&amp;"",""))</f>
        <v/>
      </c>
      <c r="O591" s="69">
        <f>IF($J591="","",IFERROR(INDEX(B!$G$2:$G$61,MATCH($J591,B!$E$2:$E$61,0))&amp;"",""))</f>
        <v/>
      </c>
      <c r="P591" s="69">
        <f>IF($J591="","",IFERROR(INDEX(B!$H$2:$H$61,MATCH($J591,B!$E$2:$E$61,0))&amp;"",""))</f>
        <v/>
      </c>
      <c r="Q591" s="69">
        <f>IF($J591="","",IFERROR(INDEX(B!$I$2:$I$61,MATCH($J591,B!$E$2:$E$61,0))&amp;"",""))</f>
        <v/>
      </c>
      <c r="R591" s="69">
        <f>IF($J591="","",IFERROR(INDEX(B!$J$2:$J$61,MATCH($J591,B!$E$2:$E$61,0))&amp;"",""))</f>
        <v/>
      </c>
      <c r="S591" s="69">
        <f>IF($J591="","",IFERROR(INDEX(B!$K$2:$K$61,MATCH($J591,B!$E$2:$E$61,0))&amp;"",""))</f>
        <v/>
      </c>
      <c r="T591" s="69">
        <f>IF($J591="","",IFERROR(INDEX(B!$L$2:$L$61,MATCH($J591,B!$E$2:$E$61,0))&amp;"",""))</f>
        <v/>
      </c>
      <c r="U591" s="20" t="n"/>
      <c r="V591" s="70">
        <f>IF($J591="","",IFERROR(INDEX(B!$M$2:$M$61,MATCH($J591,B!$E$2:$E$61,0))&amp;"",""))</f>
        <v/>
      </c>
      <c r="W591" s="71">
        <f>IF(I591="","",IFERROR(MID(I591,FIND("/d/",I591)+3,FIND("/edit",I591)-FIND("/d/",I591)-3),I591))</f>
        <v/>
      </c>
      <c r="X591" s="71">
        <f>IF($J591="","",IFERROR(INDEX(B!$C$2:$C$61,MATCH($J591,B!$E$2:$E$61,0))&amp;"",""))</f>
        <v/>
      </c>
      <c r="Y591" s="20" t="n"/>
      <c r="Z591" s="72">
        <f>IF($J591="",FALSE,ISNUMBER(SEARCH("scout",$K591)))</f>
        <v/>
      </c>
      <c r="AA591" s="72">
        <f>IF($J591="",FALSE,IFERROR(INDEX(B!$N$2:$N$61,MATCH($J591,B!$E$2:$E$61,0))="Sim",FALSE))</f>
        <v/>
      </c>
      <c r="AB591" s="72">
        <f>IF($J591="",FALSE,LEFT($X591,2)="XX")</f>
        <v/>
      </c>
      <c r="AC591" s="72">
        <f>IF($J591="",FALSE,IFERROR(INDEX(B!$P$2:$P$61,MATCH($J591,B!$E$2:$E$61,0))="Sim",FALSE))</f>
        <v/>
      </c>
      <c r="AD591" s="20" t="n"/>
      <c r="AE591" s="52">
        <f>IF(H591="","",HOUR(H591))</f>
        <v/>
      </c>
      <c r="AF591" s="52" t="n"/>
    </row>
    <row r="592" ht="19.5" customHeight="1" s="58">
      <c r="A592" s="62">
        <f>IF(G592="","",IF(G592=G591,"",COUNTIF($G$3:$G$976,G592)))</f>
        <v/>
      </c>
      <c r="B592" s="20" t="n"/>
      <c r="C592" s="63">
        <f>IF(G592="","",DAY(G592))</f>
        <v/>
      </c>
      <c r="D592" s="63">
        <f>IF(G592="","",MONTH(G592))</f>
        <v/>
      </c>
      <c r="E592" s="63">
        <f>IF(G592="","",YEAR(G592))</f>
        <v/>
      </c>
      <c r="F592" s="33">
        <f>IF(G592="","",CHOOSE(MONTH(G592),"Janeiro","Fevereiro","Março","Abril","Maio","Junho","Julho","Agosto","Setembro","Outubro","Novembro","Dezembro"))</f>
        <v/>
      </c>
      <c r="G592" s="64" t="n">
        <v>46071</v>
      </c>
      <c r="H592" s="65" t="n">
        <v>0.05508101851851852</v>
      </c>
      <c r="I592" s="66" t="inlineStr">
        <is>
          <t>https://docs.google.com/spreadsheets/d/1ZiCGoPjLCjuYvujDTXK9Ixbth3tekiLtFBzBrGjPCr4/edit?gid=0#gid=0</t>
        </is>
      </c>
      <c r="J592" s="67" t="inlineStr">
        <is>
          <t>Erro de Gps (Problema Técnico) - [GPS]</t>
        </is>
      </c>
      <c r="K592" s="67" t="inlineStr"/>
      <c r="L592" s="68" t="b">
        <v>0</v>
      </c>
      <c r="M592" s="20" t="n"/>
      <c r="N592" s="69">
        <f>IF($J592="","",IFERROR(INDEX(B!$F$2:$F$61,MATCH($J592,B!$E$2:$E$61,0))&amp;"",""))</f>
        <v/>
      </c>
      <c r="O592" s="69">
        <f>IF($J592="","",IFERROR(INDEX(B!$G$2:$G$61,MATCH($J592,B!$E$2:$E$61,0))&amp;"",""))</f>
        <v/>
      </c>
      <c r="P592" s="69">
        <f>IF($J592="","",IFERROR(INDEX(B!$H$2:$H$61,MATCH($J592,B!$E$2:$E$61,0))&amp;"",""))</f>
        <v/>
      </c>
      <c r="Q592" s="69">
        <f>IF($J592="","",IFERROR(INDEX(B!$I$2:$I$61,MATCH($J592,B!$E$2:$E$61,0))&amp;"",""))</f>
        <v/>
      </c>
      <c r="R592" s="69">
        <f>IF($J592="","",IFERROR(INDEX(B!$J$2:$J$61,MATCH($J592,B!$E$2:$E$61,0))&amp;"",""))</f>
        <v/>
      </c>
      <c r="S592" s="69">
        <f>IF($J592="","",IFERROR(INDEX(B!$K$2:$K$61,MATCH($J592,B!$E$2:$E$61,0))&amp;"",""))</f>
        <v/>
      </c>
      <c r="T592" s="69">
        <f>IF($J592="","",IFERROR(INDEX(B!$L$2:$L$61,MATCH($J592,B!$E$2:$E$61,0))&amp;"",""))</f>
        <v/>
      </c>
      <c r="U592" s="20" t="n"/>
      <c r="V592" s="70">
        <f>IF($J592="","",IFERROR(INDEX(B!$M$2:$M$61,MATCH($J592,B!$E$2:$E$61,0))&amp;"",""))</f>
        <v/>
      </c>
      <c r="W592" s="71">
        <f>IF(I592="","",IFERROR(MID(I592,FIND("/d/",I592)+3,FIND("/edit",I592)-FIND("/d/",I592)-3),I592))</f>
        <v/>
      </c>
      <c r="X592" s="71">
        <f>IF($J592="","",IFERROR(INDEX(B!$C$2:$C$61,MATCH($J592,B!$E$2:$E$61,0))&amp;"",""))</f>
        <v/>
      </c>
      <c r="Y592" s="20" t="n"/>
      <c r="Z592" s="72">
        <f>IF($J592="",FALSE,ISNUMBER(SEARCH("scout",$K592)))</f>
        <v/>
      </c>
      <c r="AA592" s="72">
        <f>IF($J592="",FALSE,IFERROR(INDEX(B!$N$2:$N$61,MATCH($J592,B!$E$2:$E$61,0))="Sim",FALSE))</f>
        <v/>
      </c>
      <c r="AB592" s="72">
        <f>IF($J592="",FALSE,LEFT($X592,2)="XX")</f>
        <v/>
      </c>
      <c r="AC592" s="72">
        <f>IF($J592="",FALSE,IFERROR(INDEX(B!$P$2:$P$61,MATCH($J592,B!$E$2:$E$61,0))="Sim",FALSE))</f>
        <v/>
      </c>
      <c r="AD592" s="20" t="n"/>
      <c r="AE592" s="52">
        <f>IF(H592="","",HOUR(H592))</f>
        <v/>
      </c>
      <c r="AF592" s="52" t="n"/>
    </row>
    <row r="593" ht="19.5" customHeight="1" s="58">
      <c r="A593" s="62">
        <f>IF(G593="","",IF(G593=G592,"",COUNTIF($G$3:$G$976,G593)))</f>
        <v/>
      </c>
      <c r="B593" s="20" t="n"/>
      <c r="C593" s="63">
        <f>IF(G593="","",DAY(G593))</f>
        <v/>
      </c>
      <c r="D593" s="63">
        <f>IF(G593="","",MONTH(G593))</f>
        <v/>
      </c>
      <c r="E593" s="63">
        <f>IF(G593="","",YEAR(G593))</f>
        <v/>
      </c>
      <c r="F593" s="33">
        <f>IF(G593="","",CHOOSE(MONTH(G593),"Janeiro","Fevereiro","Março","Abril","Maio","Junho","Julho","Agosto","Setembro","Outubro","Novembro","Dezembro"))</f>
        <v/>
      </c>
      <c r="G593" s="64" t="n">
        <v>46071</v>
      </c>
      <c r="H593" s="65" t="n">
        <v>0.05857638888888889</v>
      </c>
      <c r="I593" s="66" t="inlineStr">
        <is>
          <t>https://docs.google.com/spreadsheets/d/1ZiCGoPjLCjuYvujDTXK9Ixbth3tekiLtFBzBrGjPCr4/edit?gid=0#gid=0</t>
        </is>
      </c>
      <c r="J593" s="67" t="inlineStr">
        <is>
          <t>Taxa de Limpeza - [TXL]</t>
        </is>
      </c>
      <c r="K593" s="67" t="inlineStr"/>
      <c r="L593" s="68" t="b">
        <v>0</v>
      </c>
      <c r="M593" s="20" t="n"/>
      <c r="N593" s="69">
        <f>IF($J593="","",IFERROR(INDEX(B!$F$2:$F$61,MATCH($J593,B!$E$2:$E$61,0))&amp;"",""))</f>
        <v/>
      </c>
      <c r="O593" s="69">
        <f>IF($J593="","",IFERROR(INDEX(B!$G$2:$G$61,MATCH($J593,B!$E$2:$E$61,0))&amp;"",""))</f>
        <v/>
      </c>
      <c r="P593" s="69">
        <f>IF($J593="","",IFERROR(INDEX(B!$H$2:$H$61,MATCH($J593,B!$E$2:$E$61,0))&amp;"",""))</f>
        <v/>
      </c>
      <c r="Q593" s="69">
        <f>IF($J593="","",IFERROR(INDEX(B!$I$2:$I$61,MATCH($J593,B!$E$2:$E$61,0))&amp;"",""))</f>
        <v/>
      </c>
      <c r="R593" s="69">
        <f>IF($J593="","",IFERROR(INDEX(B!$J$2:$J$61,MATCH($J593,B!$E$2:$E$61,0))&amp;"",""))</f>
        <v/>
      </c>
      <c r="S593" s="69">
        <f>IF($J593="","",IFERROR(INDEX(B!$K$2:$K$61,MATCH($J593,B!$E$2:$E$61,0))&amp;"",""))</f>
        <v/>
      </c>
      <c r="T593" s="69">
        <f>IF($J593="","",IFERROR(INDEX(B!$L$2:$L$61,MATCH($J593,B!$E$2:$E$61,0))&amp;"",""))</f>
        <v/>
      </c>
      <c r="U593" s="20" t="n"/>
      <c r="V593" s="70">
        <f>IF($J593="","",IFERROR(INDEX(B!$M$2:$M$61,MATCH($J593,B!$E$2:$E$61,0))&amp;"",""))</f>
        <v/>
      </c>
      <c r="W593" s="71">
        <f>IF(I593="","",IFERROR(MID(I593,FIND("/d/",I593)+3,FIND("/edit",I593)-FIND("/d/",I593)-3),I593))</f>
        <v/>
      </c>
      <c r="X593" s="71">
        <f>IF($J593="","",IFERROR(INDEX(B!$C$2:$C$61,MATCH($J593,B!$E$2:$E$61,0))&amp;"",""))</f>
        <v/>
      </c>
      <c r="Y593" s="20" t="n"/>
      <c r="Z593" s="72">
        <f>IF($J593="",FALSE,ISNUMBER(SEARCH("scout",$K593)))</f>
        <v/>
      </c>
      <c r="AA593" s="72">
        <f>IF($J593="",FALSE,IFERROR(INDEX(B!$N$2:$N$61,MATCH($J593,B!$E$2:$E$61,0))="Sim",FALSE))</f>
        <v/>
      </c>
      <c r="AB593" s="72">
        <f>IF($J593="",FALSE,LEFT($X593,2)="XX")</f>
        <v/>
      </c>
      <c r="AC593" s="72">
        <f>IF($J593="",FALSE,IFERROR(INDEX(B!$P$2:$P$61,MATCH($J593,B!$E$2:$E$61,0))="Sim",FALSE))</f>
        <v/>
      </c>
      <c r="AD593" s="20" t="n"/>
      <c r="AE593" s="52">
        <f>IF(H593="","",HOUR(H593))</f>
        <v/>
      </c>
      <c r="AF593" s="52" t="n"/>
    </row>
    <row r="594" ht="19.5" customHeight="1" s="58">
      <c r="A594" s="62">
        <f>IF(G594="","",IF(G594=G593,"",COUNTIF($G$3:$G$976,G594)))</f>
        <v/>
      </c>
      <c r="B594" s="20" t="n"/>
      <c r="C594" s="63">
        <f>IF(G594="","",DAY(G594))</f>
        <v/>
      </c>
      <c r="D594" s="63">
        <f>IF(G594="","",MONTH(G594))</f>
        <v/>
      </c>
      <c r="E594" s="63">
        <f>IF(G594="","",YEAR(G594))</f>
        <v/>
      </c>
      <c r="F594" s="33">
        <f>IF(G594="","",CHOOSE(MONTH(G594),"Janeiro","Fevereiro","Março","Abril","Maio","Junho","Julho","Agosto","Setembro","Outubro","Novembro","Dezembro"))</f>
        <v/>
      </c>
      <c r="G594" s="64" t="n">
        <v>46071</v>
      </c>
      <c r="H594" s="65" t="n">
        <v>0.06666666666666667</v>
      </c>
      <c r="I594" s="66" t="inlineStr">
        <is>
          <t>https://docs.google.com/spreadsheets/d/1ZiCGoPjLCjuYvujDTXK9Ixbth3tekiLtFBzBrGjPCr4/edit?gid=0#gid=0</t>
        </is>
      </c>
      <c r="J594" s="67" t="inlineStr">
        <is>
          <t>Comprovante de Pagamento - [CP]</t>
        </is>
      </c>
      <c r="K594" s="67" t="inlineStr"/>
      <c r="L594" s="68" t="b">
        <v>0</v>
      </c>
      <c r="M594" s="20" t="n"/>
      <c r="N594" s="69">
        <f>IF($J594="","",IFERROR(INDEX(B!$F$2:$F$61,MATCH($J594,B!$E$2:$E$61,0))&amp;"",""))</f>
        <v/>
      </c>
      <c r="O594" s="69">
        <f>IF($J594="","",IFERROR(INDEX(B!$G$2:$G$61,MATCH($J594,B!$E$2:$E$61,0))&amp;"",""))</f>
        <v/>
      </c>
      <c r="P594" s="69">
        <f>IF($J594="","",IFERROR(INDEX(B!$H$2:$H$61,MATCH($J594,B!$E$2:$E$61,0))&amp;"",""))</f>
        <v/>
      </c>
      <c r="Q594" s="69">
        <f>IF($J594="","",IFERROR(INDEX(B!$I$2:$I$61,MATCH($J594,B!$E$2:$E$61,0))&amp;"",""))</f>
        <v/>
      </c>
      <c r="R594" s="69">
        <f>IF($J594="","",IFERROR(INDEX(B!$J$2:$J$61,MATCH($J594,B!$E$2:$E$61,0))&amp;"",""))</f>
        <v/>
      </c>
      <c r="S594" s="69">
        <f>IF($J594="","",IFERROR(INDEX(B!$K$2:$K$61,MATCH($J594,B!$E$2:$E$61,0))&amp;"",""))</f>
        <v/>
      </c>
      <c r="T594" s="69">
        <f>IF($J594="","",IFERROR(INDEX(B!$L$2:$L$61,MATCH($J594,B!$E$2:$E$61,0))&amp;"",""))</f>
        <v/>
      </c>
      <c r="U594" s="20" t="n"/>
      <c r="V594" s="70">
        <f>IF($J594="","",IFERROR(INDEX(B!$M$2:$M$61,MATCH($J594,B!$E$2:$E$61,0))&amp;"",""))</f>
        <v/>
      </c>
      <c r="W594" s="71">
        <f>IF(I594="","",IFERROR(MID(I594,FIND("/d/",I594)+3,FIND("/edit",I594)-FIND("/d/",I594)-3),I594))</f>
        <v/>
      </c>
      <c r="X594" s="71">
        <f>IF($J594="","",IFERROR(INDEX(B!$C$2:$C$61,MATCH($J594,B!$E$2:$E$61,0))&amp;"",""))</f>
        <v/>
      </c>
      <c r="Y594" s="20" t="n"/>
      <c r="Z594" s="72">
        <f>IF($J594="",FALSE,ISNUMBER(SEARCH("scout",$K594)))</f>
        <v/>
      </c>
      <c r="AA594" s="72">
        <f>IF($J594="",FALSE,IFERROR(INDEX(B!$N$2:$N$61,MATCH($J594,B!$E$2:$E$61,0))="Sim",FALSE))</f>
        <v/>
      </c>
      <c r="AB594" s="72">
        <f>IF($J594="",FALSE,LEFT($X594,2)="XX")</f>
        <v/>
      </c>
      <c r="AC594" s="72">
        <f>IF($J594="",FALSE,IFERROR(INDEX(B!$P$2:$P$61,MATCH($J594,B!$E$2:$E$61,0))="Sim",FALSE))</f>
        <v/>
      </c>
      <c r="AD594" s="20" t="n"/>
      <c r="AE594" s="52">
        <f>IF(H594="","",HOUR(H594))</f>
        <v/>
      </c>
      <c r="AF594" s="52" t="n"/>
    </row>
    <row r="595" ht="19.5" customHeight="1" s="58">
      <c r="A595" s="62">
        <f>IF(G595="","",IF(G595=G594,"",COUNTIF($G$3:$G$976,G595)))</f>
        <v/>
      </c>
      <c r="B595" s="20" t="n"/>
      <c r="C595" s="63">
        <f>IF(G595="","",DAY(G595))</f>
        <v/>
      </c>
      <c r="D595" s="63">
        <f>IF(G595="","",MONTH(G595))</f>
        <v/>
      </c>
      <c r="E595" s="63">
        <f>IF(G595="","",YEAR(G595))</f>
        <v/>
      </c>
      <c r="F595" s="33">
        <f>IF(G595="","",CHOOSE(MONTH(G595),"Janeiro","Fevereiro","Março","Abril","Maio","Junho","Julho","Agosto","Setembro","Outubro","Novembro","Dezembro"))</f>
        <v/>
      </c>
      <c r="G595" s="64" t="n">
        <v>46071</v>
      </c>
      <c r="H595" s="65" t="n">
        <v>0.07023148148148148</v>
      </c>
      <c r="I595" s="66" t="inlineStr">
        <is>
          <t>https://docs.google.com/spreadsheets/d/1ZiCGoPjLCjuYvujDTXK9Ixbth3tekiLtFBzBrGjPCr4/edit?gid=0#gid=0</t>
        </is>
      </c>
      <c r="J595" s="67" t="inlineStr">
        <is>
          <t>Taxa de Cancelamento Cobrada Corretamente - [TXCO]</t>
        </is>
      </c>
      <c r="K595" s="67" t="inlineStr"/>
      <c r="L595" s="68" t="b">
        <v>0</v>
      </c>
      <c r="M595" s="20" t="n"/>
      <c r="N595" s="69">
        <f>IF($J595="","",IFERROR(INDEX(B!$F$2:$F$61,MATCH($J595,B!$E$2:$E$61,0))&amp;"",""))</f>
        <v/>
      </c>
      <c r="O595" s="69">
        <f>IF($J595="","",IFERROR(INDEX(B!$G$2:$G$61,MATCH($J595,B!$E$2:$E$61,0))&amp;"",""))</f>
        <v/>
      </c>
      <c r="P595" s="69">
        <f>IF($J595="","",IFERROR(INDEX(B!$H$2:$H$61,MATCH($J595,B!$E$2:$E$61,0))&amp;"",""))</f>
        <v/>
      </c>
      <c r="Q595" s="69">
        <f>IF($J595="","",IFERROR(INDEX(B!$I$2:$I$61,MATCH($J595,B!$E$2:$E$61,0))&amp;"",""))</f>
        <v/>
      </c>
      <c r="R595" s="69">
        <f>IF($J595="","",IFERROR(INDEX(B!$J$2:$J$61,MATCH($J595,B!$E$2:$E$61,0))&amp;"",""))</f>
        <v/>
      </c>
      <c r="S595" s="69">
        <f>IF($J595="","",IFERROR(INDEX(B!$K$2:$K$61,MATCH($J595,B!$E$2:$E$61,0))&amp;"",""))</f>
        <v/>
      </c>
      <c r="T595" s="69">
        <f>IF($J595="","",IFERROR(INDEX(B!$L$2:$L$61,MATCH($J595,B!$E$2:$E$61,0))&amp;"",""))</f>
        <v/>
      </c>
      <c r="U595" s="20" t="n"/>
      <c r="V595" s="70">
        <f>IF($J595="","",IFERROR(INDEX(B!$M$2:$M$61,MATCH($J595,B!$E$2:$E$61,0))&amp;"",""))</f>
        <v/>
      </c>
      <c r="W595" s="71">
        <f>IF(I595="","",IFERROR(MID(I595,FIND("/d/",I595)+3,FIND("/edit",I595)-FIND("/d/",I595)-3),I595))</f>
        <v/>
      </c>
      <c r="X595" s="71">
        <f>IF($J595="","",IFERROR(INDEX(B!$C$2:$C$61,MATCH($J595,B!$E$2:$E$61,0))&amp;"",""))</f>
        <v/>
      </c>
      <c r="Y595" s="20" t="n"/>
      <c r="Z595" s="72">
        <f>IF($J595="",FALSE,ISNUMBER(SEARCH("scout",$K595)))</f>
        <v/>
      </c>
      <c r="AA595" s="72">
        <f>IF($J595="",FALSE,IFERROR(INDEX(B!$N$2:$N$61,MATCH($J595,B!$E$2:$E$61,0))="Sim",FALSE))</f>
        <v/>
      </c>
      <c r="AB595" s="72">
        <f>IF($J595="",FALSE,LEFT($X595,2)="XX")</f>
        <v/>
      </c>
      <c r="AC595" s="72">
        <f>IF($J595="",FALSE,IFERROR(INDEX(B!$P$2:$P$61,MATCH($J595,B!$E$2:$E$61,0))="Sim",FALSE))</f>
        <v/>
      </c>
      <c r="AD595" s="20" t="n"/>
      <c r="AE595" s="52">
        <f>IF(H595="","",HOUR(H595))</f>
        <v/>
      </c>
      <c r="AF595" s="52" t="n"/>
    </row>
    <row r="596" ht="19.5" customHeight="1" s="58">
      <c r="A596" s="62">
        <f>IF(G596="","",IF(G596=G595,"",COUNTIF($G$3:$G$976,G596)))</f>
        <v/>
      </c>
      <c r="B596" s="20" t="n"/>
      <c r="C596" s="63">
        <f>IF(G596="","",DAY(G596))</f>
        <v/>
      </c>
      <c r="D596" s="63">
        <f>IF(G596="","",MONTH(G596))</f>
        <v/>
      </c>
      <c r="E596" s="63">
        <f>IF(G596="","",YEAR(G596))</f>
        <v/>
      </c>
      <c r="F596" s="33">
        <f>IF(G596="","",CHOOSE(MONTH(G596),"Janeiro","Fevereiro","Março","Abril","Maio","Junho","Julho","Agosto","Setembro","Outubro","Novembro","Dezembro"))</f>
        <v/>
      </c>
      <c r="G596" s="64" t="n">
        <v>46071</v>
      </c>
      <c r="H596" s="65" t="n">
        <v>0.07064814814814815</v>
      </c>
      <c r="I596" s="66" t="inlineStr">
        <is>
          <t>https://docs.google.com/spreadsheets/d/1ZiCGoPjLCjuYvujDTXK9Ixbth3tekiLtFBzBrGjPCr4/edit?gid=0#gid=0</t>
        </is>
      </c>
      <c r="J596" s="67" t="inlineStr">
        <is>
          <t>Overpaid, Não excede o limite, Com comprovante - [OPNC]</t>
        </is>
      </c>
      <c r="K596" s="67" t="inlineStr">
        <is>
          <t>Scout</t>
        </is>
      </c>
      <c r="L596" s="68" t="b">
        <v>1</v>
      </c>
      <c r="M596" s="20" t="n"/>
      <c r="N596" s="69">
        <f>IF($J596="","",IFERROR(INDEX(B!$F$2:$F$61,MATCH($J596,B!$E$2:$E$61,0))&amp;"",""))</f>
        <v/>
      </c>
      <c r="O596" s="69">
        <f>IF($J596="","",IFERROR(INDEX(B!$G$2:$G$61,MATCH($J596,B!$E$2:$E$61,0))&amp;"",""))</f>
        <v/>
      </c>
      <c r="P596" s="69">
        <f>IF($J596="","",IFERROR(INDEX(B!$H$2:$H$61,MATCH($J596,B!$E$2:$E$61,0))&amp;"",""))</f>
        <v/>
      </c>
      <c r="Q596" s="69">
        <f>IF($J596="","",IFERROR(INDEX(B!$I$2:$I$61,MATCH($J596,B!$E$2:$E$61,0))&amp;"",""))</f>
        <v/>
      </c>
      <c r="R596" s="69">
        <f>IF($J596="","",IFERROR(INDEX(B!$J$2:$J$61,MATCH($J596,B!$E$2:$E$61,0))&amp;"",""))</f>
        <v/>
      </c>
      <c r="S596" s="69">
        <f>IF($J596="","",IFERROR(INDEX(B!$K$2:$K$61,MATCH($J596,B!$E$2:$E$61,0))&amp;"",""))</f>
        <v/>
      </c>
      <c r="T596" s="69">
        <f>IF($J596="","",IFERROR(INDEX(B!$L$2:$L$61,MATCH($J596,B!$E$2:$E$61,0))&amp;"",""))</f>
        <v/>
      </c>
      <c r="U596" s="20" t="n"/>
      <c r="V596" s="70">
        <f>IF($J596="","",IFERROR(INDEX(B!$M$2:$M$61,MATCH($J596,B!$E$2:$E$61,0))&amp;"",""))</f>
        <v/>
      </c>
      <c r="W596" s="71">
        <f>IF(I596="","",IFERROR(MID(I596,FIND("/d/",I596)+3,FIND("/edit",I596)-FIND("/d/",I596)-3),I596))</f>
        <v/>
      </c>
      <c r="X596" s="71">
        <f>IF($J596="","",IFERROR(INDEX(B!$C$2:$C$61,MATCH($J596,B!$E$2:$E$61,0))&amp;"",""))</f>
        <v/>
      </c>
      <c r="Y596" s="20" t="n"/>
      <c r="Z596" s="72">
        <f>IF($J596="",FALSE,ISNUMBER(SEARCH("scout",$K596)))</f>
        <v/>
      </c>
      <c r="AA596" s="72">
        <f>IF($J596="",FALSE,IFERROR(INDEX(B!$N$2:$N$61,MATCH($J596,B!$E$2:$E$61,0))="Sim",FALSE))</f>
        <v/>
      </c>
      <c r="AB596" s="72">
        <f>IF($J596="",FALSE,LEFT($X596,2)="XX")</f>
        <v/>
      </c>
      <c r="AC596" s="72">
        <f>IF($J596="",FALSE,IFERROR(INDEX(B!$P$2:$P$61,MATCH($J596,B!$E$2:$E$61,0))="Sim",FALSE))</f>
        <v/>
      </c>
      <c r="AD596" s="20" t="n"/>
      <c r="AE596" s="52">
        <f>IF(H596="","",HOUR(H596))</f>
        <v/>
      </c>
      <c r="AF596" s="52" t="n"/>
    </row>
    <row r="597" ht="19.5" customHeight="1" s="58">
      <c r="A597" s="62">
        <f>IF(G597="","",IF(G597=G596,"",COUNTIF($G$3:$G$976,G597)))</f>
        <v/>
      </c>
      <c r="B597" s="20" t="n"/>
      <c r="C597" s="63">
        <f>IF(G597="","",DAY(G597))</f>
        <v/>
      </c>
      <c r="D597" s="63">
        <f>IF(G597="","",MONTH(G597))</f>
        <v/>
      </c>
      <c r="E597" s="63">
        <f>IF(G597="","",YEAR(G597))</f>
        <v/>
      </c>
      <c r="F597" s="33">
        <f>IF(G597="","",CHOOSE(MONTH(G597),"Janeiro","Fevereiro","Março","Abril","Maio","Junho","Julho","Agosto","Setembro","Outubro","Novembro","Dezembro"))</f>
        <v/>
      </c>
      <c r="G597" s="64" t="n">
        <v>46071</v>
      </c>
      <c r="H597" s="65" t="n">
        <v>0.0749537037037037</v>
      </c>
      <c r="I597" s="66" t="inlineStr">
        <is>
          <t>https://docs.google.com/spreadsheets/d/1ZiCGoPjLCjuYvujDTXK9Ixbth3tekiLtFBzBrGjPCr4/edit?gid=0#gid=0</t>
        </is>
      </c>
      <c r="J597" s="67" t="inlineStr">
        <is>
          <t>Não houve Taxa de Cancelamento - [NTX]</t>
        </is>
      </c>
      <c r="K597" s="67" t="inlineStr"/>
      <c r="L597" s="68" t="b">
        <v>0</v>
      </c>
      <c r="M597" s="20" t="n"/>
      <c r="N597" s="69">
        <f>IF($J597="","",IFERROR(INDEX(B!$F$2:$F$61,MATCH($J597,B!$E$2:$E$61,0))&amp;"",""))</f>
        <v/>
      </c>
      <c r="O597" s="69">
        <f>IF($J597="","",IFERROR(INDEX(B!$G$2:$G$61,MATCH($J597,B!$E$2:$E$61,0))&amp;"",""))</f>
        <v/>
      </c>
      <c r="P597" s="69">
        <f>IF($J597="","",IFERROR(INDEX(B!$H$2:$H$61,MATCH($J597,B!$E$2:$E$61,0))&amp;"",""))</f>
        <v/>
      </c>
      <c r="Q597" s="69">
        <f>IF($J597="","",IFERROR(INDEX(B!$I$2:$I$61,MATCH($J597,B!$E$2:$E$61,0))&amp;"",""))</f>
        <v/>
      </c>
      <c r="R597" s="69">
        <f>IF($J597="","",IFERROR(INDEX(B!$J$2:$J$61,MATCH($J597,B!$E$2:$E$61,0))&amp;"",""))</f>
        <v/>
      </c>
      <c r="S597" s="69">
        <f>IF($J597="","",IFERROR(INDEX(B!$K$2:$K$61,MATCH($J597,B!$E$2:$E$61,0))&amp;"",""))</f>
        <v/>
      </c>
      <c r="T597" s="69">
        <f>IF($J597="","",IFERROR(INDEX(B!$L$2:$L$61,MATCH($J597,B!$E$2:$E$61,0))&amp;"",""))</f>
        <v/>
      </c>
      <c r="U597" s="20" t="n"/>
      <c r="V597" s="70">
        <f>IF($J597="","",IFERROR(INDEX(B!$M$2:$M$61,MATCH($J597,B!$E$2:$E$61,0))&amp;"",""))</f>
        <v/>
      </c>
      <c r="W597" s="71">
        <f>IF(I597="","",IFERROR(MID(I597,FIND("/d/",I597)+3,FIND("/edit",I597)-FIND("/d/",I597)-3),I597))</f>
        <v/>
      </c>
      <c r="X597" s="71">
        <f>IF($J597="","",IFERROR(INDEX(B!$C$2:$C$61,MATCH($J597,B!$E$2:$E$61,0))&amp;"",""))</f>
        <v/>
      </c>
      <c r="Y597" s="20" t="n"/>
      <c r="Z597" s="72">
        <f>IF($J597="",FALSE,ISNUMBER(SEARCH("scout",$K597)))</f>
        <v/>
      </c>
      <c r="AA597" s="72">
        <f>IF($J597="",FALSE,IFERROR(INDEX(B!$N$2:$N$61,MATCH($J597,B!$E$2:$E$61,0))="Sim",FALSE))</f>
        <v/>
      </c>
      <c r="AB597" s="72">
        <f>IF($J597="",FALSE,LEFT($X597,2)="XX")</f>
        <v/>
      </c>
      <c r="AC597" s="72">
        <f>IF($J597="",FALSE,IFERROR(INDEX(B!$P$2:$P$61,MATCH($J597,B!$E$2:$E$61,0))="Sim",FALSE))</f>
        <v/>
      </c>
      <c r="AD597" s="20" t="n"/>
      <c r="AE597" s="52">
        <f>IF(H597="","",HOUR(H597))</f>
        <v/>
      </c>
      <c r="AF597" s="52" t="n"/>
    </row>
    <row r="598" ht="19.5" customHeight="1" s="58">
      <c r="A598" s="62">
        <f>IF(G598="","",IF(G598=G597,"",COUNTIF($G$3:$G$976,G598)))</f>
        <v/>
      </c>
      <c r="B598" s="20" t="n"/>
      <c r="C598" s="63">
        <f>IF(G598="","",DAY(G598))</f>
        <v/>
      </c>
      <c r="D598" s="63">
        <f>IF(G598="","",MONTH(G598))</f>
        <v/>
      </c>
      <c r="E598" s="63">
        <f>IF(G598="","",YEAR(G598))</f>
        <v/>
      </c>
      <c r="F598" s="33">
        <f>IF(G598="","",CHOOSE(MONTH(G598),"Janeiro","Fevereiro","Março","Abril","Maio","Junho","Julho","Agosto","Setembro","Outubro","Novembro","Dezembro"))</f>
        <v/>
      </c>
      <c r="G598" s="64" t="n">
        <v>46071</v>
      </c>
      <c r="H598" s="65" t="n">
        <v>0.07688657407407408</v>
      </c>
      <c r="I598" s="66" t="inlineStr">
        <is>
          <t>https://docs.google.com/spreadsheets/d/1ZiCGoPjLCjuYvujDTXK9Ixbth3tekiLtFBzBrGjPCr4/edit?gid=0#gid=0</t>
        </is>
      </c>
      <c r="J598" s="67" t="inlineStr">
        <is>
          <t>Transferência de LOB (Geral não especificado) - [TI]</t>
        </is>
      </c>
      <c r="K598" s="67" t="inlineStr"/>
      <c r="L598" s="68" t="b">
        <v>0</v>
      </c>
      <c r="M598" s="20" t="n"/>
      <c r="N598" s="69">
        <f>IF($J598="","",IFERROR(INDEX(B!$F$2:$F$61,MATCH($J598,B!$E$2:$E$61,0))&amp;"",""))</f>
        <v/>
      </c>
      <c r="O598" s="69">
        <f>IF($J598="","",IFERROR(INDEX(B!$G$2:$G$61,MATCH($J598,B!$E$2:$E$61,0))&amp;"",""))</f>
        <v/>
      </c>
      <c r="P598" s="69">
        <f>IF($J598="","",IFERROR(INDEX(B!$H$2:$H$61,MATCH($J598,B!$E$2:$E$61,0))&amp;"",""))</f>
        <v/>
      </c>
      <c r="Q598" s="69">
        <f>IF($J598="","",IFERROR(INDEX(B!$I$2:$I$61,MATCH($J598,B!$E$2:$E$61,0))&amp;"",""))</f>
        <v/>
      </c>
      <c r="R598" s="69">
        <f>IF($J598="","",IFERROR(INDEX(B!$J$2:$J$61,MATCH($J598,B!$E$2:$E$61,0))&amp;"",""))</f>
        <v/>
      </c>
      <c r="S598" s="69">
        <f>IF($J598="","",IFERROR(INDEX(B!$K$2:$K$61,MATCH($J598,B!$E$2:$E$61,0))&amp;"",""))</f>
        <v/>
      </c>
      <c r="T598" s="69">
        <f>IF($J598="","",IFERROR(INDEX(B!$L$2:$L$61,MATCH($J598,B!$E$2:$E$61,0))&amp;"",""))</f>
        <v/>
      </c>
      <c r="U598" s="20" t="n"/>
      <c r="V598" s="70">
        <f>IF($J598="","",IFERROR(INDEX(B!$M$2:$M$61,MATCH($J598,B!$E$2:$E$61,0))&amp;"",""))</f>
        <v/>
      </c>
      <c r="W598" s="71">
        <f>IF(I598="","",IFERROR(MID(I598,FIND("/d/",I598)+3,FIND("/edit",I598)-FIND("/d/",I598)-3),I598))</f>
        <v/>
      </c>
      <c r="X598" s="71">
        <f>IF($J598="","",IFERROR(INDEX(B!$C$2:$C$61,MATCH($J598,B!$E$2:$E$61,0))&amp;"",""))</f>
        <v/>
      </c>
      <c r="Y598" s="20" t="n"/>
      <c r="Z598" s="72">
        <f>IF($J598="",FALSE,ISNUMBER(SEARCH("scout",$K598)))</f>
        <v/>
      </c>
      <c r="AA598" s="72">
        <f>IF($J598="",FALSE,IFERROR(INDEX(B!$N$2:$N$61,MATCH($J598,B!$E$2:$E$61,0))="Sim",FALSE))</f>
        <v/>
      </c>
      <c r="AB598" s="72">
        <f>IF($J598="",FALSE,LEFT($X598,2)="XX")</f>
        <v/>
      </c>
      <c r="AC598" s="72">
        <f>IF($J598="",FALSE,IFERROR(INDEX(B!$P$2:$P$61,MATCH($J598,B!$E$2:$E$61,0))="Sim",FALSE))</f>
        <v/>
      </c>
      <c r="AD598" s="20" t="n"/>
      <c r="AE598" s="52">
        <f>IF(H598="","",HOUR(H598))</f>
        <v/>
      </c>
      <c r="AF598" s="52" t="n"/>
    </row>
    <row r="599" ht="19.5" customHeight="1" s="58">
      <c r="A599" s="62">
        <f>IF(G599="","",IF(G599=G598,"",COUNTIF($G$3:$G$976,G599)))</f>
        <v/>
      </c>
      <c r="B599" s="20" t="n"/>
      <c r="C599" s="63">
        <f>IF(G599="","",DAY(G599))</f>
        <v/>
      </c>
      <c r="D599" s="63">
        <f>IF(G599="","",MONTH(G599))</f>
        <v/>
      </c>
      <c r="E599" s="63">
        <f>IF(G599="","",YEAR(G599))</f>
        <v/>
      </c>
      <c r="F599" s="33">
        <f>IF(G599="","",CHOOSE(MONTH(G599),"Janeiro","Fevereiro","Março","Abril","Maio","Junho","Julho","Agosto","Setembro","Outubro","Novembro","Dezembro"))</f>
        <v/>
      </c>
      <c r="G599" s="64" t="n">
        <v>46071</v>
      </c>
      <c r="H599" s="65" t="n">
        <v>0.07695601851851852</v>
      </c>
      <c r="I599" s="66" t="inlineStr">
        <is>
          <t>https://docs.google.com/spreadsheets/d/1ZiCGoPjLCjuYvujDTXK9Ixbth3tekiLtFBzBrGjPCr4/edit?gid=0#gid=0</t>
        </is>
      </c>
      <c r="J599" s="67" t="inlineStr">
        <is>
          <t>Overpaid, Excede o limite, Sem comprovante - [OPEN]</t>
        </is>
      </c>
      <c r="K599" s="67" t="inlineStr"/>
      <c r="L599" s="68" t="b">
        <v>0</v>
      </c>
      <c r="M599" s="20" t="n"/>
      <c r="N599" s="69">
        <f>IF($J599="","",IFERROR(INDEX(B!$F$2:$F$61,MATCH($J599,B!$E$2:$E$61,0))&amp;"",""))</f>
        <v/>
      </c>
      <c r="O599" s="69">
        <f>IF($J599="","",IFERROR(INDEX(B!$G$2:$G$61,MATCH($J599,B!$E$2:$E$61,0))&amp;"",""))</f>
        <v/>
      </c>
      <c r="P599" s="69">
        <f>IF($J599="","",IFERROR(INDEX(B!$H$2:$H$61,MATCH($J599,B!$E$2:$E$61,0))&amp;"",""))</f>
        <v/>
      </c>
      <c r="Q599" s="69">
        <f>IF($J599="","",IFERROR(INDEX(B!$I$2:$I$61,MATCH($J599,B!$E$2:$E$61,0))&amp;"",""))</f>
        <v/>
      </c>
      <c r="R599" s="69">
        <f>IF($J599="","",IFERROR(INDEX(B!$J$2:$J$61,MATCH($J599,B!$E$2:$E$61,0))&amp;"",""))</f>
        <v/>
      </c>
      <c r="S599" s="69">
        <f>IF($J599="","",IFERROR(INDEX(B!$K$2:$K$61,MATCH($J599,B!$E$2:$E$61,0))&amp;"",""))</f>
        <v/>
      </c>
      <c r="T599" s="69">
        <f>IF($J599="","",IFERROR(INDEX(B!$L$2:$L$61,MATCH($J599,B!$E$2:$E$61,0))&amp;"",""))</f>
        <v/>
      </c>
      <c r="U599" s="20" t="n"/>
      <c r="V599" s="70">
        <f>IF($J599="","",IFERROR(INDEX(B!$M$2:$M$61,MATCH($J599,B!$E$2:$E$61,0))&amp;"",""))</f>
        <v/>
      </c>
      <c r="W599" s="71">
        <f>IF(I599="","",IFERROR(MID(I599,FIND("/d/",I599)+3,FIND("/edit",I599)-FIND("/d/",I599)-3),I599))</f>
        <v/>
      </c>
      <c r="X599" s="71">
        <f>IF($J599="","",IFERROR(INDEX(B!$C$2:$C$61,MATCH($J599,B!$E$2:$E$61,0))&amp;"",""))</f>
        <v/>
      </c>
      <c r="Y599" s="20" t="n"/>
      <c r="Z599" s="72">
        <f>IF($J599="",FALSE,ISNUMBER(SEARCH("scout",$K599)))</f>
        <v/>
      </c>
      <c r="AA599" s="72">
        <f>IF($J599="",FALSE,IFERROR(INDEX(B!$N$2:$N$61,MATCH($J599,B!$E$2:$E$61,0))="Sim",FALSE))</f>
        <v/>
      </c>
      <c r="AB599" s="72">
        <f>IF($J599="",FALSE,LEFT($X599,2)="XX")</f>
        <v/>
      </c>
      <c r="AC599" s="72">
        <f>IF($J599="",FALSE,IFERROR(INDEX(B!$P$2:$P$61,MATCH($J599,B!$E$2:$E$61,0))="Sim",FALSE))</f>
        <v/>
      </c>
      <c r="AD599" s="20" t="n"/>
      <c r="AE599" s="52">
        <f>IF(H599="","",HOUR(H599))</f>
        <v/>
      </c>
      <c r="AF599" s="52" t="n"/>
    </row>
    <row r="600" ht="19.5" customHeight="1" s="58">
      <c r="A600" s="62">
        <f>IF(G600="","",IF(G600=G599,"",COUNTIF($G$3:$G$976,G600)))</f>
        <v/>
      </c>
      <c r="B600" s="20" t="n"/>
      <c r="C600" s="63">
        <f>IF(G600="","",DAY(G600))</f>
        <v/>
      </c>
      <c r="D600" s="63">
        <f>IF(G600="","",MONTH(G600))</f>
        <v/>
      </c>
      <c r="E600" s="63">
        <f>IF(G600="","",YEAR(G600))</f>
        <v/>
      </c>
      <c r="F600" s="33">
        <f>IF(G600="","",CHOOSE(MONTH(G600),"Janeiro","Fevereiro","Março","Abril","Maio","Junho","Julho","Agosto","Setembro","Outubro","Novembro","Dezembro"))</f>
        <v/>
      </c>
      <c r="G600" s="64" t="n">
        <v>46071</v>
      </c>
      <c r="H600" s="65" t="n">
        <v>0.09270833333333334</v>
      </c>
      <c r="I600" s="66" t="inlineStr">
        <is>
          <t>https://docs.google.com/spreadsheets/d/1ZiCGoPjLCjuYvujDTXK9Ixbth3tekiLtFBzBrGjPCr4/edit?gid=0#gid=0</t>
        </is>
      </c>
      <c r="J600" s="67" t="inlineStr">
        <is>
          <t>Overpaid, Não excede o limite, Sem comprovante - [OPNN]</t>
        </is>
      </c>
      <c r="K600" s="67" t="inlineStr"/>
      <c r="L600" s="68" t="b">
        <v>0</v>
      </c>
      <c r="M600" s="20" t="n"/>
      <c r="N600" s="69">
        <f>IF($J600="","",IFERROR(INDEX(B!$F$2:$F$61,MATCH($J600,B!$E$2:$E$61,0))&amp;"",""))</f>
        <v/>
      </c>
      <c r="O600" s="69">
        <f>IF($J600="","",IFERROR(INDEX(B!$G$2:$G$61,MATCH($J600,B!$E$2:$E$61,0))&amp;"",""))</f>
        <v/>
      </c>
      <c r="P600" s="69">
        <f>IF($J600="","",IFERROR(INDEX(B!$H$2:$H$61,MATCH($J600,B!$E$2:$E$61,0))&amp;"",""))</f>
        <v/>
      </c>
      <c r="Q600" s="69">
        <f>IF($J600="","",IFERROR(INDEX(B!$I$2:$I$61,MATCH($J600,B!$E$2:$E$61,0))&amp;"",""))</f>
        <v/>
      </c>
      <c r="R600" s="69">
        <f>IF($J600="","",IFERROR(INDEX(B!$J$2:$J$61,MATCH($J600,B!$E$2:$E$61,0))&amp;"",""))</f>
        <v/>
      </c>
      <c r="S600" s="69">
        <f>IF($J600="","",IFERROR(INDEX(B!$K$2:$K$61,MATCH($J600,B!$E$2:$E$61,0))&amp;"",""))</f>
        <v/>
      </c>
      <c r="T600" s="69">
        <f>IF($J600="","",IFERROR(INDEX(B!$L$2:$L$61,MATCH($J600,B!$E$2:$E$61,0))&amp;"",""))</f>
        <v/>
      </c>
      <c r="U600" s="20" t="n"/>
      <c r="V600" s="70">
        <f>IF($J600="","",IFERROR(INDEX(B!$M$2:$M$61,MATCH($J600,B!$E$2:$E$61,0))&amp;"",""))</f>
        <v/>
      </c>
      <c r="W600" s="71">
        <f>IF(I600="","",IFERROR(MID(I600,FIND("/d/",I600)+3,FIND("/edit",I600)-FIND("/d/",I600)-3),I600))</f>
        <v/>
      </c>
      <c r="X600" s="71">
        <f>IF($J600="","",IFERROR(INDEX(B!$C$2:$C$61,MATCH($J600,B!$E$2:$E$61,0))&amp;"",""))</f>
        <v/>
      </c>
      <c r="Y600" s="20" t="n"/>
      <c r="Z600" s="72">
        <f>IF($J600="",FALSE,ISNUMBER(SEARCH("scout",$K600)))</f>
        <v/>
      </c>
      <c r="AA600" s="72">
        <f>IF($J600="",FALSE,IFERROR(INDEX(B!$N$2:$N$61,MATCH($J600,B!$E$2:$E$61,0))="Sim",FALSE))</f>
        <v/>
      </c>
      <c r="AB600" s="72">
        <f>IF($J600="",FALSE,LEFT($X600,2)="XX")</f>
        <v/>
      </c>
      <c r="AC600" s="72">
        <f>IF($J600="",FALSE,IFERROR(INDEX(B!$P$2:$P$61,MATCH($J600,B!$E$2:$E$61,0))="Sim",FALSE))</f>
        <v/>
      </c>
      <c r="AD600" s="20" t="n"/>
      <c r="AE600" s="52">
        <f>IF(H600="","",HOUR(H600))</f>
        <v/>
      </c>
      <c r="AF600" s="52" t="n"/>
    </row>
    <row r="601" ht="19.5" customHeight="1" s="58">
      <c r="A601" s="62">
        <f>IF(G601="","",IF(G601=G600,"",COUNTIF($G$3:$G$976,G601)))</f>
        <v/>
      </c>
      <c r="B601" s="20" t="n"/>
      <c r="C601" s="63">
        <f>IF(G601="","",DAY(G601))</f>
        <v/>
      </c>
      <c r="D601" s="63">
        <f>IF(G601="","",MONTH(G601))</f>
        <v/>
      </c>
      <c r="E601" s="63">
        <f>IF(G601="","",YEAR(G601))</f>
        <v/>
      </c>
      <c r="F601" s="33">
        <f>IF(G601="","",CHOOSE(MONTH(G601),"Janeiro","Fevereiro","Março","Abril","Maio","Junho","Julho","Agosto","Setembro","Outubro","Novembro","Dezembro"))</f>
        <v/>
      </c>
      <c r="G601" s="64" t="n">
        <v>46071</v>
      </c>
      <c r="H601" s="65" t="n">
        <v>0.09354166666666666</v>
      </c>
      <c r="I601" s="66" t="inlineStr">
        <is>
          <t>https://docs.google.com/spreadsheets/d/1ZiCGoPjLCjuYvujDTXK9Ixbth3tekiLtFBzBrGjPCr4/edit?gid=0#gid=0</t>
        </is>
      </c>
      <c r="J601" s="67" t="inlineStr">
        <is>
          <t>No Need Response (Não precisa de resposta) - [NRN]</t>
        </is>
      </c>
      <c r="K601" s="67" t="inlineStr"/>
      <c r="L601" s="68" t="b">
        <v>0</v>
      </c>
      <c r="M601" s="20" t="n"/>
      <c r="N601" s="69">
        <f>IF($J601="","",IFERROR(INDEX(B!$F$2:$F$61,MATCH($J601,B!$E$2:$E$61,0))&amp;"",""))</f>
        <v/>
      </c>
      <c r="O601" s="69">
        <f>IF($J601="","",IFERROR(INDEX(B!$G$2:$G$61,MATCH($J601,B!$E$2:$E$61,0))&amp;"",""))</f>
        <v/>
      </c>
      <c r="P601" s="69">
        <f>IF($J601="","",IFERROR(INDEX(B!$H$2:$H$61,MATCH($J601,B!$E$2:$E$61,0))&amp;"",""))</f>
        <v/>
      </c>
      <c r="Q601" s="69">
        <f>IF($J601="","",IFERROR(INDEX(B!$I$2:$I$61,MATCH($J601,B!$E$2:$E$61,0))&amp;"",""))</f>
        <v/>
      </c>
      <c r="R601" s="69">
        <f>IF($J601="","",IFERROR(INDEX(B!$J$2:$J$61,MATCH($J601,B!$E$2:$E$61,0))&amp;"",""))</f>
        <v/>
      </c>
      <c r="S601" s="69">
        <f>IF($J601="","",IFERROR(INDEX(B!$K$2:$K$61,MATCH($J601,B!$E$2:$E$61,0))&amp;"",""))</f>
        <v/>
      </c>
      <c r="T601" s="69">
        <f>IF($J601="","",IFERROR(INDEX(B!$L$2:$L$61,MATCH($J601,B!$E$2:$E$61,0))&amp;"",""))</f>
        <v/>
      </c>
      <c r="U601" s="20" t="n"/>
      <c r="V601" s="70">
        <f>IF($J601="","",IFERROR(INDEX(B!$M$2:$M$61,MATCH($J601,B!$E$2:$E$61,0))&amp;"",""))</f>
        <v/>
      </c>
      <c r="W601" s="71">
        <f>IF(I601="","",IFERROR(MID(I601,FIND("/d/",I601)+3,FIND("/edit",I601)-FIND("/d/",I601)-3),I601))</f>
        <v/>
      </c>
      <c r="X601" s="71">
        <f>IF($J601="","",IFERROR(INDEX(B!$C$2:$C$61,MATCH($J601,B!$E$2:$E$61,0))&amp;"",""))</f>
        <v/>
      </c>
      <c r="Y601" s="20" t="n"/>
      <c r="Z601" s="72">
        <f>IF($J601="",FALSE,ISNUMBER(SEARCH("scout",$K601)))</f>
        <v/>
      </c>
      <c r="AA601" s="72">
        <f>IF($J601="",FALSE,IFERROR(INDEX(B!$N$2:$N$61,MATCH($J601,B!$E$2:$E$61,0))="Sim",FALSE))</f>
        <v/>
      </c>
      <c r="AB601" s="72">
        <f>IF($J601="",FALSE,LEFT($X601,2)="XX")</f>
        <v/>
      </c>
      <c r="AC601" s="72">
        <f>IF($J601="",FALSE,IFERROR(INDEX(B!$P$2:$P$61,MATCH($J601,B!$E$2:$E$61,0))="Sim",FALSE))</f>
        <v/>
      </c>
      <c r="AD601" s="20" t="n"/>
      <c r="AE601" s="52">
        <f>IF(H601="","",HOUR(H601))</f>
        <v/>
      </c>
      <c r="AF601" s="52" t="n"/>
    </row>
    <row r="602" ht="19.5" customHeight="1" s="58">
      <c r="A602" s="62">
        <f>IF(G602="","",IF(G602=G601,"",COUNTIF($G$3:$G$976,G602)))</f>
        <v/>
      </c>
      <c r="B602" s="20" t="n"/>
      <c r="C602" s="63">
        <f>IF(G602="","",DAY(G602))</f>
        <v/>
      </c>
      <c r="D602" s="63">
        <f>IF(G602="","",MONTH(G602))</f>
        <v/>
      </c>
      <c r="E602" s="63">
        <f>IF(G602="","",YEAR(G602))</f>
        <v/>
      </c>
      <c r="F602" s="33">
        <f>IF(G602="","",CHOOSE(MONTH(G602),"Janeiro","Fevereiro","Março","Abril","Maio","Junho","Julho","Agosto","Setembro","Outubro","Novembro","Dezembro"))</f>
        <v/>
      </c>
      <c r="G602" s="64" t="n">
        <v>46071</v>
      </c>
      <c r="H602" s="65" t="n">
        <v>0.09386574074074074</v>
      </c>
      <c r="I602" s="66" t="inlineStr">
        <is>
          <t>https://docs.google.com/spreadsheets/d/1ZiCGoPjLCjuYvujDTXK9Ixbth3tekiLtFBzBrGjPCr4/edit?gid=0#gid=0</t>
        </is>
      </c>
      <c r="J602" s="67" t="inlineStr">
        <is>
          <t>Transferência de LOB (Geral não especificado) - [TI]</t>
        </is>
      </c>
      <c r="K602" s="67" t="inlineStr"/>
      <c r="L602" s="68" t="b">
        <v>0</v>
      </c>
      <c r="M602" s="20" t="n"/>
      <c r="N602" s="69">
        <f>IF($J602="","",IFERROR(INDEX(B!$F$2:$F$61,MATCH($J602,B!$E$2:$E$61,0))&amp;"",""))</f>
        <v/>
      </c>
      <c r="O602" s="69">
        <f>IF($J602="","",IFERROR(INDEX(B!$G$2:$G$61,MATCH($J602,B!$E$2:$E$61,0))&amp;"",""))</f>
        <v/>
      </c>
      <c r="P602" s="69">
        <f>IF($J602="","",IFERROR(INDEX(B!$H$2:$H$61,MATCH($J602,B!$E$2:$E$61,0))&amp;"",""))</f>
        <v/>
      </c>
      <c r="Q602" s="69">
        <f>IF($J602="","",IFERROR(INDEX(B!$I$2:$I$61,MATCH($J602,B!$E$2:$E$61,0))&amp;"",""))</f>
        <v/>
      </c>
      <c r="R602" s="69">
        <f>IF($J602="","",IFERROR(INDEX(B!$J$2:$J$61,MATCH($J602,B!$E$2:$E$61,0))&amp;"",""))</f>
        <v/>
      </c>
      <c r="S602" s="69">
        <f>IF($J602="","",IFERROR(INDEX(B!$K$2:$K$61,MATCH($J602,B!$E$2:$E$61,0))&amp;"",""))</f>
        <v/>
      </c>
      <c r="T602" s="69">
        <f>IF($J602="","",IFERROR(INDEX(B!$L$2:$L$61,MATCH($J602,B!$E$2:$E$61,0))&amp;"",""))</f>
        <v/>
      </c>
      <c r="U602" s="20" t="n"/>
      <c r="V602" s="70">
        <f>IF($J602="","",IFERROR(INDEX(B!$M$2:$M$61,MATCH($J602,B!$E$2:$E$61,0))&amp;"",""))</f>
        <v/>
      </c>
      <c r="W602" s="71">
        <f>IF(I602="","",IFERROR(MID(I602,FIND("/d/",I602)+3,FIND("/edit",I602)-FIND("/d/",I602)-3),I602))</f>
        <v/>
      </c>
      <c r="X602" s="71">
        <f>IF($J602="","",IFERROR(INDEX(B!$C$2:$C$61,MATCH($J602,B!$E$2:$E$61,0))&amp;"",""))</f>
        <v/>
      </c>
      <c r="Y602" s="20" t="n"/>
      <c r="Z602" s="72">
        <f>IF($J602="",FALSE,ISNUMBER(SEARCH("scout",$K602)))</f>
        <v/>
      </c>
      <c r="AA602" s="72">
        <f>IF($J602="",FALSE,IFERROR(INDEX(B!$N$2:$N$61,MATCH($J602,B!$E$2:$E$61,0))="Sim",FALSE))</f>
        <v/>
      </c>
      <c r="AB602" s="72">
        <f>IF($J602="",FALSE,LEFT($X602,2)="XX")</f>
        <v/>
      </c>
      <c r="AC602" s="72">
        <f>IF($J602="",FALSE,IFERROR(INDEX(B!$P$2:$P$61,MATCH($J602,B!$E$2:$E$61,0))="Sim",FALSE))</f>
        <v/>
      </c>
      <c r="AD602" s="20" t="n"/>
      <c r="AE602" s="52">
        <f>IF(H602="","",HOUR(H602))</f>
        <v/>
      </c>
      <c r="AF602" s="52" t="n"/>
    </row>
    <row r="603" ht="19.5" customHeight="1" s="58">
      <c r="A603" s="62">
        <f>IF(G603="","",IF(G603=G602,"",COUNTIF($G$3:$G$976,G603)))</f>
        <v/>
      </c>
      <c r="B603" s="20" t="n"/>
      <c r="C603" s="63">
        <f>IF(G603="","",DAY(G603))</f>
        <v/>
      </c>
      <c r="D603" s="63">
        <f>IF(G603="","",MONTH(G603))</f>
        <v/>
      </c>
      <c r="E603" s="63">
        <f>IF(G603="","",YEAR(G603))</f>
        <v/>
      </c>
      <c r="F603" s="33">
        <f>IF(G603="","",CHOOSE(MONTH(G603),"Janeiro","Fevereiro","Março","Abril","Maio","Junho","Julho","Agosto","Setembro","Outubro","Novembro","Dezembro"))</f>
        <v/>
      </c>
      <c r="G603" s="64" t="n">
        <v>46071</v>
      </c>
      <c r="H603" s="65" t="n">
        <v>0.09392361111111111</v>
      </c>
      <c r="I603" s="66" t="inlineStr">
        <is>
          <t>https://docs.google.com/spreadsheets/d/1ZiCGoPjLCjuYvujDTXK9Ixbth3tekiLtFBzBrGjPCr4/edit?gid=0#gid=0</t>
        </is>
      </c>
      <c r="J603" s="67" t="inlineStr">
        <is>
          <t>Viagem Calculada Incorretamente - [VCI]</t>
        </is>
      </c>
      <c r="K603" s="67" t="inlineStr"/>
      <c r="L603" s="68" t="b">
        <v>0</v>
      </c>
      <c r="M603" s="20" t="n"/>
      <c r="N603" s="69">
        <f>IF($J603="","",IFERROR(INDEX(B!$F$2:$F$61,MATCH($J603,B!$E$2:$E$61,0))&amp;"",""))</f>
        <v/>
      </c>
      <c r="O603" s="69">
        <f>IF($J603="","",IFERROR(INDEX(B!$G$2:$G$61,MATCH($J603,B!$E$2:$E$61,0))&amp;"",""))</f>
        <v/>
      </c>
      <c r="P603" s="69">
        <f>IF($J603="","",IFERROR(INDEX(B!$H$2:$H$61,MATCH($J603,B!$E$2:$E$61,0))&amp;"",""))</f>
        <v/>
      </c>
      <c r="Q603" s="69">
        <f>IF($J603="","",IFERROR(INDEX(B!$I$2:$I$61,MATCH($J603,B!$E$2:$E$61,0))&amp;"",""))</f>
        <v/>
      </c>
      <c r="R603" s="69">
        <f>IF($J603="","",IFERROR(INDEX(B!$J$2:$J$61,MATCH($J603,B!$E$2:$E$61,0))&amp;"",""))</f>
        <v/>
      </c>
      <c r="S603" s="69">
        <f>IF($J603="","",IFERROR(INDEX(B!$K$2:$K$61,MATCH($J603,B!$E$2:$E$61,0))&amp;"",""))</f>
        <v/>
      </c>
      <c r="T603" s="69">
        <f>IF($J603="","",IFERROR(INDEX(B!$L$2:$L$61,MATCH($J603,B!$E$2:$E$61,0))&amp;"",""))</f>
        <v/>
      </c>
      <c r="U603" s="20" t="n"/>
      <c r="V603" s="70">
        <f>IF($J603="","",IFERROR(INDEX(B!$M$2:$M$61,MATCH($J603,B!$E$2:$E$61,0))&amp;"",""))</f>
        <v/>
      </c>
      <c r="W603" s="71">
        <f>IF(I603="","",IFERROR(MID(I603,FIND("/d/",I603)+3,FIND("/edit",I603)-FIND("/d/",I603)-3),I603))</f>
        <v/>
      </c>
      <c r="X603" s="71">
        <f>IF($J603="","",IFERROR(INDEX(B!$C$2:$C$61,MATCH($J603,B!$E$2:$E$61,0))&amp;"",""))</f>
        <v/>
      </c>
      <c r="Y603" s="20" t="n"/>
      <c r="Z603" s="72">
        <f>IF($J603="",FALSE,ISNUMBER(SEARCH("scout",$K603)))</f>
        <v/>
      </c>
      <c r="AA603" s="72">
        <f>IF($J603="",FALSE,IFERROR(INDEX(B!$N$2:$N$61,MATCH($J603,B!$E$2:$E$61,0))="Sim",FALSE))</f>
        <v/>
      </c>
      <c r="AB603" s="72">
        <f>IF($J603="",FALSE,LEFT($X603,2)="XX")</f>
        <v/>
      </c>
      <c r="AC603" s="72">
        <f>IF($J603="",FALSE,IFERROR(INDEX(B!$P$2:$P$61,MATCH($J603,B!$E$2:$E$61,0))="Sim",FALSE))</f>
        <v/>
      </c>
      <c r="AD603" s="20" t="n"/>
      <c r="AE603" s="52">
        <f>IF(H603="","",HOUR(H603))</f>
        <v/>
      </c>
      <c r="AF603" s="52" t="n"/>
    </row>
    <row r="604" ht="19.5" customHeight="1" s="58">
      <c r="A604" s="62">
        <f>IF(G604="","",IF(G604=G603,"",COUNTIF($G$3:$G$976,G604)))</f>
        <v/>
      </c>
      <c r="B604" s="20" t="n"/>
      <c r="C604" s="63">
        <f>IF(G604="","",DAY(G604))</f>
        <v/>
      </c>
      <c r="D604" s="63">
        <f>IF(G604="","",MONTH(G604))</f>
        <v/>
      </c>
      <c r="E604" s="63">
        <f>IF(G604="","",YEAR(G604))</f>
        <v/>
      </c>
      <c r="F604" s="33">
        <f>IF(G604="","",CHOOSE(MONTH(G604),"Janeiro","Fevereiro","Março","Abril","Maio","Junho","Julho","Agosto","Setembro","Outubro","Novembro","Dezembro"))</f>
        <v/>
      </c>
      <c r="G604" s="64" t="n">
        <v>46071</v>
      </c>
      <c r="H604" s="65" t="n">
        <v>0.09596064814814814</v>
      </c>
      <c r="I604" s="66" t="inlineStr">
        <is>
          <t>https://docs.google.com/spreadsheets/d/1ZiCGoPjLCjuYvujDTXK9Ixbth3tekiLtFBzBrGjPCr4/edit?gid=0#gid=0</t>
        </is>
      </c>
      <c r="J604" s="67" t="inlineStr">
        <is>
          <t>Transferência de LOB (Profissionalismo) - [TIPR]</t>
        </is>
      </c>
      <c r="K604" s="67" t="inlineStr"/>
      <c r="L604" s="68" t="b">
        <v>0</v>
      </c>
      <c r="M604" s="20" t="n"/>
      <c r="N604" s="69">
        <f>IF($J604="","",IFERROR(INDEX(B!$F$2:$F$61,MATCH($J604,B!$E$2:$E$61,0))&amp;"",""))</f>
        <v/>
      </c>
      <c r="O604" s="69">
        <f>IF($J604="","",IFERROR(INDEX(B!$G$2:$G$61,MATCH($J604,B!$E$2:$E$61,0))&amp;"",""))</f>
        <v/>
      </c>
      <c r="P604" s="69">
        <f>IF($J604="","",IFERROR(INDEX(B!$H$2:$H$61,MATCH($J604,B!$E$2:$E$61,0))&amp;"",""))</f>
        <v/>
      </c>
      <c r="Q604" s="69">
        <f>IF($J604="","",IFERROR(INDEX(B!$I$2:$I$61,MATCH($J604,B!$E$2:$E$61,0))&amp;"",""))</f>
        <v/>
      </c>
      <c r="R604" s="69">
        <f>IF($J604="","",IFERROR(INDEX(B!$J$2:$J$61,MATCH($J604,B!$E$2:$E$61,0))&amp;"",""))</f>
        <v/>
      </c>
      <c r="S604" s="69">
        <f>IF($J604="","",IFERROR(INDEX(B!$K$2:$K$61,MATCH($J604,B!$E$2:$E$61,0))&amp;"",""))</f>
        <v/>
      </c>
      <c r="T604" s="69">
        <f>IF($J604="","",IFERROR(INDEX(B!$L$2:$L$61,MATCH($J604,B!$E$2:$E$61,0))&amp;"",""))</f>
        <v/>
      </c>
      <c r="U604" s="20" t="n"/>
      <c r="V604" s="70">
        <f>IF($J604="","",IFERROR(INDEX(B!$M$2:$M$61,MATCH($J604,B!$E$2:$E$61,0))&amp;"",""))</f>
        <v/>
      </c>
      <c r="W604" s="71">
        <f>IF(I604="","",IFERROR(MID(I604,FIND("/d/",I604)+3,FIND("/edit",I604)-FIND("/d/",I604)-3),I604))</f>
        <v/>
      </c>
      <c r="X604" s="71">
        <f>IF($J604="","",IFERROR(INDEX(B!$C$2:$C$61,MATCH($J604,B!$E$2:$E$61,0))&amp;"",""))</f>
        <v/>
      </c>
      <c r="Y604" s="20" t="n"/>
      <c r="Z604" s="72">
        <f>IF($J604="",FALSE,ISNUMBER(SEARCH("scout",$K604)))</f>
        <v/>
      </c>
      <c r="AA604" s="72">
        <f>IF($J604="",FALSE,IFERROR(INDEX(B!$N$2:$N$61,MATCH($J604,B!$E$2:$E$61,0))="Sim",FALSE))</f>
        <v/>
      </c>
      <c r="AB604" s="72">
        <f>IF($J604="",FALSE,LEFT($X604,2)="XX")</f>
        <v/>
      </c>
      <c r="AC604" s="72">
        <f>IF($J604="",FALSE,IFERROR(INDEX(B!$P$2:$P$61,MATCH($J604,B!$E$2:$E$61,0))="Sim",FALSE))</f>
        <v/>
      </c>
      <c r="AD604" s="20" t="n"/>
      <c r="AE604" s="52">
        <f>IF(H604="","",HOUR(H604))</f>
        <v/>
      </c>
      <c r="AF604" s="52" t="n"/>
    </row>
    <row r="605" ht="19.5" customHeight="1" s="58">
      <c r="A605" s="62">
        <f>IF(G605="","",IF(G605=G604,"",COUNTIF($G$3:$G$976,G605)))</f>
        <v/>
      </c>
      <c r="B605" s="20" t="n"/>
      <c r="C605" s="63">
        <f>IF(G605="","",DAY(G605))</f>
        <v/>
      </c>
      <c r="D605" s="63">
        <f>IF(G605="","",MONTH(G605))</f>
        <v/>
      </c>
      <c r="E605" s="63">
        <f>IF(G605="","",YEAR(G605))</f>
        <v/>
      </c>
      <c r="F605" s="33">
        <f>IF(G605="","",CHOOSE(MONTH(G605),"Janeiro","Fevereiro","Março","Abril","Maio","Junho","Julho","Agosto","Setembro","Outubro","Novembro","Dezembro"))</f>
        <v/>
      </c>
      <c r="G605" s="64" t="n">
        <v>46071</v>
      </c>
      <c r="H605" s="65" t="n">
        <v>0.1046759259259259</v>
      </c>
      <c r="I605" s="66" t="inlineStr">
        <is>
          <t>https://docs.google.com/spreadsheets/d/1ZiCGoPjLCjuYvujDTXK9Ixbth3tekiLtFBzBrGjPCr4/edit?gid=0#gid=0</t>
        </is>
      </c>
      <c r="J605" s="67" t="inlineStr">
        <is>
          <t>Transferência de LOB (Lost Items) - [TILI]</t>
        </is>
      </c>
      <c r="K605" s="67" t="inlineStr">
        <is>
          <t>Scout</t>
        </is>
      </c>
      <c r="L605" s="68" t="b">
        <v>0</v>
      </c>
      <c r="M605" s="20" t="n"/>
      <c r="N605" s="69">
        <f>IF($J605="","",IFERROR(INDEX(B!$F$2:$F$61,MATCH($J605,B!$E$2:$E$61,0))&amp;"",""))</f>
        <v/>
      </c>
      <c r="O605" s="69">
        <f>IF($J605="","",IFERROR(INDEX(B!$G$2:$G$61,MATCH($J605,B!$E$2:$E$61,0))&amp;"",""))</f>
        <v/>
      </c>
      <c r="P605" s="69">
        <f>IF($J605="","",IFERROR(INDEX(B!$H$2:$H$61,MATCH($J605,B!$E$2:$E$61,0))&amp;"",""))</f>
        <v/>
      </c>
      <c r="Q605" s="69">
        <f>IF($J605="","",IFERROR(INDEX(B!$I$2:$I$61,MATCH($J605,B!$E$2:$E$61,0))&amp;"",""))</f>
        <v/>
      </c>
      <c r="R605" s="69">
        <f>IF($J605="","",IFERROR(INDEX(B!$J$2:$J$61,MATCH($J605,B!$E$2:$E$61,0))&amp;"",""))</f>
        <v/>
      </c>
      <c r="S605" s="69">
        <f>IF($J605="","",IFERROR(INDEX(B!$K$2:$K$61,MATCH($J605,B!$E$2:$E$61,0))&amp;"",""))</f>
        <v/>
      </c>
      <c r="T605" s="69">
        <f>IF($J605="","",IFERROR(INDEX(B!$L$2:$L$61,MATCH($J605,B!$E$2:$E$61,0))&amp;"",""))</f>
        <v/>
      </c>
      <c r="U605" s="20" t="n"/>
      <c r="V605" s="70">
        <f>IF($J605="","",IFERROR(INDEX(B!$M$2:$M$61,MATCH($J605,B!$E$2:$E$61,0))&amp;"",""))</f>
        <v/>
      </c>
      <c r="W605" s="71">
        <f>IF(I605="","",IFERROR(MID(I605,FIND("/d/",I605)+3,FIND("/edit",I605)-FIND("/d/",I605)-3),I605))</f>
        <v/>
      </c>
      <c r="X605" s="71">
        <f>IF($J605="","",IFERROR(INDEX(B!$C$2:$C$61,MATCH($J605,B!$E$2:$E$61,0))&amp;"",""))</f>
        <v/>
      </c>
      <c r="Y605" s="20" t="n"/>
      <c r="Z605" s="72">
        <f>IF($J605="",FALSE,ISNUMBER(SEARCH("scout",$K605)))</f>
        <v/>
      </c>
      <c r="AA605" s="72">
        <f>IF($J605="",FALSE,IFERROR(INDEX(B!$N$2:$N$61,MATCH($J605,B!$E$2:$E$61,0))="Sim",FALSE))</f>
        <v/>
      </c>
      <c r="AB605" s="72">
        <f>IF($J605="",FALSE,LEFT($X605,2)="XX")</f>
        <v/>
      </c>
      <c r="AC605" s="72">
        <f>IF($J605="",FALSE,IFERROR(INDEX(B!$P$2:$P$61,MATCH($J605,B!$E$2:$E$61,0))="Sim",FALSE))</f>
        <v/>
      </c>
      <c r="AD605" s="20" t="n"/>
      <c r="AE605" s="52">
        <f>IF(H605="","",HOUR(H605))</f>
        <v/>
      </c>
      <c r="AF605" s="52" t="n"/>
    </row>
    <row r="606" ht="19.5" customHeight="1" s="58">
      <c r="A606" s="62">
        <f>IF(G606="","",IF(G606=G605,"",COUNTIF($G$3:$G$976,G606)))</f>
        <v/>
      </c>
      <c r="B606" s="20" t="n"/>
      <c r="C606" s="63">
        <f>IF(G606="","",DAY(G606))</f>
        <v/>
      </c>
      <c r="D606" s="63">
        <f>IF(G606="","",MONTH(G606))</f>
        <v/>
      </c>
      <c r="E606" s="63">
        <f>IF(G606="","",YEAR(G606))</f>
        <v/>
      </c>
      <c r="F606" s="33">
        <f>IF(G606="","",CHOOSE(MONTH(G606),"Janeiro","Fevereiro","Março","Abril","Maio","Junho","Julho","Agosto","Setembro","Outubro","Novembro","Dezembro"))</f>
        <v/>
      </c>
      <c r="G606" s="64" t="n">
        <v>46071</v>
      </c>
      <c r="H606" s="65" t="n">
        <v>0.1100231481481481</v>
      </c>
      <c r="I606" s="66" t="inlineStr">
        <is>
          <t>https://docs.google.com/spreadsheets/d/1ZiCGoPjLCjuYvujDTXK9Ixbth3tekiLtFBzBrGjPCr4/edit?gid=0#gid=0</t>
        </is>
      </c>
      <c r="J606" s="67" t="inlineStr">
        <is>
          <t>Overpaid, Excede o limite, Sem comprovante - [OPEN]</t>
        </is>
      </c>
      <c r="K606" s="67" t="inlineStr"/>
      <c r="L606" s="68" t="b">
        <v>0</v>
      </c>
      <c r="M606" s="20" t="n"/>
      <c r="N606" s="69">
        <f>IF($J606="","",IFERROR(INDEX(B!$F$2:$F$61,MATCH($J606,B!$E$2:$E$61,0))&amp;"",""))</f>
        <v/>
      </c>
      <c r="O606" s="69">
        <f>IF($J606="","",IFERROR(INDEX(B!$G$2:$G$61,MATCH($J606,B!$E$2:$E$61,0))&amp;"",""))</f>
        <v/>
      </c>
      <c r="P606" s="69">
        <f>IF($J606="","",IFERROR(INDEX(B!$H$2:$H$61,MATCH($J606,B!$E$2:$E$61,0))&amp;"",""))</f>
        <v/>
      </c>
      <c r="Q606" s="69">
        <f>IF($J606="","",IFERROR(INDEX(B!$I$2:$I$61,MATCH($J606,B!$E$2:$E$61,0))&amp;"",""))</f>
        <v/>
      </c>
      <c r="R606" s="69">
        <f>IF($J606="","",IFERROR(INDEX(B!$J$2:$J$61,MATCH($J606,B!$E$2:$E$61,0))&amp;"",""))</f>
        <v/>
      </c>
      <c r="S606" s="69">
        <f>IF($J606="","",IFERROR(INDEX(B!$K$2:$K$61,MATCH($J606,B!$E$2:$E$61,0))&amp;"",""))</f>
        <v/>
      </c>
      <c r="T606" s="69">
        <f>IF($J606="","",IFERROR(INDEX(B!$L$2:$L$61,MATCH($J606,B!$E$2:$E$61,0))&amp;"",""))</f>
        <v/>
      </c>
      <c r="U606" s="20" t="n"/>
      <c r="V606" s="70">
        <f>IF($J606="","",IFERROR(INDEX(B!$M$2:$M$61,MATCH($J606,B!$E$2:$E$61,0))&amp;"",""))</f>
        <v/>
      </c>
      <c r="W606" s="71">
        <f>IF(I606="","",IFERROR(MID(I606,FIND("/d/",I606)+3,FIND("/edit",I606)-FIND("/d/",I606)-3),I606))</f>
        <v/>
      </c>
      <c r="X606" s="71">
        <f>IF($J606="","",IFERROR(INDEX(B!$C$2:$C$61,MATCH($J606,B!$E$2:$E$61,0))&amp;"",""))</f>
        <v/>
      </c>
      <c r="Y606" s="20" t="n"/>
      <c r="Z606" s="72">
        <f>IF($J606="",FALSE,ISNUMBER(SEARCH("scout",$K606)))</f>
        <v/>
      </c>
      <c r="AA606" s="72">
        <f>IF($J606="",FALSE,IFERROR(INDEX(B!$N$2:$N$61,MATCH($J606,B!$E$2:$E$61,0))="Sim",FALSE))</f>
        <v/>
      </c>
      <c r="AB606" s="72">
        <f>IF($J606="",FALSE,LEFT($X606,2)="XX")</f>
        <v/>
      </c>
      <c r="AC606" s="72">
        <f>IF($J606="",FALSE,IFERROR(INDEX(B!$P$2:$P$61,MATCH($J606,B!$E$2:$E$61,0))="Sim",FALSE))</f>
        <v/>
      </c>
      <c r="AD606" s="20" t="n"/>
      <c r="AE606" s="52">
        <f>IF(H606="","",HOUR(H606))</f>
        <v/>
      </c>
      <c r="AF606" s="52" t="n"/>
    </row>
    <row r="607" ht="19.5" customHeight="1" s="58">
      <c r="A607" s="62">
        <f>IF(G607="","",IF(G607=G606,"",COUNTIF($G$3:$G$976,G607)))</f>
        <v/>
      </c>
      <c r="B607" s="20" t="n"/>
      <c r="C607" s="63">
        <f>IF(G607="","",DAY(G607))</f>
        <v/>
      </c>
      <c r="D607" s="63">
        <f>IF(G607="","",MONTH(G607))</f>
        <v/>
      </c>
      <c r="E607" s="63">
        <f>IF(G607="","",YEAR(G607))</f>
        <v/>
      </c>
      <c r="F607" s="33">
        <f>IF(G607="","",CHOOSE(MONTH(G607),"Janeiro","Fevereiro","Março","Abril","Maio","Junho","Julho","Agosto","Setembro","Outubro","Novembro","Dezembro"))</f>
        <v/>
      </c>
      <c r="G607" s="64" t="n">
        <v>46071</v>
      </c>
      <c r="H607" s="65" t="n">
        <v>0.1120486111111111</v>
      </c>
      <c r="I607" s="66" t="inlineStr">
        <is>
          <t>https://docs.google.com/spreadsheets/d/1ZiCGoPjLCjuYvujDTXK9Ixbth3tekiLtFBzBrGjPCr4/edit?gid=0#gid=0</t>
        </is>
      </c>
      <c r="J607" s="67" t="inlineStr">
        <is>
          <t>Comprovante de Pagamento - [CP]</t>
        </is>
      </c>
      <c r="K607" s="67" t="inlineStr"/>
      <c r="L607" s="68" t="b">
        <v>0</v>
      </c>
      <c r="M607" s="20" t="n"/>
      <c r="N607" s="69">
        <f>IF($J607="","",IFERROR(INDEX(B!$F$2:$F$61,MATCH($J607,B!$E$2:$E$61,0))&amp;"",""))</f>
        <v/>
      </c>
      <c r="O607" s="69">
        <f>IF($J607="","",IFERROR(INDEX(B!$G$2:$G$61,MATCH($J607,B!$E$2:$E$61,0))&amp;"",""))</f>
        <v/>
      </c>
      <c r="P607" s="69">
        <f>IF($J607="","",IFERROR(INDEX(B!$H$2:$H$61,MATCH($J607,B!$E$2:$E$61,0))&amp;"",""))</f>
        <v/>
      </c>
      <c r="Q607" s="69">
        <f>IF($J607="","",IFERROR(INDEX(B!$I$2:$I$61,MATCH($J607,B!$E$2:$E$61,0))&amp;"",""))</f>
        <v/>
      </c>
      <c r="R607" s="69">
        <f>IF($J607="","",IFERROR(INDEX(B!$J$2:$J$61,MATCH($J607,B!$E$2:$E$61,0))&amp;"",""))</f>
        <v/>
      </c>
      <c r="S607" s="69">
        <f>IF($J607="","",IFERROR(INDEX(B!$K$2:$K$61,MATCH($J607,B!$E$2:$E$61,0))&amp;"",""))</f>
        <v/>
      </c>
      <c r="T607" s="69">
        <f>IF($J607="","",IFERROR(INDEX(B!$L$2:$L$61,MATCH($J607,B!$E$2:$E$61,0))&amp;"",""))</f>
        <v/>
      </c>
      <c r="U607" s="20" t="n"/>
      <c r="V607" s="70">
        <f>IF($J607="","",IFERROR(INDEX(B!$M$2:$M$61,MATCH($J607,B!$E$2:$E$61,0))&amp;"",""))</f>
        <v/>
      </c>
      <c r="W607" s="71">
        <f>IF(I607="","",IFERROR(MID(I607,FIND("/d/",I607)+3,FIND("/edit",I607)-FIND("/d/",I607)-3),I607))</f>
        <v/>
      </c>
      <c r="X607" s="71">
        <f>IF($J607="","",IFERROR(INDEX(B!$C$2:$C$61,MATCH($J607,B!$E$2:$E$61,0))&amp;"",""))</f>
        <v/>
      </c>
      <c r="Y607" s="20" t="n"/>
      <c r="Z607" s="72">
        <f>IF($J607="",FALSE,ISNUMBER(SEARCH("scout",$K607)))</f>
        <v/>
      </c>
      <c r="AA607" s="72">
        <f>IF($J607="",FALSE,IFERROR(INDEX(B!$N$2:$N$61,MATCH($J607,B!$E$2:$E$61,0))="Sim",FALSE))</f>
        <v/>
      </c>
      <c r="AB607" s="72">
        <f>IF($J607="",FALSE,LEFT($X607,2)="XX")</f>
        <v/>
      </c>
      <c r="AC607" s="72">
        <f>IF($J607="",FALSE,IFERROR(INDEX(B!$P$2:$P$61,MATCH($J607,B!$E$2:$E$61,0))="Sim",FALSE))</f>
        <v/>
      </c>
      <c r="AD607" s="20" t="n"/>
      <c r="AE607" s="52">
        <f>IF(H607="","",HOUR(H607))</f>
        <v/>
      </c>
      <c r="AF607" s="52" t="n"/>
    </row>
    <row r="608" ht="19.5" customHeight="1" s="58">
      <c r="A608" s="62">
        <f>IF(G608="","",IF(G608=G607,"",COUNTIF($G$3:$G$976,G608)))</f>
        <v/>
      </c>
      <c r="B608" s="20" t="n"/>
      <c r="C608" s="63">
        <f>IF(G608="","",DAY(G608))</f>
        <v/>
      </c>
      <c r="D608" s="63">
        <f>IF(G608="","",MONTH(G608))</f>
        <v/>
      </c>
      <c r="E608" s="63">
        <f>IF(G608="","",YEAR(G608))</f>
        <v/>
      </c>
      <c r="F608" s="33">
        <f>IF(G608="","",CHOOSE(MONTH(G608),"Janeiro","Fevereiro","Março","Abril","Maio","Junho","Julho","Agosto","Setembro","Outubro","Novembro","Dezembro"))</f>
        <v/>
      </c>
      <c r="G608" s="64" t="n">
        <v>46071</v>
      </c>
      <c r="H608" s="65" t="n">
        <v>0.1217361111111111</v>
      </c>
      <c r="I608" s="66" t="inlineStr">
        <is>
          <t>https://docs.google.com/spreadsheets/d/1ZiCGoPjLCjuYvujDTXK9Ixbth3tekiLtFBzBrGjPCr4/edit?gid=0#gid=0</t>
        </is>
      </c>
      <c r="J608" s="67" t="inlineStr">
        <is>
          <t>Overpaid, Excede o limite, Sem comprovante - [OPEN]</t>
        </is>
      </c>
      <c r="K608" s="67" t="inlineStr"/>
      <c r="L608" s="68" t="b">
        <v>0</v>
      </c>
      <c r="M608" s="20" t="n"/>
      <c r="N608" s="69">
        <f>IF($J608="","",IFERROR(INDEX(B!$F$2:$F$61,MATCH($J608,B!$E$2:$E$61,0))&amp;"",""))</f>
        <v/>
      </c>
      <c r="O608" s="69">
        <f>IF($J608="","",IFERROR(INDEX(B!$G$2:$G$61,MATCH($J608,B!$E$2:$E$61,0))&amp;"",""))</f>
        <v/>
      </c>
      <c r="P608" s="69">
        <f>IF($J608="","",IFERROR(INDEX(B!$H$2:$H$61,MATCH($J608,B!$E$2:$E$61,0))&amp;"",""))</f>
        <v/>
      </c>
      <c r="Q608" s="69">
        <f>IF($J608="","",IFERROR(INDEX(B!$I$2:$I$61,MATCH($J608,B!$E$2:$E$61,0))&amp;"",""))</f>
        <v/>
      </c>
      <c r="R608" s="69">
        <f>IF($J608="","",IFERROR(INDEX(B!$J$2:$J$61,MATCH($J608,B!$E$2:$E$61,0))&amp;"",""))</f>
        <v/>
      </c>
      <c r="S608" s="69">
        <f>IF($J608="","",IFERROR(INDEX(B!$K$2:$K$61,MATCH($J608,B!$E$2:$E$61,0))&amp;"",""))</f>
        <v/>
      </c>
      <c r="T608" s="69">
        <f>IF($J608="","",IFERROR(INDEX(B!$L$2:$L$61,MATCH($J608,B!$E$2:$E$61,0))&amp;"",""))</f>
        <v/>
      </c>
      <c r="U608" s="20" t="n"/>
      <c r="V608" s="70">
        <f>IF($J608="","",IFERROR(INDEX(B!$M$2:$M$61,MATCH($J608,B!$E$2:$E$61,0))&amp;"",""))</f>
        <v/>
      </c>
      <c r="W608" s="71">
        <f>IF(I608="","",IFERROR(MID(I608,FIND("/d/",I608)+3,FIND("/edit",I608)-FIND("/d/",I608)-3),I608))</f>
        <v/>
      </c>
      <c r="X608" s="71">
        <f>IF($J608="","",IFERROR(INDEX(B!$C$2:$C$61,MATCH($J608,B!$E$2:$E$61,0))&amp;"",""))</f>
        <v/>
      </c>
      <c r="Y608" s="20" t="n"/>
      <c r="Z608" s="72">
        <f>IF($J608="",FALSE,ISNUMBER(SEARCH("scout",$K608)))</f>
        <v/>
      </c>
      <c r="AA608" s="72">
        <f>IF($J608="",FALSE,IFERROR(INDEX(B!$N$2:$N$61,MATCH($J608,B!$E$2:$E$61,0))="Sim",FALSE))</f>
        <v/>
      </c>
      <c r="AB608" s="72">
        <f>IF($J608="",FALSE,LEFT($X608,2)="XX")</f>
        <v/>
      </c>
      <c r="AC608" s="72">
        <f>IF($J608="",FALSE,IFERROR(INDEX(B!$P$2:$P$61,MATCH($J608,B!$E$2:$E$61,0))="Sim",FALSE))</f>
        <v/>
      </c>
      <c r="AD608" s="20" t="n"/>
      <c r="AE608" s="52">
        <f>IF(H608="","",HOUR(H608))</f>
        <v/>
      </c>
      <c r="AF608" s="52" t="n"/>
    </row>
    <row r="609" ht="19.5" customHeight="1" s="58">
      <c r="A609" s="62">
        <f>IF(G609="","",IF(G609=G608,"",COUNTIF($G$3:$G$976,G609)))</f>
        <v/>
      </c>
      <c r="B609" s="20" t="n"/>
      <c r="C609" s="63">
        <f>IF(G609="","",DAY(G609))</f>
        <v/>
      </c>
      <c r="D609" s="63">
        <f>IF(G609="","",MONTH(G609))</f>
        <v/>
      </c>
      <c r="E609" s="63">
        <f>IF(G609="","",YEAR(G609))</f>
        <v/>
      </c>
      <c r="F609" s="33">
        <f>IF(G609="","",CHOOSE(MONTH(G609),"Janeiro","Fevereiro","Março","Abril","Maio","Junho","Julho","Agosto","Setembro","Outubro","Novembro","Dezembro"))</f>
        <v/>
      </c>
      <c r="G609" s="64" t="n">
        <v>46071</v>
      </c>
      <c r="H609" s="65" t="n">
        <v>0.1286921296296296</v>
      </c>
      <c r="I609" s="66" t="inlineStr">
        <is>
          <t>https://docs.google.com/spreadsheets/d/1ZiCGoPjLCjuYvujDTXK9Ixbth3tekiLtFBzBrGjPCr4/edit?gid=0#gid=0</t>
        </is>
      </c>
      <c r="J609" s="67" t="inlineStr">
        <is>
          <t>Taxa de Cancelamento Cobrada Corretamente - [TXCO]</t>
        </is>
      </c>
      <c r="K609" s="67" t="inlineStr"/>
      <c r="L609" s="68" t="b">
        <v>0</v>
      </c>
      <c r="M609" s="20" t="n"/>
      <c r="N609" s="69">
        <f>IF($J609="","",IFERROR(INDEX(B!$F$2:$F$61,MATCH($J609,B!$E$2:$E$61,0))&amp;"",""))</f>
        <v/>
      </c>
      <c r="O609" s="69">
        <f>IF($J609="","",IFERROR(INDEX(B!$G$2:$G$61,MATCH($J609,B!$E$2:$E$61,0))&amp;"",""))</f>
        <v/>
      </c>
      <c r="P609" s="69">
        <f>IF($J609="","",IFERROR(INDEX(B!$H$2:$H$61,MATCH($J609,B!$E$2:$E$61,0))&amp;"",""))</f>
        <v/>
      </c>
      <c r="Q609" s="69">
        <f>IF($J609="","",IFERROR(INDEX(B!$I$2:$I$61,MATCH($J609,B!$E$2:$E$61,0))&amp;"",""))</f>
        <v/>
      </c>
      <c r="R609" s="69">
        <f>IF($J609="","",IFERROR(INDEX(B!$J$2:$J$61,MATCH($J609,B!$E$2:$E$61,0))&amp;"",""))</f>
        <v/>
      </c>
      <c r="S609" s="69">
        <f>IF($J609="","",IFERROR(INDEX(B!$K$2:$K$61,MATCH($J609,B!$E$2:$E$61,0))&amp;"",""))</f>
        <v/>
      </c>
      <c r="T609" s="69">
        <f>IF($J609="","",IFERROR(INDEX(B!$L$2:$L$61,MATCH($J609,B!$E$2:$E$61,0))&amp;"",""))</f>
        <v/>
      </c>
      <c r="U609" s="20" t="n"/>
      <c r="V609" s="70">
        <f>IF($J609="","",IFERROR(INDEX(B!$M$2:$M$61,MATCH($J609,B!$E$2:$E$61,0))&amp;"",""))</f>
        <v/>
      </c>
      <c r="W609" s="71">
        <f>IF(I609="","",IFERROR(MID(I609,FIND("/d/",I609)+3,FIND("/edit",I609)-FIND("/d/",I609)-3),I609))</f>
        <v/>
      </c>
      <c r="X609" s="71">
        <f>IF($J609="","",IFERROR(INDEX(B!$C$2:$C$61,MATCH($J609,B!$E$2:$E$61,0))&amp;"",""))</f>
        <v/>
      </c>
      <c r="Y609" s="20" t="n"/>
      <c r="Z609" s="72">
        <f>IF($J609="",FALSE,ISNUMBER(SEARCH("scout",$K609)))</f>
        <v/>
      </c>
      <c r="AA609" s="72">
        <f>IF($J609="",FALSE,IFERROR(INDEX(B!$N$2:$N$61,MATCH($J609,B!$E$2:$E$61,0))="Sim",FALSE))</f>
        <v/>
      </c>
      <c r="AB609" s="72">
        <f>IF($J609="",FALSE,LEFT($X609,2)="XX")</f>
        <v/>
      </c>
      <c r="AC609" s="72">
        <f>IF($J609="",FALSE,IFERROR(INDEX(B!$P$2:$P$61,MATCH($J609,B!$E$2:$E$61,0))="Sim",FALSE))</f>
        <v/>
      </c>
      <c r="AD609" s="20" t="n"/>
      <c r="AE609" s="52">
        <f>IF(H609="","",HOUR(H609))</f>
        <v/>
      </c>
      <c r="AF609" s="52" t="n"/>
    </row>
    <row r="610" ht="19.5" customHeight="1" s="58">
      <c r="A610" s="62">
        <f>IF(G610="","",IF(G610=G609,"",COUNTIF($G$3:$G$976,G610)))</f>
        <v/>
      </c>
      <c r="B610" s="20" t="n"/>
      <c r="C610" s="63">
        <f>IF(G610="","",DAY(G610))</f>
        <v/>
      </c>
      <c r="D610" s="63">
        <f>IF(G610="","",MONTH(G610))</f>
        <v/>
      </c>
      <c r="E610" s="63">
        <f>IF(G610="","",YEAR(G610))</f>
        <v/>
      </c>
      <c r="F610" s="33">
        <f>IF(G610="","",CHOOSE(MONTH(G610),"Janeiro","Fevereiro","Março","Abril","Maio","Junho","Julho","Agosto","Setembro","Outubro","Novembro","Dezembro"))</f>
        <v/>
      </c>
      <c r="G610" s="64" t="n">
        <v>46071</v>
      </c>
      <c r="H610" s="65" t="n">
        <v>0.1330208333333333</v>
      </c>
      <c r="I610" s="66" t="inlineStr">
        <is>
          <t>https://docs.google.com/spreadsheets/d/1ZiCGoPjLCjuYvujDTXK9Ixbth3tekiLtFBzBrGjPCr4/edit?gid=0#gid=0</t>
        </is>
      </c>
      <c r="J610" s="67" t="inlineStr">
        <is>
          <t>Transferência de LOB (Profissionalismo) - [TIPR]</t>
        </is>
      </c>
      <c r="K610" s="67" t="inlineStr"/>
      <c r="L610" s="68" t="b">
        <v>0</v>
      </c>
      <c r="M610" s="20" t="n"/>
      <c r="N610" s="69">
        <f>IF($J610="","",IFERROR(INDEX(B!$F$2:$F$61,MATCH($J610,B!$E$2:$E$61,0))&amp;"",""))</f>
        <v/>
      </c>
      <c r="O610" s="69">
        <f>IF($J610="","",IFERROR(INDEX(B!$G$2:$G$61,MATCH($J610,B!$E$2:$E$61,0))&amp;"",""))</f>
        <v/>
      </c>
      <c r="P610" s="69">
        <f>IF($J610="","",IFERROR(INDEX(B!$H$2:$H$61,MATCH($J610,B!$E$2:$E$61,0))&amp;"",""))</f>
        <v/>
      </c>
      <c r="Q610" s="69">
        <f>IF($J610="","",IFERROR(INDEX(B!$I$2:$I$61,MATCH($J610,B!$E$2:$E$61,0))&amp;"",""))</f>
        <v/>
      </c>
      <c r="R610" s="69">
        <f>IF($J610="","",IFERROR(INDEX(B!$J$2:$J$61,MATCH($J610,B!$E$2:$E$61,0))&amp;"",""))</f>
        <v/>
      </c>
      <c r="S610" s="69">
        <f>IF($J610="","",IFERROR(INDEX(B!$K$2:$K$61,MATCH($J610,B!$E$2:$E$61,0))&amp;"",""))</f>
        <v/>
      </c>
      <c r="T610" s="69">
        <f>IF($J610="","",IFERROR(INDEX(B!$L$2:$L$61,MATCH($J610,B!$E$2:$E$61,0))&amp;"",""))</f>
        <v/>
      </c>
      <c r="U610" s="20" t="n"/>
      <c r="V610" s="70">
        <f>IF($J610="","",IFERROR(INDEX(B!$M$2:$M$61,MATCH($J610,B!$E$2:$E$61,0))&amp;"",""))</f>
        <v/>
      </c>
      <c r="W610" s="71">
        <f>IF(I610="","",IFERROR(MID(I610,FIND("/d/",I610)+3,FIND("/edit",I610)-FIND("/d/",I610)-3),I610))</f>
        <v/>
      </c>
      <c r="X610" s="71">
        <f>IF($J610="","",IFERROR(INDEX(B!$C$2:$C$61,MATCH($J610,B!$E$2:$E$61,0))&amp;"",""))</f>
        <v/>
      </c>
      <c r="Y610" s="20" t="n"/>
      <c r="Z610" s="72">
        <f>IF($J610="",FALSE,ISNUMBER(SEARCH("scout",$K610)))</f>
        <v/>
      </c>
      <c r="AA610" s="72">
        <f>IF($J610="",FALSE,IFERROR(INDEX(B!$N$2:$N$61,MATCH($J610,B!$E$2:$E$61,0))="Sim",FALSE))</f>
        <v/>
      </c>
      <c r="AB610" s="72">
        <f>IF($J610="",FALSE,LEFT($X610,2)="XX")</f>
        <v/>
      </c>
      <c r="AC610" s="72">
        <f>IF($J610="",FALSE,IFERROR(INDEX(B!$P$2:$P$61,MATCH($J610,B!$E$2:$E$61,0))="Sim",FALSE))</f>
        <v/>
      </c>
      <c r="AD610" s="20" t="n"/>
      <c r="AE610" s="52">
        <f>IF(H610="","",HOUR(H610))</f>
        <v/>
      </c>
      <c r="AF610" s="52" t="n"/>
    </row>
    <row r="611" ht="19.5" customHeight="1" s="58">
      <c r="A611" s="62">
        <f>IF(G611="","",IF(G611=G610,"",COUNTIF($G$3:$G$976,G611)))</f>
        <v/>
      </c>
      <c r="B611" s="20" t="n"/>
      <c r="C611" s="63">
        <f>IF(G611="","",DAY(G611))</f>
        <v/>
      </c>
      <c r="D611" s="63">
        <f>IF(G611="","",MONTH(G611))</f>
        <v/>
      </c>
      <c r="E611" s="63">
        <f>IF(G611="","",YEAR(G611))</f>
        <v/>
      </c>
      <c r="F611" s="33">
        <f>IF(G611="","",CHOOSE(MONTH(G611),"Janeiro","Fevereiro","Março","Abril","Maio","Junho","Julho","Agosto","Setembro","Outubro","Novembro","Dezembro"))</f>
        <v/>
      </c>
      <c r="G611" s="64" t="n">
        <v>46071</v>
      </c>
      <c r="H611" s="65" t="n">
        <v>0.143599537037037</v>
      </c>
      <c r="I611" s="66" t="inlineStr">
        <is>
          <t>https://docs.google.com/spreadsheets/d/1ZiCGoPjLCjuYvujDTXK9Ixbth3tekiLtFBzBrGjPCr4/edit?gid=0#gid=0</t>
        </is>
      </c>
      <c r="J611" s="67" t="inlineStr">
        <is>
          <t>Comprovante de Pagamento - [CP]</t>
        </is>
      </c>
      <c r="K611" s="67" t="inlineStr"/>
      <c r="L611" s="68" t="b">
        <v>0</v>
      </c>
      <c r="M611" s="20" t="n"/>
      <c r="N611" s="69">
        <f>IF($J611="","",IFERROR(INDEX(B!$F$2:$F$61,MATCH($J611,B!$E$2:$E$61,0))&amp;"",""))</f>
        <v/>
      </c>
      <c r="O611" s="69">
        <f>IF($J611="","",IFERROR(INDEX(B!$G$2:$G$61,MATCH($J611,B!$E$2:$E$61,0))&amp;"",""))</f>
        <v/>
      </c>
      <c r="P611" s="69">
        <f>IF($J611="","",IFERROR(INDEX(B!$H$2:$H$61,MATCH($J611,B!$E$2:$E$61,0))&amp;"",""))</f>
        <v/>
      </c>
      <c r="Q611" s="69">
        <f>IF($J611="","",IFERROR(INDEX(B!$I$2:$I$61,MATCH($J611,B!$E$2:$E$61,0))&amp;"",""))</f>
        <v/>
      </c>
      <c r="R611" s="69">
        <f>IF($J611="","",IFERROR(INDEX(B!$J$2:$J$61,MATCH($J611,B!$E$2:$E$61,0))&amp;"",""))</f>
        <v/>
      </c>
      <c r="S611" s="69">
        <f>IF($J611="","",IFERROR(INDEX(B!$K$2:$K$61,MATCH($J611,B!$E$2:$E$61,0))&amp;"",""))</f>
        <v/>
      </c>
      <c r="T611" s="69">
        <f>IF($J611="","",IFERROR(INDEX(B!$L$2:$L$61,MATCH($J611,B!$E$2:$E$61,0))&amp;"",""))</f>
        <v/>
      </c>
      <c r="U611" s="20" t="n"/>
      <c r="V611" s="70">
        <f>IF($J611="","",IFERROR(INDEX(B!$M$2:$M$61,MATCH($J611,B!$E$2:$E$61,0))&amp;"",""))</f>
        <v/>
      </c>
      <c r="W611" s="71">
        <f>IF(I611="","",IFERROR(MID(I611,FIND("/d/",I611)+3,FIND("/edit",I611)-FIND("/d/",I611)-3),I611))</f>
        <v/>
      </c>
      <c r="X611" s="71">
        <f>IF($J611="","",IFERROR(INDEX(B!$C$2:$C$61,MATCH($J611,B!$E$2:$E$61,0))&amp;"",""))</f>
        <v/>
      </c>
      <c r="Y611" s="20" t="n"/>
      <c r="Z611" s="72">
        <f>IF($J611="",FALSE,ISNUMBER(SEARCH("scout",$K611)))</f>
        <v/>
      </c>
      <c r="AA611" s="72">
        <f>IF($J611="",FALSE,IFERROR(INDEX(B!$N$2:$N$61,MATCH($J611,B!$E$2:$E$61,0))="Sim",FALSE))</f>
        <v/>
      </c>
      <c r="AB611" s="72">
        <f>IF($J611="",FALSE,LEFT($X611,2)="XX")</f>
        <v/>
      </c>
      <c r="AC611" s="72">
        <f>IF($J611="",FALSE,IFERROR(INDEX(B!$P$2:$P$61,MATCH($J611,B!$E$2:$E$61,0))="Sim",FALSE))</f>
        <v/>
      </c>
      <c r="AD611" s="20" t="n"/>
      <c r="AE611" s="52">
        <f>IF(H611="","",HOUR(H611))</f>
        <v/>
      </c>
      <c r="AF611" s="52" t="n"/>
    </row>
    <row r="612" ht="19.5" customHeight="1" s="58">
      <c r="A612" s="62">
        <f>IF(G612="","",IF(G612=G611,"",COUNTIF($G$3:$G$976,G612)))</f>
        <v/>
      </c>
      <c r="B612" s="20" t="n"/>
      <c r="C612" s="63">
        <f>IF(G612="","",DAY(G612))</f>
        <v/>
      </c>
      <c r="D612" s="63">
        <f>IF(G612="","",MONTH(G612))</f>
        <v/>
      </c>
      <c r="E612" s="63">
        <f>IF(G612="","",YEAR(G612))</f>
        <v/>
      </c>
      <c r="F612" s="33">
        <f>IF(G612="","",CHOOSE(MONTH(G612),"Janeiro","Fevereiro","Março","Abril","Maio","Junho","Julho","Agosto","Setembro","Outubro","Novembro","Dezembro"))</f>
        <v/>
      </c>
      <c r="G612" s="64" t="n">
        <v>46071</v>
      </c>
      <c r="H612" s="65" t="n">
        <v>0.1440856481481481</v>
      </c>
      <c r="I612" s="66" t="inlineStr">
        <is>
          <t>https://docs.google.com/spreadsheets/d/1ZiCGoPjLCjuYvujDTXK9Ixbth3tekiLtFBzBrGjPCr4/edit?gid=0#gid=0</t>
        </is>
      </c>
      <c r="J612" s="67" t="inlineStr">
        <is>
          <t>Outros Valores Retidos (Pedágio, Cartão, Taxa de Cancelamento...) - [OTV]</t>
        </is>
      </c>
      <c r="K612" s="67" t="inlineStr"/>
      <c r="L612" s="68" t="b">
        <v>1</v>
      </c>
      <c r="M612" s="20" t="n"/>
      <c r="N612" s="69">
        <f>IF($J612="","",IFERROR(INDEX(B!$F$2:$F$61,MATCH($J612,B!$E$2:$E$61,0))&amp;"",""))</f>
        <v/>
      </c>
      <c r="O612" s="69">
        <f>IF($J612="","",IFERROR(INDEX(B!$G$2:$G$61,MATCH($J612,B!$E$2:$E$61,0))&amp;"",""))</f>
        <v/>
      </c>
      <c r="P612" s="69">
        <f>IF($J612="","",IFERROR(INDEX(B!$H$2:$H$61,MATCH($J612,B!$E$2:$E$61,0))&amp;"",""))</f>
        <v/>
      </c>
      <c r="Q612" s="69">
        <f>IF($J612="","",IFERROR(INDEX(B!$I$2:$I$61,MATCH($J612,B!$E$2:$E$61,0))&amp;"",""))</f>
        <v/>
      </c>
      <c r="R612" s="69">
        <f>IF($J612="","",IFERROR(INDEX(B!$J$2:$J$61,MATCH($J612,B!$E$2:$E$61,0))&amp;"",""))</f>
        <v/>
      </c>
      <c r="S612" s="69">
        <f>IF($J612="","",IFERROR(INDEX(B!$K$2:$K$61,MATCH($J612,B!$E$2:$E$61,0))&amp;"",""))</f>
        <v/>
      </c>
      <c r="T612" s="69">
        <f>IF($J612="","",IFERROR(INDEX(B!$L$2:$L$61,MATCH($J612,B!$E$2:$E$61,0))&amp;"",""))</f>
        <v/>
      </c>
      <c r="U612" s="20" t="n"/>
      <c r="V612" s="70">
        <f>IF($J612="","",IFERROR(INDEX(B!$M$2:$M$61,MATCH($J612,B!$E$2:$E$61,0))&amp;"",""))</f>
        <v/>
      </c>
      <c r="W612" s="71">
        <f>IF(I612="","",IFERROR(MID(I612,FIND("/d/",I612)+3,FIND("/edit",I612)-FIND("/d/",I612)-3),I612))</f>
        <v/>
      </c>
      <c r="X612" s="71">
        <f>IF($J612="","",IFERROR(INDEX(B!$C$2:$C$61,MATCH($J612,B!$E$2:$E$61,0))&amp;"",""))</f>
        <v/>
      </c>
      <c r="Y612" s="20" t="n"/>
      <c r="Z612" s="72">
        <f>IF($J612="",FALSE,ISNUMBER(SEARCH("scout",$K612)))</f>
        <v/>
      </c>
      <c r="AA612" s="72">
        <f>IF($J612="",FALSE,IFERROR(INDEX(B!$N$2:$N$61,MATCH($J612,B!$E$2:$E$61,0))="Sim",FALSE))</f>
        <v/>
      </c>
      <c r="AB612" s="72">
        <f>IF($J612="",FALSE,LEFT($X612,2)="XX")</f>
        <v/>
      </c>
      <c r="AC612" s="72">
        <f>IF($J612="",FALSE,IFERROR(INDEX(B!$P$2:$P$61,MATCH($J612,B!$E$2:$E$61,0))="Sim",FALSE))</f>
        <v/>
      </c>
      <c r="AD612" s="20" t="n"/>
      <c r="AE612" s="52">
        <f>IF(H612="","",HOUR(H612))</f>
        <v/>
      </c>
      <c r="AF612" s="52" t="n"/>
    </row>
    <row r="613" ht="19.5" customHeight="1" s="58">
      <c r="A613" s="62">
        <f>IF(G613="","",IF(G613=G612,"",COUNTIF($G$3:$G$976,G613)))</f>
        <v/>
      </c>
      <c r="B613" s="20" t="n"/>
      <c r="C613" s="63">
        <f>IF(G613="","",DAY(G613))</f>
        <v/>
      </c>
      <c r="D613" s="63">
        <f>IF(G613="","",MONTH(G613))</f>
        <v/>
      </c>
      <c r="E613" s="63">
        <f>IF(G613="","",YEAR(G613))</f>
        <v/>
      </c>
      <c r="F613" s="33">
        <f>IF(G613="","",CHOOSE(MONTH(G613),"Janeiro","Fevereiro","Março","Abril","Maio","Junho","Julho","Agosto","Setembro","Outubro","Novembro","Dezembro"))</f>
        <v/>
      </c>
      <c r="G613" s="64" t="n">
        <v>46072</v>
      </c>
      <c r="H613" s="65" t="n">
        <v>0.01087962962962963</v>
      </c>
      <c r="I613" s="66" t="inlineStr">
        <is>
          <t>https://docs.google.com/spreadsheets/d/1ZiCGoPjLCjuYvujDTXK9Ixbth3tekiLtFBzBrGjPCr4/edit?gid=0#gid=0</t>
        </is>
      </c>
      <c r="J613" s="67" t="inlineStr">
        <is>
          <t>Taxa de Cancelamento Cobrada Corretamente - [TXCO]</t>
        </is>
      </c>
      <c r="K613" s="67" t="inlineStr"/>
      <c r="L613" s="68" t="b">
        <v>1</v>
      </c>
      <c r="M613" s="20" t="n"/>
      <c r="N613" s="69">
        <f>IF($J613="","",IFERROR(INDEX(B!$F$2:$F$61,MATCH($J613,B!$E$2:$E$61,0))&amp;"",""))</f>
        <v/>
      </c>
      <c r="O613" s="69">
        <f>IF($J613="","",IFERROR(INDEX(B!$G$2:$G$61,MATCH($J613,B!$E$2:$E$61,0))&amp;"",""))</f>
        <v/>
      </c>
      <c r="P613" s="69">
        <f>IF($J613="","",IFERROR(INDEX(B!$H$2:$H$61,MATCH($J613,B!$E$2:$E$61,0))&amp;"",""))</f>
        <v/>
      </c>
      <c r="Q613" s="69">
        <f>IF($J613="","",IFERROR(INDEX(B!$I$2:$I$61,MATCH($J613,B!$E$2:$E$61,0))&amp;"",""))</f>
        <v/>
      </c>
      <c r="R613" s="69">
        <f>IF($J613="","",IFERROR(INDEX(B!$J$2:$J$61,MATCH($J613,B!$E$2:$E$61,0))&amp;"",""))</f>
        <v/>
      </c>
      <c r="S613" s="69">
        <f>IF($J613="","",IFERROR(INDEX(B!$K$2:$K$61,MATCH($J613,B!$E$2:$E$61,0))&amp;"",""))</f>
        <v/>
      </c>
      <c r="T613" s="69">
        <f>IF($J613="","",IFERROR(INDEX(B!$L$2:$L$61,MATCH($J613,B!$E$2:$E$61,0))&amp;"",""))</f>
        <v/>
      </c>
      <c r="U613" s="20" t="n"/>
      <c r="V613" s="70">
        <f>IF($J613="","",IFERROR(INDEX(B!$M$2:$M$61,MATCH($J613,B!$E$2:$E$61,0))&amp;"",""))</f>
        <v/>
      </c>
      <c r="W613" s="71">
        <f>IF(I613="","",IFERROR(MID(I613,FIND("/d/",I613)+3,FIND("/edit",I613)-FIND("/d/",I613)-3),I613))</f>
        <v/>
      </c>
      <c r="X613" s="71">
        <f>IF($J613="","",IFERROR(INDEX(B!$C$2:$C$61,MATCH($J613,B!$E$2:$E$61,0))&amp;"",""))</f>
        <v/>
      </c>
      <c r="Y613" s="20" t="n"/>
      <c r="Z613" s="72">
        <f>IF($J613="",FALSE,ISNUMBER(SEARCH("scout",$K613)))</f>
        <v/>
      </c>
      <c r="AA613" s="72">
        <f>IF($J613="",FALSE,IFERROR(INDEX(B!$N$2:$N$61,MATCH($J613,B!$E$2:$E$61,0))="Sim",FALSE))</f>
        <v/>
      </c>
      <c r="AB613" s="72">
        <f>IF($J613="",FALSE,LEFT($X613,2)="XX")</f>
        <v/>
      </c>
      <c r="AC613" s="72">
        <f>IF($J613="",FALSE,IFERROR(INDEX(B!$P$2:$P$61,MATCH($J613,B!$E$2:$E$61,0))="Sim",FALSE))</f>
        <v/>
      </c>
      <c r="AD613" s="20" t="n"/>
      <c r="AE613" s="52">
        <f>IF(H613="","",HOUR(H613))</f>
        <v/>
      </c>
      <c r="AF613" s="52" t="n"/>
    </row>
    <row r="614" ht="19.5" customHeight="1" s="58">
      <c r="A614" s="62">
        <f>IF(G614="","",IF(G614=G613,"",COUNTIF($G$3:$G$976,G614)))</f>
        <v/>
      </c>
      <c r="B614" s="20" t="n"/>
      <c r="C614" s="63">
        <f>IF(G614="","",DAY(G614))</f>
        <v/>
      </c>
      <c r="D614" s="63">
        <f>IF(G614="","",MONTH(G614))</f>
        <v/>
      </c>
      <c r="E614" s="63">
        <f>IF(G614="","",YEAR(G614))</f>
        <v/>
      </c>
      <c r="F614" s="33">
        <f>IF(G614="","",CHOOSE(MONTH(G614),"Janeiro","Fevereiro","Março","Abril","Maio","Junho","Julho","Agosto","Setembro","Outubro","Novembro","Dezembro"))</f>
        <v/>
      </c>
      <c r="G614" s="64" t="n">
        <v>46072</v>
      </c>
      <c r="H614" s="65" t="n">
        <v>0.01305555555555556</v>
      </c>
      <c r="I614" s="66" t="inlineStr">
        <is>
          <t>https://docs.google.com/spreadsheets/d/1ZiCGoPjLCjuYvujDTXK9Ixbth3tekiLtFBzBrGjPCr4/edit?gid=0#gid=0</t>
        </is>
      </c>
      <c r="J614" s="67" t="inlineStr">
        <is>
          <t>Taxa de Limpeza - [TXL]</t>
        </is>
      </c>
      <c r="K614" s="67" t="inlineStr"/>
      <c r="L614" s="68" t="b">
        <v>0</v>
      </c>
      <c r="M614" s="20" t="n"/>
      <c r="N614" s="69">
        <f>IF($J614="","",IFERROR(INDEX(B!$F$2:$F$61,MATCH($J614,B!$E$2:$E$61,0))&amp;"",""))</f>
        <v/>
      </c>
      <c r="O614" s="69">
        <f>IF($J614="","",IFERROR(INDEX(B!$G$2:$G$61,MATCH($J614,B!$E$2:$E$61,0))&amp;"",""))</f>
        <v/>
      </c>
      <c r="P614" s="69">
        <f>IF($J614="","",IFERROR(INDEX(B!$H$2:$H$61,MATCH($J614,B!$E$2:$E$61,0))&amp;"",""))</f>
        <v/>
      </c>
      <c r="Q614" s="69">
        <f>IF($J614="","",IFERROR(INDEX(B!$I$2:$I$61,MATCH($J614,B!$E$2:$E$61,0))&amp;"",""))</f>
        <v/>
      </c>
      <c r="R614" s="69">
        <f>IF($J614="","",IFERROR(INDEX(B!$J$2:$J$61,MATCH($J614,B!$E$2:$E$61,0))&amp;"",""))</f>
        <v/>
      </c>
      <c r="S614" s="69">
        <f>IF($J614="","",IFERROR(INDEX(B!$K$2:$K$61,MATCH($J614,B!$E$2:$E$61,0))&amp;"",""))</f>
        <v/>
      </c>
      <c r="T614" s="69">
        <f>IF($J614="","",IFERROR(INDEX(B!$L$2:$L$61,MATCH($J614,B!$E$2:$E$61,0))&amp;"",""))</f>
        <v/>
      </c>
      <c r="U614" s="20" t="n"/>
      <c r="V614" s="70">
        <f>IF($J614="","",IFERROR(INDEX(B!$M$2:$M$61,MATCH($J614,B!$E$2:$E$61,0))&amp;"",""))</f>
        <v/>
      </c>
      <c r="W614" s="71">
        <f>IF(I614="","",IFERROR(MID(I614,FIND("/d/",I614)+3,FIND("/edit",I614)-FIND("/d/",I614)-3),I614))</f>
        <v/>
      </c>
      <c r="X614" s="71">
        <f>IF($J614="","",IFERROR(INDEX(B!$C$2:$C$61,MATCH($J614,B!$E$2:$E$61,0))&amp;"",""))</f>
        <v/>
      </c>
      <c r="Y614" s="20" t="n"/>
      <c r="Z614" s="72">
        <f>IF($J614="",FALSE,ISNUMBER(SEARCH("scout",$K614)))</f>
        <v/>
      </c>
      <c r="AA614" s="72">
        <f>IF($J614="",FALSE,IFERROR(INDEX(B!$N$2:$N$61,MATCH($J614,B!$E$2:$E$61,0))="Sim",FALSE))</f>
        <v/>
      </c>
      <c r="AB614" s="72">
        <f>IF($J614="",FALSE,LEFT($X614,2)="XX")</f>
        <v/>
      </c>
      <c r="AC614" s="72">
        <f>IF($J614="",FALSE,IFERROR(INDEX(B!$P$2:$P$61,MATCH($J614,B!$E$2:$E$61,0))="Sim",FALSE))</f>
        <v/>
      </c>
      <c r="AD614" s="20" t="n"/>
      <c r="AE614" s="52">
        <f>IF(H614="","",HOUR(H614))</f>
        <v/>
      </c>
      <c r="AF614" s="52" t="n"/>
    </row>
    <row r="615" ht="19.5" customHeight="1" s="58">
      <c r="A615" s="62">
        <f>IF(G615="","",IF(G615=G614,"",COUNTIF($G$3:$G$976,G615)))</f>
        <v/>
      </c>
      <c r="B615" s="20" t="n"/>
      <c r="C615" s="63">
        <f>IF(G615="","",DAY(G615))</f>
        <v/>
      </c>
      <c r="D615" s="63">
        <f>IF(G615="","",MONTH(G615))</f>
        <v/>
      </c>
      <c r="E615" s="63">
        <f>IF(G615="","",YEAR(G615))</f>
        <v/>
      </c>
      <c r="F615" s="33">
        <f>IF(G615="","",CHOOSE(MONTH(G615),"Janeiro","Fevereiro","Março","Abril","Maio","Junho","Julho","Agosto","Setembro","Outubro","Novembro","Dezembro"))</f>
        <v/>
      </c>
      <c r="G615" s="64" t="n">
        <v>46072</v>
      </c>
      <c r="H615" s="65" t="n">
        <v>0.01390046296296296</v>
      </c>
      <c r="I615" s="66" t="inlineStr">
        <is>
          <t>https://docs.google.com/spreadsheets/d/1ZiCGoPjLCjuYvujDTXK9Ixbth3tekiLtFBzBrGjPCr4/edit?gid=0#gid=0</t>
        </is>
      </c>
      <c r="J615" s="67" t="inlineStr">
        <is>
          <t>Taxa de Limpeza, Sem ajustes - [TXLO]</t>
        </is>
      </c>
      <c r="K615" s="67" t="inlineStr">
        <is>
          <t>Scout</t>
        </is>
      </c>
      <c r="L615" s="68" t="b">
        <v>0</v>
      </c>
      <c r="M615" s="20" t="n"/>
      <c r="N615" s="69">
        <f>IF($J615="","",IFERROR(INDEX(B!$F$2:$F$61,MATCH($J615,B!$E$2:$E$61,0))&amp;"",""))</f>
        <v/>
      </c>
      <c r="O615" s="69">
        <f>IF($J615="","",IFERROR(INDEX(B!$G$2:$G$61,MATCH($J615,B!$E$2:$E$61,0))&amp;"",""))</f>
        <v/>
      </c>
      <c r="P615" s="69">
        <f>IF($J615="","",IFERROR(INDEX(B!$H$2:$H$61,MATCH($J615,B!$E$2:$E$61,0))&amp;"",""))</f>
        <v/>
      </c>
      <c r="Q615" s="69">
        <f>IF($J615="","",IFERROR(INDEX(B!$I$2:$I$61,MATCH($J615,B!$E$2:$E$61,0))&amp;"",""))</f>
        <v/>
      </c>
      <c r="R615" s="69">
        <f>IF($J615="","",IFERROR(INDEX(B!$J$2:$J$61,MATCH($J615,B!$E$2:$E$61,0))&amp;"",""))</f>
        <v/>
      </c>
      <c r="S615" s="69">
        <f>IF($J615="","",IFERROR(INDEX(B!$K$2:$K$61,MATCH($J615,B!$E$2:$E$61,0))&amp;"",""))</f>
        <v/>
      </c>
      <c r="T615" s="69">
        <f>IF($J615="","",IFERROR(INDEX(B!$L$2:$L$61,MATCH($J615,B!$E$2:$E$61,0))&amp;"",""))</f>
        <v/>
      </c>
      <c r="U615" s="20" t="n"/>
      <c r="V615" s="70">
        <f>IF($J615="","",IFERROR(INDEX(B!$M$2:$M$61,MATCH($J615,B!$E$2:$E$61,0))&amp;"",""))</f>
        <v/>
      </c>
      <c r="W615" s="71">
        <f>IF(I615="","",IFERROR(MID(I615,FIND("/d/",I615)+3,FIND("/edit",I615)-FIND("/d/",I615)-3),I615))</f>
        <v/>
      </c>
      <c r="X615" s="71">
        <f>IF($J615="","",IFERROR(INDEX(B!$C$2:$C$61,MATCH($J615,B!$E$2:$E$61,0))&amp;"",""))</f>
        <v/>
      </c>
      <c r="Y615" s="20" t="n"/>
      <c r="Z615" s="72">
        <f>IF($J615="",FALSE,ISNUMBER(SEARCH("scout",$K615)))</f>
        <v/>
      </c>
      <c r="AA615" s="72">
        <f>IF($J615="",FALSE,IFERROR(INDEX(B!$N$2:$N$61,MATCH($J615,B!$E$2:$E$61,0))="Sim",FALSE))</f>
        <v/>
      </c>
      <c r="AB615" s="72">
        <f>IF($J615="",FALSE,LEFT($X615,2)="XX")</f>
        <v/>
      </c>
      <c r="AC615" s="72">
        <f>IF($J615="",FALSE,IFERROR(INDEX(B!$P$2:$P$61,MATCH($J615,B!$E$2:$E$61,0))="Sim",FALSE))</f>
        <v/>
      </c>
      <c r="AD615" s="20" t="n"/>
      <c r="AE615" s="52">
        <f>IF(H615="","",HOUR(H615))</f>
        <v/>
      </c>
      <c r="AF615" s="52" t="n"/>
    </row>
    <row r="616" ht="19.5" customHeight="1" s="58">
      <c r="A616" s="62">
        <f>IF(G616="","",IF(G616=G615,"",COUNTIF($G$3:$G$976,G616)))</f>
        <v/>
      </c>
      <c r="B616" s="20" t="n"/>
      <c r="C616" s="63">
        <f>IF(G616="","",DAY(G616))</f>
        <v/>
      </c>
      <c r="D616" s="63">
        <f>IF(G616="","",MONTH(G616))</f>
        <v/>
      </c>
      <c r="E616" s="63">
        <f>IF(G616="","",YEAR(G616))</f>
        <v/>
      </c>
      <c r="F616" s="33">
        <f>IF(G616="","",CHOOSE(MONTH(G616),"Janeiro","Fevereiro","Março","Abril","Maio","Junho","Julho","Agosto","Setembro","Outubro","Novembro","Dezembro"))</f>
        <v/>
      </c>
      <c r="G616" s="64" t="n">
        <v>46072</v>
      </c>
      <c r="H616" s="65" t="n">
        <v>0.01425925925925926</v>
      </c>
      <c r="I616" s="66" t="inlineStr">
        <is>
          <t>https://docs.google.com/spreadsheets/d/1ZiCGoPjLCjuYvujDTXK9Ixbth3tekiLtFBzBrGjPCr4/edit?gid=0#gid=0</t>
        </is>
      </c>
      <c r="J616" s="67" t="inlineStr">
        <is>
          <t>Transferência de LOB (Driver) - [TIDV]</t>
        </is>
      </c>
      <c r="K616" s="67" t="inlineStr"/>
      <c r="L616" s="68" t="b">
        <v>1</v>
      </c>
      <c r="M616" s="20" t="n"/>
      <c r="N616" s="69">
        <f>IF($J616="","",IFERROR(INDEX(B!$F$2:$F$61,MATCH($J616,B!$E$2:$E$61,0))&amp;"",""))</f>
        <v/>
      </c>
      <c r="O616" s="69">
        <f>IF($J616="","",IFERROR(INDEX(B!$G$2:$G$61,MATCH($J616,B!$E$2:$E$61,0))&amp;"",""))</f>
        <v/>
      </c>
      <c r="P616" s="69">
        <f>IF($J616="","",IFERROR(INDEX(B!$H$2:$H$61,MATCH($J616,B!$E$2:$E$61,0))&amp;"",""))</f>
        <v/>
      </c>
      <c r="Q616" s="69">
        <f>IF($J616="","",IFERROR(INDEX(B!$I$2:$I$61,MATCH($J616,B!$E$2:$E$61,0))&amp;"",""))</f>
        <v/>
      </c>
      <c r="R616" s="69">
        <f>IF($J616="","",IFERROR(INDEX(B!$J$2:$J$61,MATCH($J616,B!$E$2:$E$61,0))&amp;"",""))</f>
        <v/>
      </c>
      <c r="S616" s="69">
        <f>IF($J616="","",IFERROR(INDEX(B!$K$2:$K$61,MATCH($J616,B!$E$2:$E$61,0))&amp;"",""))</f>
        <v/>
      </c>
      <c r="T616" s="69">
        <f>IF($J616="","",IFERROR(INDEX(B!$L$2:$L$61,MATCH($J616,B!$E$2:$E$61,0))&amp;"",""))</f>
        <v/>
      </c>
      <c r="U616" s="20" t="n"/>
      <c r="V616" s="70">
        <f>IF($J616="","",IFERROR(INDEX(B!$M$2:$M$61,MATCH($J616,B!$E$2:$E$61,0))&amp;"",""))</f>
        <v/>
      </c>
      <c r="W616" s="71">
        <f>IF(I616="","",IFERROR(MID(I616,FIND("/d/",I616)+3,FIND("/edit",I616)-FIND("/d/",I616)-3),I616))</f>
        <v/>
      </c>
      <c r="X616" s="71">
        <f>IF($J616="","",IFERROR(INDEX(B!$C$2:$C$61,MATCH($J616,B!$E$2:$E$61,0))&amp;"",""))</f>
        <v/>
      </c>
      <c r="Y616" s="20" t="n"/>
      <c r="Z616" s="72">
        <f>IF($J616="",FALSE,ISNUMBER(SEARCH("scout",$K616)))</f>
        <v/>
      </c>
      <c r="AA616" s="72">
        <f>IF($J616="",FALSE,IFERROR(INDEX(B!$N$2:$N$61,MATCH($J616,B!$E$2:$E$61,0))="Sim",FALSE))</f>
        <v/>
      </c>
      <c r="AB616" s="72">
        <f>IF($J616="",FALSE,LEFT($X616,2)="XX")</f>
        <v/>
      </c>
      <c r="AC616" s="72">
        <f>IF($J616="",FALSE,IFERROR(INDEX(B!$P$2:$P$61,MATCH($J616,B!$E$2:$E$61,0))="Sim",FALSE))</f>
        <v/>
      </c>
      <c r="AD616" s="20" t="n"/>
      <c r="AE616" s="52">
        <f>IF(H616="","",HOUR(H616))</f>
        <v/>
      </c>
      <c r="AF616" s="52" t="n"/>
    </row>
    <row r="617" ht="19.5" customHeight="1" s="58">
      <c r="A617" s="62">
        <f>IF(G617="","",IF(G617=G616,"",COUNTIF($G$3:$G$976,G617)))</f>
        <v/>
      </c>
      <c r="B617" s="20" t="n"/>
      <c r="C617" s="63">
        <f>IF(G617="","",DAY(G617))</f>
        <v/>
      </c>
      <c r="D617" s="63">
        <f>IF(G617="","",MONTH(G617))</f>
        <v/>
      </c>
      <c r="E617" s="63">
        <f>IF(G617="","",YEAR(G617))</f>
        <v/>
      </c>
      <c r="F617" s="33">
        <f>IF(G617="","",CHOOSE(MONTH(G617),"Janeiro","Fevereiro","Março","Abril","Maio","Junho","Julho","Agosto","Setembro","Outubro","Novembro","Dezembro"))</f>
        <v/>
      </c>
      <c r="G617" s="64" t="n">
        <v>46072</v>
      </c>
      <c r="H617" s="65" t="n">
        <v>0.01722222222222222</v>
      </c>
      <c r="I617" s="66" t="inlineStr">
        <is>
          <t>https://docs.google.com/spreadsheets/d/1ZiCGoPjLCjuYvujDTXK9Ixbth3tekiLtFBzBrGjPCr4/edit?gid=0#gid=0</t>
        </is>
      </c>
      <c r="J617" s="67" t="inlineStr">
        <is>
          <t>Transferência de LOB (Driver) - [TIDV]</t>
        </is>
      </c>
      <c r="K617" s="67" t="inlineStr"/>
      <c r="L617" s="68" t="b">
        <v>0</v>
      </c>
      <c r="M617" s="20" t="n"/>
      <c r="N617" s="69">
        <f>IF($J617="","",IFERROR(INDEX(B!$F$2:$F$61,MATCH($J617,B!$E$2:$E$61,0))&amp;"",""))</f>
        <v/>
      </c>
      <c r="O617" s="69">
        <f>IF($J617="","",IFERROR(INDEX(B!$G$2:$G$61,MATCH($J617,B!$E$2:$E$61,0))&amp;"",""))</f>
        <v/>
      </c>
      <c r="P617" s="69">
        <f>IF($J617="","",IFERROR(INDEX(B!$H$2:$H$61,MATCH($J617,B!$E$2:$E$61,0))&amp;"",""))</f>
        <v/>
      </c>
      <c r="Q617" s="69">
        <f>IF($J617="","",IFERROR(INDEX(B!$I$2:$I$61,MATCH($J617,B!$E$2:$E$61,0))&amp;"",""))</f>
        <v/>
      </c>
      <c r="R617" s="69">
        <f>IF($J617="","",IFERROR(INDEX(B!$J$2:$J$61,MATCH($J617,B!$E$2:$E$61,0))&amp;"",""))</f>
        <v/>
      </c>
      <c r="S617" s="69">
        <f>IF($J617="","",IFERROR(INDEX(B!$K$2:$K$61,MATCH($J617,B!$E$2:$E$61,0))&amp;"",""))</f>
        <v/>
      </c>
      <c r="T617" s="69">
        <f>IF($J617="","",IFERROR(INDEX(B!$L$2:$L$61,MATCH($J617,B!$E$2:$E$61,0))&amp;"",""))</f>
        <v/>
      </c>
      <c r="U617" s="20" t="n"/>
      <c r="V617" s="70">
        <f>IF($J617="","",IFERROR(INDEX(B!$M$2:$M$61,MATCH($J617,B!$E$2:$E$61,0))&amp;"",""))</f>
        <v/>
      </c>
      <c r="W617" s="71">
        <f>IF(I617="","",IFERROR(MID(I617,FIND("/d/",I617)+3,FIND("/edit",I617)-FIND("/d/",I617)-3),I617))</f>
        <v/>
      </c>
      <c r="X617" s="71">
        <f>IF($J617="","",IFERROR(INDEX(B!$C$2:$C$61,MATCH($J617,B!$E$2:$E$61,0))&amp;"",""))</f>
        <v/>
      </c>
      <c r="Y617" s="20" t="n"/>
      <c r="Z617" s="72">
        <f>IF($J617="",FALSE,ISNUMBER(SEARCH("scout",$K617)))</f>
        <v/>
      </c>
      <c r="AA617" s="72">
        <f>IF($J617="",FALSE,IFERROR(INDEX(B!$N$2:$N$61,MATCH($J617,B!$E$2:$E$61,0))="Sim",FALSE))</f>
        <v/>
      </c>
      <c r="AB617" s="72">
        <f>IF($J617="",FALSE,LEFT($X617,2)="XX")</f>
        <v/>
      </c>
      <c r="AC617" s="72">
        <f>IF($J617="",FALSE,IFERROR(INDEX(B!$P$2:$P$61,MATCH($J617,B!$E$2:$E$61,0))="Sim",FALSE))</f>
        <v/>
      </c>
      <c r="AD617" s="20" t="n"/>
      <c r="AE617" s="52">
        <f>IF(H617="","",HOUR(H617))</f>
        <v/>
      </c>
      <c r="AF617" s="52" t="n"/>
    </row>
    <row r="618" ht="19.5" customHeight="1" s="58">
      <c r="A618" s="62">
        <f>IF(G618="","",IF(G618=G617,"",COUNTIF($G$3:$G$976,G618)))</f>
        <v/>
      </c>
      <c r="B618" s="20" t="n"/>
      <c r="C618" s="63">
        <f>IF(G618="","",DAY(G618))</f>
        <v/>
      </c>
      <c r="D618" s="63">
        <f>IF(G618="","",MONTH(G618))</f>
        <v/>
      </c>
      <c r="E618" s="63">
        <f>IF(G618="","",YEAR(G618))</f>
        <v/>
      </c>
      <c r="F618" s="33">
        <f>IF(G618="","",CHOOSE(MONTH(G618),"Janeiro","Fevereiro","Março","Abril","Maio","Junho","Julho","Agosto","Setembro","Outubro","Novembro","Dezembro"))</f>
        <v/>
      </c>
      <c r="G618" s="64" t="n">
        <v>46072</v>
      </c>
      <c r="H618" s="65" t="n">
        <v>0.02888888888888889</v>
      </c>
      <c r="I618" s="66" t="inlineStr">
        <is>
          <t>https://docs.google.com/spreadsheets/d/1ZiCGoPjLCjuYvujDTXK9Ixbth3tekiLtFBzBrGjPCr4/edit?gid=0#gid=0</t>
        </is>
      </c>
      <c r="J618" s="67" t="inlineStr">
        <is>
          <t>Overpaid, Não excede o limite, Sem comprovante - [OPNN]</t>
        </is>
      </c>
      <c r="K618" s="67" t="inlineStr"/>
      <c r="L618" s="68" t="b">
        <v>0</v>
      </c>
      <c r="M618" s="20" t="n"/>
      <c r="N618" s="69">
        <f>IF($J618="","",IFERROR(INDEX(B!$F$2:$F$61,MATCH($J618,B!$E$2:$E$61,0))&amp;"",""))</f>
        <v/>
      </c>
      <c r="O618" s="69">
        <f>IF($J618="","",IFERROR(INDEX(B!$G$2:$G$61,MATCH($J618,B!$E$2:$E$61,0))&amp;"",""))</f>
        <v/>
      </c>
      <c r="P618" s="69">
        <f>IF($J618="","",IFERROR(INDEX(B!$H$2:$H$61,MATCH($J618,B!$E$2:$E$61,0))&amp;"",""))</f>
        <v/>
      </c>
      <c r="Q618" s="69">
        <f>IF($J618="","",IFERROR(INDEX(B!$I$2:$I$61,MATCH($J618,B!$E$2:$E$61,0))&amp;"",""))</f>
        <v/>
      </c>
      <c r="R618" s="69">
        <f>IF($J618="","",IFERROR(INDEX(B!$J$2:$J$61,MATCH($J618,B!$E$2:$E$61,0))&amp;"",""))</f>
        <v/>
      </c>
      <c r="S618" s="69">
        <f>IF($J618="","",IFERROR(INDEX(B!$K$2:$K$61,MATCH($J618,B!$E$2:$E$61,0))&amp;"",""))</f>
        <v/>
      </c>
      <c r="T618" s="69">
        <f>IF($J618="","",IFERROR(INDEX(B!$L$2:$L$61,MATCH($J618,B!$E$2:$E$61,0))&amp;"",""))</f>
        <v/>
      </c>
      <c r="U618" s="20" t="n"/>
      <c r="V618" s="70">
        <f>IF($J618="","",IFERROR(INDEX(B!$M$2:$M$61,MATCH($J618,B!$E$2:$E$61,0))&amp;"",""))</f>
        <v/>
      </c>
      <c r="W618" s="71">
        <f>IF(I618="","",IFERROR(MID(I618,FIND("/d/",I618)+3,FIND("/edit",I618)-FIND("/d/",I618)-3),I618))</f>
        <v/>
      </c>
      <c r="X618" s="71">
        <f>IF($J618="","",IFERROR(INDEX(B!$C$2:$C$61,MATCH($J618,B!$E$2:$E$61,0))&amp;"",""))</f>
        <v/>
      </c>
      <c r="Y618" s="20" t="n"/>
      <c r="Z618" s="72">
        <f>IF($J618="",FALSE,ISNUMBER(SEARCH("scout",$K618)))</f>
        <v/>
      </c>
      <c r="AA618" s="72">
        <f>IF($J618="",FALSE,IFERROR(INDEX(B!$N$2:$N$61,MATCH($J618,B!$E$2:$E$61,0))="Sim",FALSE))</f>
        <v/>
      </c>
      <c r="AB618" s="72">
        <f>IF($J618="",FALSE,LEFT($X618,2)="XX")</f>
        <v/>
      </c>
      <c r="AC618" s="72">
        <f>IF($J618="",FALSE,IFERROR(INDEX(B!$P$2:$P$61,MATCH($J618,B!$E$2:$E$61,0))="Sim",FALSE))</f>
        <v/>
      </c>
      <c r="AD618" s="20" t="n"/>
      <c r="AE618" s="52">
        <f>IF(H618="","",HOUR(H618))</f>
        <v/>
      </c>
      <c r="AF618" s="52" t="n"/>
    </row>
    <row r="619" ht="19.5" customHeight="1" s="58">
      <c r="A619" s="62">
        <f>IF(G619="","",IF(G619=G618,"",COUNTIF($G$3:$G$976,G619)))</f>
        <v/>
      </c>
      <c r="B619" s="20" t="n"/>
      <c r="C619" s="63">
        <f>IF(G619="","",DAY(G619))</f>
        <v/>
      </c>
      <c r="D619" s="63">
        <f>IF(G619="","",MONTH(G619))</f>
        <v/>
      </c>
      <c r="E619" s="63">
        <f>IF(G619="","",YEAR(G619))</f>
        <v/>
      </c>
      <c r="F619" s="33">
        <f>IF(G619="","",CHOOSE(MONTH(G619),"Janeiro","Fevereiro","Março","Abril","Maio","Junho","Julho","Agosto","Setembro","Outubro","Novembro","Dezembro"))</f>
        <v/>
      </c>
      <c r="G619" s="64" t="n">
        <v>46072</v>
      </c>
      <c r="H619" s="65" t="n">
        <v>0.03015046296296296</v>
      </c>
      <c r="I619" s="66" t="inlineStr">
        <is>
          <t>https://docs.google.com/spreadsheets/d/1ZiCGoPjLCjuYvujDTXK9Ixbth3tekiLtFBzBrGjPCr4/edit?gid=0#gid=0</t>
        </is>
      </c>
      <c r="J619" s="67" t="inlineStr">
        <is>
          <t>No Need Response (Não precisa de resposta) - [NRN]</t>
        </is>
      </c>
      <c r="K619" s="67" t="inlineStr"/>
      <c r="L619" s="68" t="b">
        <v>1</v>
      </c>
      <c r="M619" s="20" t="n"/>
      <c r="N619" s="69">
        <f>IF($J619="","",IFERROR(INDEX(B!$F$2:$F$61,MATCH($J619,B!$E$2:$E$61,0))&amp;"",""))</f>
        <v/>
      </c>
      <c r="O619" s="69">
        <f>IF($J619="","",IFERROR(INDEX(B!$G$2:$G$61,MATCH($J619,B!$E$2:$E$61,0))&amp;"",""))</f>
        <v/>
      </c>
      <c r="P619" s="69">
        <f>IF($J619="","",IFERROR(INDEX(B!$H$2:$H$61,MATCH($J619,B!$E$2:$E$61,0))&amp;"",""))</f>
        <v/>
      </c>
      <c r="Q619" s="69">
        <f>IF($J619="","",IFERROR(INDEX(B!$I$2:$I$61,MATCH($J619,B!$E$2:$E$61,0))&amp;"",""))</f>
        <v/>
      </c>
      <c r="R619" s="69">
        <f>IF($J619="","",IFERROR(INDEX(B!$J$2:$J$61,MATCH($J619,B!$E$2:$E$61,0))&amp;"",""))</f>
        <v/>
      </c>
      <c r="S619" s="69">
        <f>IF($J619="","",IFERROR(INDEX(B!$K$2:$K$61,MATCH($J619,B!$E$2:$E$61,0))&amp;"",""))</f>
        <v/>
      </c>
      <c r="T619" s="69">
        <f>IF($J619="","",IFERROR(INDEX(B!$L$2:$L$61,MATCH($J619,B!$E$2:$E$61,0))&amp;"",""))</f>
        <v/>
      </c>
      <c r="U619" s="20" t="n"/>
      <c r="V619" s="70">
        <f>IF($J619="","",IFERROR(INDEX(B!$M$2:$M$61,MATCH($J619,B!$E$2:$E$61,0))&amp;"",""))</f>
        <v/>
      </c>
      <c r="W619" s="71">
        <f>IF(I619="","",IFERROR(MID(I619,FIND("/d/",I619)+3,FIND("/edit",I619)-FIND("/d/",I619)-3),I619))</f>
        <v/>
      </c>
      <c r="X619" s="71">
        <f>IF($J619="","",IFERROR(INDEX(B!$C$2:$C$61,MATCH($J619,B!$E$2:$E$61,0))&amp;"",""))</f>
        <v/>
      </c>
      <c r="Y619" s="20" t="n"/>
      <c r="Z619" s="72">
        <f>IF($J619="",FALSE,ISNUMBER(SEARCH("scout",$K619)))</f>
        <v/>
      </c>
      <c r="AA619" s="72">
        <f>IF($J619="",FALSE,IFERROR(INDEX(B!$N$2:$N$61,MATCH($J619,B!$E$2:$E$61,0))="Sim",FALSE))</f>
        <v/>
      </c>
      <c r="AB619" s="72">
        <f>IF($J619="",FALSE,LEFT($X619,2)="XX")</f>
        <v/>
      </c>
      <c r="AC619" s="72">
        <f>IF($J619="",FALSE,IFERROR(INDEX(B!$P$2:$P$61,MATCH($J619,B!$E$2:$E$61,0))="Sim",FALSE))</f>
        <v/>
      </c>
      <c r="AD619" s="20" t="n"/>
      <c r="AE619" s="52">
        <f>IF(H619="","",HOUR(H619))</f>
        <v/>
      </c>
      <c r="AF619" s="52" t="n"/>
    </row>
    <row r="620" ht="19.5" customHeight="1" s="58">
      <c r="A620" s="62">
        <f>IF(G620="","",IF(G620=G619,"",COUNTIF($G$3:$G$976,G620)))</f>
        <v/>
      </c>
      <c r="B620" s="20" t="n"/>
      <c r="C620" s="63">
        <f>IF(G620="","",DAY(G620))</f>
        <v/>
      </c>
      <c r="D620" s="63">
        <f>IF(G620="","",MONTH(G620))</f>
        <v/>
      </c>
      <c r="E620" s="63">
        <f>IF(G620="","",YEAR(G620))</f>
        <v/>
      </c>
      <c r="F620" s="33">
        <f>IF(G620="","",CHOOSE(MONTH(G620),"Janeiro","Fevereiro","Março","Abril","Maio","Junho","Julho","Agosto","Setembro","Outubro","Novembro","Dezembro"))</f>
        <v/>
      </c>
      <c r="G620" s="64" t="n">
        <v>46072</v>
      </c>
      <c r="H620" s="65" t="n">
        <v>0.03403935185185185</v>
      </c>
      <c r="I620" s="66" t="inlineStr">
        <is>
          <t>https://docs.google.com/spreadsheets/d/1ZiCGoPjLCjuYvujDTXK9Ixbth3tekiLtFBzBrGjPCr4/edit?gid=0#gid=0</t>
        </is>
      </c>
      <c r="J620" s="67" t="inlineStr">
        <is>
          <t>Trajeto Ruim - [TR]</t>
        </is>
      </c>
      <c r="K620" s="67" t="inlineStr">
        <is>
          <t>Scout</t>
        </is>
      </c>
      <c r="L620" s="68" t="b">
        <v>0</v>
      </c>
      <c r="M620" s="20" t="n"/>
      <c r="N620" s="69">
        <f>IF($J620="","",IFERROR(INDEX(B!$F$2:$F$61,MATCH($J620,B!$E$2:$E$61,0))&amp;"",""))</f>
        <v/>
      </c>
      <c r="O620" s="69">
        <f>IF($J620="","",IFERROR(INDEX(B!$G$2:$G$61,MATCH($J620,B!$E$2:$E$61,0))&amp;"",""))</f>
        <v/>
      </c>
      <c r="P620" s="69">
        <f>IF($J620="","",IFERROR(INDEX(B!$H$2:$H$61,MATCH($J620,B!$E$2:$E$61,0))&amp;"",""))</f>
        <v/>
      </c>
      <c r="Q620" s="69">
        <f>IF($J620="","",IFERROR(INDEX(B!$I$2:$I$61,MATCH($J620,B!$E$2:$E$61,0))&amp;"",""))</f>
        <v/>
      </c>
      <c r="R620" s="69">
        <f>IF($J620="","",IFERROR(INDEX(B!$J$2:$J$61,MATCH($J620,B!$E$2:$E$61,0))&amp;"",""))</f>
        <v/>
      </c>
      <c r="S620" s="69">
        <f>IF($J620="","",IFERROR(INDEX(B!$K$2:$K$61,MATCH($J620,B!$E$2:$E$61,0))&amp;"",""))</f>
        <v/>
      </c>
      <c r="T620" s="69">
        <f>IF($J620="","",IFERROR(INDEX(B!$L$2:$L$61,MATCH($J620,B!$E$2:$E$61,0))&amp;"",""))</f>
        <v/>
      </c>
      <c r="U620" s="20" t="n"/>
      <c r="V620" s="70">
        <f>IF($J620="","",IFERROR(INDEX(B!$M$2:$M$61,MATCH($J620,B!$E$2:$E$61,0))&amp;"",""))</f>
        <v/>
      </c>
      <c r="W620" s="71">
        <f>IF(I620="","",IFERROR(MID(I620,FIND("/d/",I620)+3,FIND("/edit",I620)-FIND("/d/",I620)-3),I620))</f>
        <v/>
      </c>
      <c r="X620" s="71">
        <f>IF($J620="","",IFERROR(INDEX(B!$C$2:$C$61,MATCH($J620,B!$E$2:$E$61,0))&amp;"",""))</f>
        <v/>
      </c>
      <c r="Y620" s="20" t="n"/>
      <c r="Z620" s="72">
        <f>IF($J620="",FALSE,ISNUMBER(SEARCH("scout",$K620)))</f>
        <v/>
      </c>
      <c r="AA620" s="72">
        <f>IF($J620="",FALSE,IFERROR(INDEX(B!$N$2:$N$61,MATCH($J620,B!$E$2:$E$61,0))="Sim",FALSE))</f>
        <v/>
      </c>
      <c r="AB620" s="72">
        <f>IF($J620="",FALSE,LEFT($X620,2)="XX")</f>
        <v/>
      </c>
      <c r="AC620" s="72">
        <f>IF($J620="",FALSE,IFERROR(INDEX(B!$P$2:$P$61,MATCH($J620,B!$E$2:$E$61,0))="Sim",FALSE))</f>
        <v/>
      </c>
      <c r="AD620" s="20" t="n"/>
      <c r="AE620" s="52">
        <f>IF(H620="","",HOUR(H620))</f>
        <v/>
      </c>
      <c r="AF620" s="52" t="n"/>
    </row>
    <row r="621" ht="19.5" customHeight="1" s="58">
      <c r="A621" s="62">
        <f>IF(G621="","",IF(G621=G620,"",COUNTIF($G$3:$G$976,G621)))</f>
        <v/>
      </c>
      <c r="B621" s="20" t="n"/>
      <c r="C621" s="63">
        <f>IF(G621="","",DAY(G621))</f>
        <v/>
      </c>
      <c r="D621" s="63">
        <f>IF(G621="","",MONTH(G621))</f>
        <v/>
      </c>
      <c r="E621" s="63">
        <f>IF(G621="","",YEAR(G621))</f>
        <v/>
      </c>
      <c r="F621" s="33">
        <f>IF(G621="","",CHOOSE(MONTH(G621),"Janeiro","Fevereiro","Março","Abril","Maio","Junho","Julho","Agosto","Setembro","Outubro","Novembro","Dezembro"))</f>
        <v/>
      </c>
      <c r="G621" s="64" t="n">
        <v>46072</v>
      </c>
      <c r="H621" s="65" t="n">
        <v>0.0353125</v>
      </c>
      <c r="I621" s="66" t="inlineStr">
        <is>
          <t>https://docs.google.com/spreadsheets/d/1ZiCGoPjLCjuYvujDTXK9Ixbth3tekiLtFBzBrGjPCr4/edit?gid=0#gid=0</t>
        </is>
      </c>
      <c r="J621" s="67" t="inlineStr">
        <is>
          <t>Taxa de Limpeza - [TXL]</t>
        </is>
      </c>
      <c r="K621" s="67" t="inlineStr"/>
      <c r="L621" s="68" t="b">
        <v>0</v>
      </c>
      <c r="M621" s="20" t="n"/>
      <c r="N621" s="69">
        <f>IF($J621="","",IFERROR(INDEX(B!$F$2:$F$61,MATCH($J621,B!$E$2:$E$61,0))&amp;"",""))</f>
        <v/>
      </c>
      <c r="O621" s="69">
        <f>IF($J621="","",IFERROR(INDEX(B!$G$2:$G$61,MATCH($J621,B!$E$2:$E$61,0))&amp;"",""))</f>
        <v/>
      </c>
      <c r="P621" s="69">
        <f>IF($J621="","",IFERROR(INDEX(B!$H$2:$H$61,MATCH($J621,B!$E$2:$E$61,0))&amp;"",""))</f>
        <v/>
      </c>
      <c r="Q621" s="69">
        <f>IF($J621="","",IFERROR(INDEX(B!$I$2:$I$61,MATCH($J621,B!$E$2:$E$61,0))&amp;"",""))</f>
        <v/>
      </c>
      <c r="R621" s="69">
        <f>IF($J621="","",IFERROR(INDEX(B!$J$2:$J$61,MATCH($J621,B!$E$2:$E$61,0))&amp;"",""))</f>
        <v/>
      </c>
      <c r="S621" s="69">
        <f>IF($J621="","",IFERROR(INDEX(B!$K$2:$K$61,MATCH($J621,B!$E$2:$E$61,0))&amp;"",""))</f>
        <v/>
      </c>
      <c r="T621" s="69">
        <f>IF($J621="","",IFERROR(INDEX(B!$L$2:$L$61,MATCH($J621,B!$E$2:$E$61,0))&amp;"",""))</f>
        <v/>
      </c>
      <c r="U621" s="20" t="n"/>
      <c r="V621" s="70">
        <f>IF($J621="","",IFERROR(INDEX(B!$M$2:$M$61,MATCH($J621,B!$E$2:$E$61,0))&amp;"",""))</f>
        <v/>
      </c>
      <c r="W621" s="71">
        <f>IF(I621="","",IFERROR(MID(I621,FIND("/d/",I621)+3,FIND("/edit",I621)-FIND("/d/",I621)-3),I621))</f>
        <v/>
      </c>
      <c r="X621" s="71">
        <f>IF($J621="","",IFERROR(INDEX(B!$C$2:$C$61,MATCH($J621,B!$E$2:$E$61,0))&amp;"",""))</f>
        <v/>
      </c>
      <c r="Y621" s="20" t="n"/>
      <c r="Z621" s="72">
        <f>IF($J621="",FALSE,ISNUMBER(SEARCH("scout",$K621)))</f>
        <v/>
      </c>
      <c r="AA621" s="72">
        <f>IF($J621="",FALSE,IFERROR(INDEX(B!$N$2:$N$61,MATCH($J621,B!$E$2:$E$61,0))="Sim",FALSE))</f>
        <v/>
      </c>
      <c r="AB621" s="72">
        <f>IF($J621="",FALSE,LEFT($X621,2)="XX")</f>
        <v/>
      </c>
      <c r="AC621" s="72">
        <f>IF($J621="",FALSE,IFERROR(INDEX(B!$P$2:$P$61,MATCH($J621,B!$E$2:$E$61,0))="Sim",FALSE))</f>
        <v/>
      </c>
      <c r="AD621" s="20" t="n"/>
      <c r="AE621" s="52">
        <f>IF(H621="","",HOUR(H621))</f>
        <v/>
      </c>
      <c r="AF621" s="52" t="n"/>
    </row>
    <row r="622" ht="19.5" customHeight="1" s="58">
      <c r="A622" s="62">
        <f>IF(G622="","",IF(G622=G621,"",COUNTIF($G$3:$G$976,G622)))</f>
        <v/>
      </c>
      <c r="B622" s="20" t="n"/>
      <c r="C622" s="63">
        <f>IF(G622="","",DAY(G622))</f>
        <v/>
      </c>
      <c r="D622" s="63">
        <f>IF(G622="","",MONTH(G622))</f>
        <v/>
      </c>
      <c r="E622" s="63">
        <f>IF(G622="","",YEAR(G622))</f>
        <v/>
      </c>
      <c r="F622" s="33">
        <f>IF(G622="","",CHOOSE(MONTH(G622),"Janeiro","Fevereiro","Março","Abril","Maio","Junho","Julho","Agosto","Setembro","Outubro","Novembro","Dezembro"))</f>
        <v/>
      </c>
      <c r="G622" s="64" t="n">
        <v>46072</v>
      </c>
      <c r="H622" s="65" t="n">
        <v>0.04064814814814815</v>
      </c>
      <c r="I622" s="66" t="inlineStr">
        <is>
          <t>https://docs.google.com/spreadsheets/d/1ZiCGoPjLCjuYvujDTXK9Ixbth3tekiLtFBzBrGjPCr4/edit?gid=0#gid=0</t>
        </is>
      </c>
      <c r="J622" s="67" t="inlineStr">
        <is>
          <t>Trajeto Ruim - [TR]</t>
        </is>
      </c>
      <c r="K622" s="67" t="inlineStr"/>
      <c r="L622" s="68" t="b">
        <v>0</v>
      </c>
      <c r="M622" s="20" t="n"/>
      <c r="N622" s="69">
        <f>IF($J622="","",IFERROR(INDEX(B!$F$2:$F$61,MATCH($J622,B!$E$2:$E$61,0))&amp;"",""))</f>
        <v/>
      </c>
      <c r="O622" s="69">
        <f>IF($J622="","",IFERROR(INDEX(B!$G$2:$G$61,MATCH($J622,B!$E$2:$E$61,0))&amp;"",""))</f>
        <v/>
      </c>
      <c r="P622" s="69">
        <f>IF($J622="","",IFERROR(INDEX(B!$H$2:$H$61,MATCH($J622,B!$E$2:$E$61,0))&amp;"",""))</f>
        <v/>
      </c>
      <c r="Q622" s="69">
        <f>IF($J622="","",IFERROR(INDEX(B!$I$2:$I$61,MATCH($J622,B!$E$2:$E$61,0))&amp;"",""))</f>
        <v/>
      </c>
      <c r="R622" s="69">
        <f>IF($J622="","",IFERROR(INDEX(B!$J$2:$J$61,MATCH($J622,B!$E$2:$E$61,0))&amp;"",""))</f>
        <v/>
      </c>
      <c r="S622" s="69">
        <f>IF($J622="","",IFERROR(INDEX(B!$K$2:$K$61,MATCH($J622,B!$E$2:$E$61,0))&amp;"",""))</f>
        <v/>
      </c>
      <c r="T622" s="69">
        <f>IF($J622="","",IFERROR(INDEX(B!$L$2:$L$61,MATCH($J622,B!$E$2:$E$61,0))&amp;"",""))</f>
        <v/>
      </c>
      <c r="U622" s="20" t="n"/>
      <c r="V622" s="70">
        <f>IF($J622="","",IFERROR(INDEX(B!$M$2:$M$61,MATCH($J622,B!$E$2:$E$61,0))&amp;"",""))</f>
        <v/>
      </c>
      <c r="W622" s="71">
        <f>IF(I622="","",IFERROR(MID(I622,FIND("/d/",I622)+3,FIND("/edit",I622)-FIND("/d/",I622)-3),I622))</f>
        <v/>
      </c>
      <c r="X622" s="71">
        <f>IF($J622="","",IFERROR(INDEX(B!$C$2:$C$61,MATCH($J622,B!$E$2:$E$61,0))&amp;"",""))</f>
        <v/>
      </c>
      <c r="Y622" s="20" t="n"/>
      <c r="Z622" s="72">
        <f>IF($J622="",FALSE,ISNUMBER(SEARCH("scout",$K622)))</f>
        <v/>
      </c>
      <c r="AA622" s="72">
        <f>IF($J622="",FALSE,IFERROR(INDEX(B!$N$2:$N$61,MATCH($J622,B!$E$2:$E$61,0))="Sim",FALSE))</f>
        <v/>
      </c>
      <c r="AB622" s="72">
        <f>IF($J622="",FALSE,LEFT($X622,2)="XX")</f>
        <v/>
      </c>
      <c r="AC622" s="72">
        <f>IF($J622="",FALSE,IFERROR(INDEX(B!$P$2:$P$61,MATCH($J622,B!$E$2:$E$61,0))="Sim",FALSE))</f>
        <v/>
      </c>
      <c r="AD622" s="20" t="n"/>
      <c r="AE622" s="52">
        <f>IF(H622="","",HOUR(H622))</f>
        <v/>
      </c>
      <c r="AF622" s="52" t="n"/>
    </row>
    <row r="623" ht="19.5" customHeight="1" s="58">
      <c r="A623" s="62">
        <f>IF(G623="","",IF(G623=G622,"",COUNTIF($G$3:$G$976,G623)))</f>
        <v/>
      </c>
      <c r="B623" s="20" t="n"/>
      <c r="C623" s="63">
        <f>IF(G623="","",DAY(G623))</f>
        <v/>
      </c>
      <c r="D623" s="63">
        <f>IF(G623="","",MONTH(G623))</f>
        <v/>
      </c>
      <c r="E623" s="63">
        <f>IF(G623="","",YEAR(G623))</f>
        <v/>
      </c>
      <c r="F623" s="33">
        <f>IF(G623="","",CHOOSE(MONTH(G623),"Janeiro","Fevereiro","Março","Abril","Maio","Junho","Julho","Agosto","Setembro","Outubro","Novembro","Dezembro"))</f>
        <v/>
      </c>
      <c r="G623" s="64" t="n">
        <v>46072</v>
      </c>
      <c r="H623" s="65" t="n">
        <v>0.05127314814814815</v>
      </c>
      <c r="I623" s="66" t="inlineStr">
        <is>
          <t>https://docs.google.com/spreadsheets/d/1ZiCGoPjLCjuYvujDTXK9Ixbth3tekiLtFBzBrGjPCr4/edit?gid=0#gid=0</t>
        </is>
      </c>
      <c r="J623" s="67" t="inlineStr">
        <is>
          <t>Transferência de LOB (Accounts) - [TIAC]</t>
        </is>
      </c>
      <c r="K623" s="67" t="inlineStr"/>
      <c r="L623" s="68" t="b">
        <v>0</v>
      </c>
      <c r="M623" s="20" t="n"/>
      <c r="N623" s="69">
        <f>IF($J623="","",IFERROR(INDEX(B!$F$2:$F$61,MATCH($J623,B!$E$2:$E$61,0))&amp;"",""))</f>
        <v/>
      </c>
      <c r="O623" s="69">
        <f>IF($J623="","",IFERROR(INDEX(B!$G$2:$G$61,MATCH($J623,B!$E$2:$E$61,0))&amp;"",""))</f>
        <v/>
      </c>
      <c r="P623" s="69">
        <f>IF($J623="","",IFERROR(INDEX(B!$H$2:$H$61,MATCH($J623,B!$E$2:$E$61,0))&amp;"",""))</f>
        <v/>
      </c>
      <c r="Q623" s="69">
        <f>IF($J623="","",IFERROR(INDEX(B!$I$2:$I$61,MATCH($J623,B!$E$2:$E$61,0))&amp;"",""))</f>
        <v/>
      </c>
      <c r="R623" s="69">
        <f>IF($J623="","",IFERROR(INDEX(B!$J$2:$J$61,MATCH($J623,B!$E$2:$E$61,0))&amp;"",""))</f>
        <v/>
      </c>
      <c r="S623" s="69">
        <f>IF($J623="","",IFERROR(INDEX(B!$K$2:$K$61,MATCH($J623,B!$E$2:$E$61,0))&amp;"",""))</f>
        <v/>
      </c>
      <c r="T623" s="69">
        <f>IF($J623="","",IFERROR(INDEX(B!$L$2:$L$61,MATCH($J623,B!$E$2:$E$61,0))&amp;"",""))</f>
        <v/>
      </c>
      <c r="U623" s="20" t="n"/>
      <c r="V623" s="70">
        <f>IF($J623="","",IFERROR(INDEX(B!$M$2:$M$61,MATCH($J623,B!$E$2:$E$61,0))&amp;"",""))</f>
        <v/>
      </c>
      <c r="W623" s="71">
        <f>IF(I623="","",IFERROR(MID(I623,FIND("/d/",I623)+3,FIND("/edit",I623)-FIND("/d/",I623)-3),I623))</f>
        <v/>
      </c>
      <c r="X623" s="71">
        <f>IF($J623="","",IFERROR(INDEX(B!$C$2:$C$61,MATCH($J623,B!$E$2:$E$61,0))&amp;"",""))</f>
        <v/>
      </c>
      <c r="Y623" s="20" t="n"/>
      <c r="Z623" s="72">
        <f>IF($J623="",FALSE,ISNUMBER(SEARCH("scout",$K623)))</f>
        <v/>
      </c>
      <c r="AA623" s="72">
        <f>IF($J623="",FALSE,IFERROR(INDEX(B!$N$2:$N$61,MATCH($J623,B!$E$2:$E$61,0))="Sim",FALSE))</f>
        <v/>
      </c>
      <c r="AB623" s="72">
        <f>IF($J623="",FALSE,LEFT($X623,2)="XX")</f>
        <v/>
      </c>
      <c r="AC623" s="72">
        <f>IF($J623="",FALSE,IFERROR(INDEX(B!$P$2:$P$61,MATCH($J623,B!$E$2:$E$61,0))="Sim",FALSE))</f>
        <v/>
      </c>
      <c r="AD623" s="20" t="n"/>
      <c r="AE623" s="52">
        <f>IF(H623="","",HOUR(H623))</f>
        <v/>
      </c>
      <c r="AF623" s="52" t="n"/>
    </row>
    <row r="624" ht="19.5" customHeight="1" s="58">
      <c r="A624" s="62">
        <f>IF(G624="","",IF(G624=G623,"",COUNTIF($G$3:$G$976,G624)))</f>
        <v/>
      </c>
      <c r="B624" s="20" t="n"/>
      <c r="C624" s="63">
        <f>IF(G624="","",DAY(G624))</f>
        <v/>
      </c>
      <c r="D624" s="63">
        <f>IF(G624="","",MONTH(G624))</f>
        <v/>
      </c>
      <c r="E624" s="63">
        <f>IF(G624="","",YEAR(G624))</f>
        <v/>
      </c>
      <c r="F624" s="33">
        <f>IF(G624="","",CHOOSE(MONTH(G624),"Janeiro","Fevereiro","Março","Abril","Maio","Junho","Julho","Agosto","Setembro","Outubro","Novembro","Dezembro"))</f>
        <v/>
      </c>
      <c r="G624" s="64" t="n">
        <v>46072</v>
      </c>
      <c r="H624" s="65" t="n">
        <v>0.05379629629629629</v>
      </c>
      <c r="I624" s="66" t="inlineStr">
        <is>
          <t>https://docs.google.com/spreadsheets/d/1ZiCGoPjLCjuYvujDTXK9Ixbth3tekiLtFBzBrGjPCr4/edit?gid=0#gid=0</t>
        </is>
      </c>
      <c r="J624" s="67" t="inlineStr">
        <is>
          <t>Comprovante de Pagamento - [CP]</t>
        </is>
      </c>
      <c r="K624" s="67" t="inlineStr"/>
      <c r="L624" s="68" t="b">
        <v>0</v>
      </c>
      <c r="M624" s="20" t="n"/>
      <c r="N624" s="69">
        <f>IF($J624="","",IFERROR(INDEX(B!$F$2:$F$61,MATCH($J624,B!$E$2:$E$61,0))&amp;"",""))</f>
        <v/>
      </c>
      <c r="O624" s="69">
        <f>IF($J624="","",IFERROR(INDEX(B!$G$2:$G$61,MATCH($J624,B!$E$2:$E$61,0))&amp;"",""))</f>
        <v/>
      </c>
      <c r="P624" s="69">
        <f>IF($J624="","",IFERROR(INDEX(B!$H$2:$H$61,MATCH($J624,B!$E$2:$E$61,0))&amp;"",""))</f>
        <v/>
      </c>
      <c r="Q624" s="69">
        <f>IF($J624="","",IFERROR(INDEX(B!$I$2:$I$61,MATCH($J624,B!$E$2:$E$61,0))&amp;"",""))</f>
        <v/>
      </c>
      <c r="R624" s="69">
        <f>IF($J624="","",IFERROR(INDEX(B!$J$2:$J$61,MATCH($J624,B!$E$2:$E$61,0))&amp;"",""))</f>
        <v/>
      </c>
      <c r="S624" s="69">
        <f>IF($J624="","",IFERROR(INDEX(B!$K$2:$K$61,MATCH($J624,B!$E$2:$E$61,0))&amp;"",""))</f>
        <v/>
      </c>
      <c r="T624" s="69">
        <f>IF($J624="","",IFERROR(INDEX(B!$L$2:$L$61,MATCH($J624,B!$E$2:$E$61,0))&amp;"",""))</f>
        <v/>
      </c>
      <c r="U624" s="20" t="n"/>
      <c r="V624" s="70">
        <f>IF($J624="","",IFERROR(INDEX(B!$M$2:$M$61,MATCH($J624,B!$E$2:$E$61,0))&amp;"",""))</f>
        <v/>
      </c>
      <c r="W624" s="71">
        <f>IF(I624="","",IFERROR(MID(I624,FIND("/d/",I624)+3,FIND("/edit",I624)-FIND("/d/",I624)-3),I624))</f>
        <v/>
      </c>
      <c r="X624" s="71">
        <f>IF($J624="","",IFERROR(INDEX(B!$C$2:$C$61,MATCH($J624,B!$E$2:$E$61,0))&amp;"",""))</f>
        <v/>
      </c>
      <c r="Y624" s="20" t="n"/>
      <c r="Z624" s="72">
        <f>IF($J624="",FALSE,ISNUMBER(SEARCH("scout",$K624)))</f>
        <v/>
      </c>
      <c r="AA624" s="72">
        <f>IF($J624="",FALSE,IFERROR(INDEX(B!$N$2:$N$61,MATCH($J624,B!$E$2:$E$61,0))="Sim",FALSE))</f>
        <v/>
      </c>
      <c r="AB624" s="72">
        <f>IF($J624="",FALSE,LEFT($X624,2)="XX")</f>
        <v/>
      </c>
      <c r="AC624" s="72">
        <f>IF($J624="",FALSE,IFERROR(INDEX(B!$P$2:$P$61,MATCH($J624,B!$E$2:$E$61,0))="Sim",FALSE))</f>
        <v/>
      </c>
      <c r="AD624" s="20" t="n"/>
      <c r="AE624" s="52">
        <f>IF(H624="","",HOUR(H624))</f>
        <v/>
      </c>
      <c r="AF624" s="52" t="n"/>
    </row>
    <row r="625" ht="19.5" customHeight="1" s="58">
      <c r="A625" s="62">
        <f>IF(G625="","",IF(G625=G624,"",COUNTIF($G$3:$G$976,G625)))</f>
        <v/>
      </c>
      <c r="B625" s="20" t="n"/>
      <c r="C625" s="63">
        <f>IF(G625="","",DAY(G625))</f>
        <v/>
      </c>
      <c r="D625" s="63">
        <f>IF(G625="","",MONTH(G625))</f>
        <v/>
      </c>
      <c r="E625" s="63">
        <f>IF(G625="","",YEAR(G625))</f>
        <v/>
      </c>
      <c r="F625" s="33">
        <f>IF(G625="","",CHOOSE(MONTH(G625),"Janeiro","Fevereiro","Março","Abril","Maio","Junho","Julho","Agosto","Setembro","Outubro","Novembro","Dezembro"))</f>
        <v/>
      </c>
      <c r="G625" s="64" t="n">
        <v>46072</v>
      </c>
      <c r="H625" s="65" t="n">
        <v>0.05708333333333333</v>
      </c>
      <c r="I625" s="66" t="inlineStr">
        <is>
          <t>https://docs.google.com/spreadsheets/d/1ZiCGoPjLCjuYvujDTXK9Ixbth3tekiLtFBzBrGjPCr4/edit?gid=0#gid=0</t>
        </is>
      </c>
      <c r="J625" s="67" t="inlineStr">
        <is>
          <t>Transferência de LOB (Lost Items) - [TILI]</t>
        </is>
      </c>
      <c r="K625" s="67" t="inlineStr">
        <is>
          <t>Scout</t>
        </is>
      </c>
      <c r="L625" s="68" t="b">
        <v>0</v>
      </c>
      <c r="M625" s="20" t="n"/>
      <c r="N625" s="69">
        <f>IF($J625="","",IFERROR(INDEX(B!$F$2:$F$61,MATCH($J625,B!$E$2:$E$61,0))&amp;"",""))</f>
        <v/>
      </c>
      <c r="O625" s="69">
        <f>IF($J625="","",IFERROR(INDEX(B!$G$2:$G$61,MATCH($J625,B!$E$2:$E$61,0))&amp;"",""))</f>
        <v/>
      </c>
      <c r="P625" s="69">
        <f>IF($J625="","",IFERROR(INDEX(B!$H$2:$H$61,MATCH($J625,B!$E$2:$E$61,0))&amp;"",""))</f>
        <v/>
      </c>
      <c r="Q625" s="69">
        <f>IF($J625="","",IFERROR(INDEX(B!$I$2:$I$61,MATCH($J625,B!$E$2:$E$61,0))&amp;"",""))</f>
        <v/>
      </c>
      <c r="R625" s="69">
        <f>IF($J625="","",IFERROR(INDEX(B!$J$2:$J$61,MATCH($J625,B!$E$2:$E$61,0))&amp;"",""))</f>
        <v/>
      </c>
      <c r="S625" s="69">
        <f>IF($J625="","",IFERROR(INDEX(B!$K$2:$K$61,MATCH($J625,B!$E$2:$E$61,0))&amp;"",""))</f>
        <v/>
      </c>
      <c r="T625" s="69">
        <f>IF($J625="","",IFERROR(INDEX(B!$L$2:$L$61,MATCH($J625,B!$E$2:$E$61,0))&amp;"",""))</f>
        <v/>
      </c>
      <c r="U625" s="20" t="n"/>
      <c r="V625" s="70">
        <f>IF($J625="","",IFERROR(INDEX(B!$M$2:$M$61,MATCH($J625,B!$E$2:$E$61,0))&amp;"",""))</f>
        <v/>
      </c>
      <c r="W625" s="71">
        <f>IF(I625="","",IFERROR(MID(I625,FIND("/d/",I625)+3,FIND("/edit",I625)-FIND("/d/",I625)-3),I625))</f>
        <v/>
      </c>
      <c r="X625" s="71">
        <f>IF($J625="","",IFERROR(INDEX(B!$C$2:$C$61,MATCH($J625,B!$E$2:$E$61,0))&amp;"",""))</f>
        <v/>
      </c>
      <c r="Y625" s="20" t="n"/>
      <c r="Z625" s="72">
        <f>IF($J625="",FALSE,ISNUMBER(SEARCH("scout",$K625)))</f>
        <v/>
      </c>
      <c r="AA625" s="72">
        <f>IF($J625="",FALSE,IFERROR(INDEX(B!$N$2:$N$61,MATCH($J625,B!$E$2:$E$61,0))="Sim",FALSE))</f>
        <v/>
      </c>
      <c r="AB625" s="72">
        <f>IF($J625="",FALSE,LEFT($X625,2)="XX")</f>
        <v/>
      </c>
      <c r="AC625" s="72">
        <f>IF($J625="",FALSE,IFERROR(INDEX(B!$P$2:$P$61,MATCH($J625,B!$E$2:$E$61,0))="Sim",FALSE))</f>
        <v/>
      </c>
      <c r="AD625" s="20" t="n"/>
      <c r="AE625" s="52">
        <f>IF(H625="","",HOUR(H625))</f>
        <v/>
      </c>
      <c r="AF625" s="52" t="n"/>
    </row>
    <row r="626" ht="19.5" customHeight="1" s="58">
      <c r="A626" s="62">
        <f>IF(G626="","",IF(G626=G625,"",COUNTIF($G$3:$G$976,G626)))</f>
        <v/>
      </c>
      <c r="B626" s="20" t="n"/>
      <c r="C626" s="63">
        <f>IF(G626="","",DAY(G626))</f>
        <v/>
      </c>
      <c r="D626" s="63">
        <f>IF(G626="","",MONTH(G626))</f>
        <v/>
      </c>
      <c r="E626" s="63">
        <f>IF(G626="","",YEAR(G626))</f>
        <v/>
      </c>
      <c r="F626" s="33">
        <f>IF(G626="","",CHOOSE(MONTH(G626),"Janeiro","Fevereiro","Março","Abril","Maio","Junho","Julho","Agosto","Setembro","Outubro","Novembro","Dezembro"))</f>
        <v/>
      </c>
      <c r="G626" s="64" t="n">
        <v>46072</v>
      </c>
      <c r="H626" s="65" t="n">
        <v>0.05709490740740741</v>
      </c>
      <c r="I626" s="66" t="inlineStr">
        <is>
          <t>https://docs.google.com/spreadsheets/d/1ZiCGoPjLCjuYvujDTXK9Ixbth3tekiLtFBzBrGjPCr4/edit?gid=0#gid=0</t>
        </is>
      </c>
      <c r="J626" s="67" t="inlineStr">
        <is>
          <t>Viagem Calculada Incorretamente - [VCI]</t>
        </is>
      </c>
      <c r="K626" s="67" t="inlineStr">
        <is>
          <t>Scout</t>
        </is>
      </c>
      <c r="L626" s="68" t="b">
        <v>0</v>
      </c>
      <c r="M626" s="20" t="n"/>
      <c r="N626" s="69">
        <f>IF($J626="","",IFERROR(INDEX(B!$F$2:$F$61,MATCH($J626,B!$E$2:$E$61,0))&amp;"",""))</f>
        <v/>
      </c>
      <c r="O626" s="69">
        <f>IF($J626="","",IFERROR(INDEX(B!$G$2:$G$61,MATCH($J626,B!$E$2:$E$61,0))&amp;"",""))</f>
        <v/>
      </c>
      <c r="P626" s="69">
        <f>IF($J626="","",IFERROR(INDEX(B!$H$2:$H$61,MATCH($J626,B!$E$2:$E$61,0))&amp;"",""))</f>
        <v/>
      </c>
      <c r="Q626" s="69">
        <f>IF($J626="","",IFERROR(INDEX(B!$I$2:$I$61,MATCH($J626,B!$E$2:$E$61,0))&amp;"",""))</f>
        <v/>
      </c>
      <c r="R626" s="69">
        <f>IF($J626="","",IFERROR(INDEX(B!$J$2:$J$61,MATCH($J626,B!$E$2:$E$61,0))&amp;"",""))</f>
        <v/>
      </c>
      <c r="S626" s="69">
        <f>IF($J626="","",IFERROR(INDEX(B!$K$2:$K$61,MATCH($J626,B!$E$2:$E$61,0))&amp;"",""))</f>
        <v/>
      </c>
      <c r="T626" s="69">
        <f>IF($J626="","",IFERROR(INDEX(B!$L$2:$L$61,MATCH($J626,B!$E$2:$E$61,0))&amp;"",""))</f>
        <v/>
      </c>
      <c r="U626" s="20" t="n"/>
      <c r="V626" s="70">
        <f>IF($J626="","",IFERROR(INDEX(B!$M$2:$M$61,MATCH($J626,B!$E$2:$E$61,0))&amp;"",""))</f>
        <v/>
      </c>
      <c r="W626" s="71">
        <f>IF(I626="","",IFERROR(MID(I626,FIND("/d/",I626)+3,FIND("/edit",I626)-FIND("/d/",I626)-3),I626))</f>
        <v/>
      </c>
      <c r="X626" s="71">
        <f>IF($J626="","",IFERROR(INDEX(B!$C$2:$C$61,MATCH($J626,B!$E$2:$E$61,0))&amp;"",""))</f>
        <v/>
      </c>
      <c r="Y626" s="20" t="n"/>
      <c r="Z626" s="72">
        <f>IF($J626="",FALSE,ISNUMBER(SEARCH("scout",$K626)))</f>
        <v/>
      </c>
      <c r="AA626" s="72">
        <f>IF($J626="",FALSE,IFERROR(INDEX(B!$N$2:$N$61,MATCH($J626,B!$E$2:$E$61,0))="Sim",FALSE))</f>
        <v/>
      </c>
      <c r="AB626" s="72">
        <f>IF($J626="",FALSE,LEFT($X626,2)="XX")</f>
        <v/>
      </c>
      <c r="AC626" s="72">
        <f>IF($J626="",FALSE,IFERROR(INDEX(B!$P$2:$P$61,MATCH($J626,B!$E$2:$E$61,0))="Sim",FALSE))</f>
        <v/>
      </c>
      <c r="AD626" s="20" t="n"/>
      <c r="AE626" s="52">
        <f>IF(H626="","",HOUR(H626))</f>
        <v/>
      </c>
      <c r="AF626" s="52" t="n"/>
    </row>
    <row r="627" ht="19.5" customHeight="1" s="58">
      <c r="A627" s="62">
        <f>IF(G627="","",IF(G627=G626,"",COUNTIF($G$3:$G$976,G627)))</f>
        <v/>
      </c>
      <c r="B627" s="20" t="n"/>
      <c r="C627" s="63">
        <f>IF(G627="","",DAY(G627))</f>
        <v/>
      </c>
      <c r="D627" s="63">
        <f>IF(G627="","",MONTH(G627))</f>
        <v/>
      </c>
      <c r="E627" s="63">
        <f>IF(G627="","",YEAR(G627))</f>
        <v/>
      </c>
      <c r="F627" s="33">
        <f>IF(G627="","",CHOOSE(MONTH(G627),"Janeiro","Fevereiro","Março","Abril","Maio","Junho","Julho","Agosto","Setembro","Outubro","Novembro","Dezembro"))</f>
        <v/>
      </c>
      <c r="G627" s="64" t="n">
        <v>46072</v>
      </c>
      <c r="H627" s="65" t="n">
        <v>0.05793981481481481</v>
      </c>
      <c r="I627" s="66" t="inlineStr">
        <is>
          <t>https://docs.google.com/spreadsheets/d/1ZiCGoPjLCjuYvujDTXK9Ixbth3tekiLtFBzBrGjPCr4/edit?gid=0#gid=0</t>
        </is>
      </c>
      <c r="J627" s="67" t="inlineStr">
        <is>
          <t>Taxa de Limpeza - [TXL]</t>
        </is>
      </c>
      <c r="K627" s="67" t="inlineStr"/>
      <c r="L627" s="68" t="b">
        <v>0</v>
      </c>
      <c r="M627" s="20" t="n"/>
      <c r="N627" s="69">
        <f>IF($J627="","",IFERROR(INDEX(B!$F$2:$F$61,MATCH($J627,B!$E$2:$E$61,0))&amp;"",""))</f>
        <v/>
      </c>
      <c r="O627" s="69">
        <f>IF($J627="","",IFERROR(INDEX(B!$G$2:$G$61,MATCH($J627,B!$E$2:$E$61,0))&amp;"",""))</f>
        <v/>
      </c>
      <c r="P627" s="69">
        <f>IF($J627="","",IFERROR(INDEX(B!$H$2:$H$61,MATCH($J627,B!$E$2:$E$61,0))&amp;"",""))</f>
        <v/>
      </c>
      <c r="Q627" s="69">
        <f>IF($J627="","",IFERROR(INDEX(B!$I$2:$I$61,MATCH($J627,B!$E$2:$E$61,0))&amp;"",""))</f>
        <v/>
      </c>
      <c r="R627" s="69">
        <f>IF($J627="","",IFERROR(INDEX(B!$J$2:$J$61,MATCH($J627,B!$E$2:$E$61,0))&amp;"",""))</f>
        <v/>
      </c>
      <c r="S627" s="69">
        <f>IF($J627="","",IFERROR(INDEX(B!$K$2:$K$61,MATCH($J627,B!$E$2:$E$61,0))&amp;"",""))</f>
        <v/>
      </c>
      <c r="T627" s="69">
        <f>IF($J627="","",IFERROR(INDEX(B!$L$2:$L$61,MATCH($J627,B!$E$2:$E$61,0))&amp;"",""))</f>
        <v/>
      </c>
      <c r="U627" s="20" t="n"/>
      <c r="V627" s="70">
        <f>IF($J627="","",IFERROR(INDEX(B!$M$2:$M$61,MATCH($J627,B!$E$2:$E$61,0))&amp;"",""))</f>
        <v/>
      </c>
      <c r="W627" s="71">
        <f>IF(I627="","",IFERROR(MID(I627,FIND("/d/",I627)+3,FIND("/edit",I627)-FIND("/d/",I627)-3),I627))</f>
        <v/>
      </c>
      <c r="X627" s="71">
        <f>IF($J627="","",IFERROR(INDEX(B!$C$2:$C$61,MATCH($J627,B!$E$2:$E$61,0))&amp;"",""))</f>
        <v/>
      </c>
      <c r="Y627" s="20" t="n"/>
      <c r="Z627" s="72">
        <f>IF($J627="",FALSE,ISNUMBER(SEARCH("scout",$K627)))</f>
        <v/>
      </c>
      <c r="AA627" s="72">
        <f>IF($J627="",FALSE,IFERROR(INDEX(B!$N$2:$N$61,MATCH($J627,B!$E$2:$E$61,0))="Sim",FALSE))</f>
        <v/>
      </c>
      <c r="AB627" s="72">
        <f>IF($J627="",FALSE,LEFT($X627,2)="XX")</f>
        <v/>
      </c>
      <c r="AC627" s="72">
        <f>IF($J627="",FALSE,IFERROR(INDEX(B!$P$2:$P$61,MATCH($J627,B!$E$2:$E$61,0))="Sim",FALSE))</f>
        <v/>
      </c>
      <c r="AD627" s="20" t="n"/>
      <c r="AE627" s="52">
        <f>IF(H627="","",HOUR(H627))</f>
        <v/>
      </c>
      <c r="AF627" s="52" t="n"/>
    </row>
    <row r="628" ht="19.5" customHeight="1" s="58">
      <c r="A628" s="62">
        <f>IF(G628="","",IF(G628=G627,"",COUNTIF($G$3:$G$976,G628)))</f>
        <v/>
      </c>
      <c r="B628" s="20" t="n"/>
      <c r="C628" s="63">
        <f>IF(G628="","",DAY(G628))</f>
        <v/>
      </c>
      <c r="D628" s="63">
        <f>IF(G628="","",MONTH(G628))</f>
        <v/>
      </c>
      <c r="E628" s="63">
        <f>IF(G628="","",YEAR(G628))</f>
        <v/>
      </c>
      <c r="F628" s="33">
        <f>IF(G628="","",CHOOSE(MONTH(G628),"Janeiro","Fevereiro","Março","Abril","Maio","Junho","Julho","Agosto","Setembro","Outubro","Novembro","Dezembro"))</f>
        <v/>
      </c>
      <c r="G628" s="64" t="n">
        <v>46072</v>
      </c>
      <c r="H628" s="65" t="n">
        <v>0.06082175925925926</v>
      </c>
      <c r="I628" s="66" t="inlineStr">
        <is>
          <t>https://docs.google.com/spreadsheets/d/1ZiCGoPjLCjuYvujDTXK9Ixbth3tekiLtFBzBrGjPCr4/edit?gid=0#gid=0</t>
        </is>
      </c>
      <c r="J628" s="67" t="inlineStr">
        <is>
          <t>Taxa de Limpeza, Sem ajustes - [TXLO]</t>
        </is>
      </c>
      <c r="K628" s="67" t="inlineStr"/>
      <c r="L628" s="68" t="b">
        <v>0</v>
      </c>
      <c r="M628" s="20" t="n"/>
      <c r="N628" s="69">
        <f>IF($J628="","",IFERROR(INDEX(B!$F$2:$F$61,MATCH($J628,B!$E$2:$E$61,0))&amp;"",""))</f>
        <v/>
      </c>
      <c r="O628" s="69">
        <f>IF($J628="","",IFERROR(INDEX(B!$G$2:$G$61,MATCH($J628,B!$E$2:$E$61,0))&amp;"",""))</f>
        <v/>
      </c>
      <c r="P628" s="69">
        <f>IF($J628="","",IFERROR(INDEX(B!$H$2:$H$61,MATCH($J628,B!$E$2:$E$61,0))&amp;"",""))</f>
        <v/>
      </c>
      <c r="Q628" s="69">
        <f>IF($J628="","",IFERROR(INDEX(B!$I$2:$I$61,MATCH($J628,B!$E$2:$E$61,0))&amp;"",""))</f>
        <v/>
      </c>
      <c r="R628" s="69">
        <f>IF($J628="","",IFERROR(INDEX(B!$J$2:$J$61,MATCH($J628,B!$E$2:$E$61,0))&amp;"",""))</f>
        <v/>
      </c>
      <c r="S628" s="69">
        <f>IF($J628="","",IFERROR(INDEX(B!$K$2:$K$61,MATCH($J628,B!$E$2:$E$61,0))&amp;"",""))</f>
        <v/>
      </c>
      <c r="T628" s="69">
        <f>IF($J628="","",IFERROR(INDEX(B!$L$2:$L$61,MATCH($J628,B!$E$2:$E$61,0))&amp;"",""))</f>
        <v/>
      </c>
      <c r="U628" s="20" t="n"/>
      <c r="V628" s="70">
        <f>IF($J628="","",IFERROR(INDEX(B!$M$2:$M$61,MATCH($J628,B!$E$2:$E$61,0))&amp;"",""))</f>
        <v/>
      </c>
      <c r="W628" s="71">
        <f>IF(I628="","",IFERROR(MID(I628,FIND("/d/",I628)+3,FIND("/edit",I628)-FIND("/d/",I628)-3),I628))</f>
        <v/>
      </c>
      <c r="X628" s="71">
        <f>IF($J628="","",IFERROR(INDEX(B!$C$2:$C$61,MATCH($J628,B!$E$2:$E$61,0))&amp;"",""))</f>
        <v/>
      </c>
      <c r="Y628" s="20" t="n"/>
      <c r="Z628" s="72">
        <f>IF($J628="",FALSE,ISNUMBER(SEARCH("scout",$K628)))</f>
        <v/>
      </c>
      <c r="AA628" s="72">
        <f>IF($J628="",FALSE,IFERROR(INDEX(B!$N$2:$N$61,MATCH($J628,B!$E$2:$E$61,0))="Sim",FALSE))</f>
        <v/>
      </c>
      <c r="AB628" s="72">
        <f>IF($J628="",FALSE,LEFT($X628,2)="XX")</f>
        <v/>
      </c>
      <c r="AC628" s="72">
        <f>IF($J628="",FALSE,IFERROR(INDEX(B!$P$2:$P$61,MATCH($J628,B!$E$2:$E$61,0))="Sim",FALSE))</f>
        <v/>
      </c>
      <c r="AD628" s="20" t="n"/>
      <c r="AE628" s="52">
        <f>IF(H628="","",HOUR(H628))</f>
        <v/>
      </c>
      <c r="AF628" s="52" t="n"/>
    </row>
    <row r="629" ht="19.5" customHeight="1" s="58">
      <c r="A629" s="62">
        <f>IF(G629="","",IF(G629=G628,"",COUNTIF($G$3:$G$976,G629)))</f>
        <v/>
      </c>
      <c r="B629" s="20" t="n"/>
      <c r="C629" s="63">
        <f>IF(G629="","",DAY(G629))</f>
        <v/>
      </c>
      <c r="D629" s="63">
        <f>IF(G629="","",MONTH(G629))</f>
        <v/>
      </c>
      <c r="E629" s="63">
        <f>IF(G629="","",YEAR(G629))</f>
        <v/>
      </c>
      <c r="F629" s="33">
        <f>IF(G629="","",CHOOSE(MONTH(G629),"Janeiro","Fevereiro","Março","Abril","Maio","Junho","Julho","Agosto","Setembro","Outubro","Novembro","Dezembro"))</f>
        <v/>
      </c>
      <c r="G629" s="64" t="n">
        <v>46072</v>
      </c>
      <c r="H629" s="65" t="n">
        <v>0.06298611111111112</v>
      </c>
      <c r="I629" s="66" t="inlineStr">
        <is>
          <t>https://docs.google.com/spreadsheets/d/1ZiCGoPjLCjuYvujDTXK9Ixbth3tekiLtFBzBrGjPCr4/edit?gid=0#gid=0</t>
        </is>
      </c>
      <c r="J629" s="67" t="inlineStr">
        <is>
          <t>Comprovante de Pagamento - [CP]</t>
        </is>
      </c>
      <c r="K629" s="67" t="inlineStr"/>
      <c r="L629" s="68" t="b">
        <v>0</v>
      </c>
      <c r="M629" s="20" t="n"/>
      <c r="N629" s="69">
        <f>IF($J629="","",IFERROR(INDEX(B!$F$2:$F$61,MATCH($J629,B!$E$2:$E$61,0))&amp;"",""))</f>
        <v/>
      </c>
      <c r="O629" s="69">
        <f>IF($J629="","",IFERROR(INDEX(B!$G$2:$G$61,MATCH($J629,B!$E$2:$E$61,0))&amp;"",""))</f>
        <v/>
      </c>
      <c r="P629" s="69">
        <f>IF($J629="","",IFERROR(INDEX(B!$H$2:$H$61,MATCH($J629,B!$E$2:$E$61,0))&amp;"",""))</f>
        <v/>
      </c>
      <c r="Q629" s="69">
        <f>IF($J629="","",IFERROR(INDEX(B!$I$2:$I$61,MATCH($J629,B!$E$2:$E$61,0))&amp;"",""))</f>
        <v/>
      </c>
      <c r="R629" s="69">
        <f>IF($J629="","",IFERROR(INDEX(B!$J$2:$J$61,MATCH($J629,B!$E$2:$E$61,0))&amp;"",""))</f>
        <v/>
      </c>
      <c r="S629" s="69">
        <f>IF($J629="","",IFERROR(INDEX(B!$K$2:$K$61,MATCH($J629,B!$E$2:$E$61,0))&amp;"",""))</f>
        <v/>
      </c>
      <c r="T629" s="69">
        <f>IF($J629="","",IFERROR(INDEX(B!$L$2:$L$61,MATCH($J629,B!$E$2:$E$61,0))&amp;"",""))</f>
        <v/>
      </c>
      <c r="U629" s="20" t="n"/>
      <c r="V629" s="70">
        <f>IF($J629="","",IFERROR(INDEX(B!$M$2:$M$61,MATCH($J629,B!$E$2:$E$61,0))&amp;"",""))</f>
        <v/>
      </c>
      <c r="W629" s="71">
        <f>IF(I629="","",IFERROR(MID(I629,FIND("/d/",I629)+3,FIND("/edit",I629)-FIND("/d/",I629)-3),I629))</f>
        <v/>
      </c>
      <c r="X629" s="71">
        <f>IF($J629="","",IFERROR(INDEX(B!$C$2:$C$61,MATCH($J629,B!$E$2:$E$61,0))&amp;"",""))</f>
        <v/>
      </c>
      <c r="Y629" s="20" t="n"/>
      <c r="Z629" s="72">
        <f>IF($J629="",FALSE,ISNUMBER(SEARCH("scout",$K629)))</f>
        <v/>
      </c>
      <c r="AA629" s="72">
        <f>IF($J629="",FALSE,IFERROR(INDEX(B!$N$2:$N$61,MATCH($J629,B!$E$2:$E$61,0))="Sim",FALSE))</f>
        <v/>
      </c>
      <c r="AB629" s="72">
        <f>IF($J629="",FALSE,LEFT($X629,2)="XX")</f>
        <v/>
      </c>
      <c r="AC629" s="72">
        <f>IF($J629="",FALSE,IFERROR(INDEX(B!$P$2:$P$61,MATCH($J629,B!$E$2:$E$61,0))="Sim",FALSE))</f>
        <v/>
      </c>
      <c r="AD629" s="20" t="n"/>
      <c r="AE629" s="52">
        <f>IF(H629="","",HOUR(H629))</f>
        <v/>
      </c>
      <c r="AF629" s="52" t="n"/>
    </row>
    <row r="630" ht="19.5" customHeight="1" s="58">
      <c r="A630" s="62">
        <f>IF(G630="","",IF(G630=G629,"",COUNTIF($G$3:$G$976,G630)))</f>
        <v/>
      </c>
      <c r="B630" s="20" t="n"/>
      <c r="C630" s="63">
        <f>IF(G630="","",DAY(G630))</f>
        <v/>
      </c>
      <c r="D630" s="63">
        <f>IF(G630="","",MONTH(G630))</f>
        <v/>
      </c>
      <c r="E630" s="63">
        <f>IF(G630="","",YEAR(G630))</f>
        <v/>
      </c>
      <c r="F630" s="33">
        <f>IF(G630="","",CHOOSE(MONTH(G630),"Janeiro","Fevereiro","Março","Abril","Maio","Junho","Julho","Agosto","Setembro","Outubro","Novembro","Dezembro"))</f>
        <v/>
      </c>
      <c r="G630" s="64" t="n">
        <v>46072</v>
      </c>
      <c r="H630" s="65" t="n">
        <v>0.07157407407407407</v>
      </c>
      <c r="I630" s="66" t="inlineStr">
        <is>
          <t>https://docs.google.com/spreadsheets/d/1ZiCGoPjLCjuYvujDTXK9Ixbth3tekiLtFBzBrGjPCr4/edit?gid=0#gid=0</t>
        </is>
      </c>
      <c r="J630" s="67" t="inlineStr">
        <is>
          <t>Taxa de Cancelamento Cobrada Corretamente - [TXCO]</t>
        </is>
      </c>
      <c r="K630" s="67" t="inlineStr"/>
      <c r="L630" s="68" t="b">
        <v>0</v>
      </c>
      <c r="M630" s="20" t="n"/>
      <c r="N630" s="69">
        <f>IF($J630="","",IFERROR(INDEX(B!$F$2:$F$61,MATCH($J630,B!$E$2:$E$61,0))&amp;"",""))</f>
        <v/>
      </c>
      <c r="O630" s="69">
        <f>IF($J630="","",IFERROR(INDEX(B!$G$2:$G$61,MATCH($J630,B!$E$2:$E$61,0))&amp;"",""))</f>
        <v/>
      </c>
      <c r="P630" s="69">
        <f>IF($J630="","",IFERROR(INDEX(B!$H$2:$H$61,MATCH($J630,B!$E$2:$E$61,0))&amp;"",""))</f>
        <v/>
      </c>
      <c r="Q630" s="69">
        <f>IF($J630="","",IFERROR(INDEX(B!$I$2:$I$61,MATCH($J630,B!$E$2:$E$61,0))&amp;"",""))</f>
        <v/>
      </c>
      <c r="R630" s="69">
        <f>IF($J630="","",IFERROR(INDEX(B!$J$2:$J$61,MATCH($J630,B!$E$2:$E$61,0))&amp;"",""))</f>
        <v/>
      </c>
      <c r="S630" s="69">
        <f>IF($J630="","",IFERROR(INDEX(B!$K$2:$K$61,MATCH($J630,B!$E$2:$E$61,0))&amp;"",""))</f>
        <v/>
      </c>
      <c r="T630" s="69">
        <f>IF($J630="","",IFERROR(INDEX(B!$L$2:$L$61,MATCH($J630,B!$E$2:$E$61,0))&amp;"",""))</f>
        <v/>
      </c>
      <c r="U630" s="20" t="n"/>
      <c r="V630" s="70">
        <f>IF($J630="","",IFERROR(INDEX(B!$M$2:$M$61,MATCH($J630,B!$E$2:$E$61,0))&amp;"",""))</f>
        <v/>
      </c>
      <c r="W630" s="71">
        <f>IF(I630="","",IFERROR(MID(I630,FIND("/d/",I630)+3,FIND("/edit",I630)-FIND("/d/",I630)-3),I630))</f>
        <v/>
      </c>
      <c r="X630" s="71">
        <f>IF($J630="","",IFERROR(INDEX(B!$C$2:$C$61,MATCH($J630,B!$E$2:$E$61,0))&amp;"",""))</f>
        <v/>
      </c>
      <c r="Y630" s="20" t="n"/>
      <c r="Z630" s="72">
        <f>IF($J630="",FALSE,ISNUMBER(SEARCH("scout",$K630)))</f>
        <v/>
      </c>
      <c r="AA630" s="72">
        <f>IF($J630="",FALSE,IFERROR(INDEX(B!$N$2:$N$61,MATCH($J630,B!$E$2:$E$61,0))="Sim",FALSE))</f>
        <v/>
      </c>
      <c r="AB630" s="72">
        <f>IF($J630="",FALSE,LEFT($X630,2)="XX")</f>
        <v/>
      </c>
      <c r="AC630" s="72">
        <f>IF($J630="",FALSE,IFERROR(INDEX(B!$P$2:$P$61,MATCH($J630,B!$E$2:$E$61,0))="Sim",FALSE))</f>
        <v/>
      </c>
      <c r="AD630" s="20" t="n"/>
      <c r="AE630" s="52">
        <f>IF(H630="","",HOUR(H630))</f>
        <v/>
      </c>
      <c r="AF630" s="52" t="n"/>
    </row>
    <row r="631" ht="19.5" customHeight="1" s="58">
      <c r="A631" s="62">
        <f>IF(G631="","",IF(G631=G630,"",COUNTIF($G$3:$G$976,G631)))</f>
        <v/>
      </c>
      <c r="B631" s="20" t="n"/>
      <c r="C631" s="63">
        <f>IF(G631="","",DAY(G631))</f>
        <v/>
      </c>
      <c r="D631" s="63">
        <f>IF(G631="","",MONTH(G631))</f>
        <v/>
      </c>
      <c r="E631" s="63">
        <f>IF(G631="","",YEAR(G631))</f>
        <v/>
      </c>
      <c r="F631" s="33">
        <f>IF(G631="","",CHOOSE(MONTH(G631),"Janeiro","Fevereiro","Março","Abril","Maio","Junho","Julho","Agosto","Setembro","Outubro","Novembro","Dezembro"))</f>
        <v/>
      </c>
      <c r="G631" s="64" t="n">
        <v>46072</v>
      </c>
      <c r="H631" s="65" t="n">
        <v>0.07392361111111111</v>
      </c>
      <c r="I631" s="66" t="inlineStr">
        <is>
          <t>https://docs.google.com/spreadsheets/d/1ZiCGoPjLCjuYvujDTXK9Ixbth3tekiLtFBzBrGjPCr4/edit?gid=0#gid=0</t>
        </is>
      </c>
      <c r="J631" s="67" t="inlineStr">
        <is>
          <t>Overpaid, Não excede o limite, Sem comprovante - [OPNN]</t>
        </is>
      </c>
      <c r="K631" s="67" t="inlineStr"/>
      <c r="L631" s="68" t="b">
        <v>0</v>
      </c>
      <c r="M631" s="20" t="n"/>
      <c r="N631" s="69">
        <f>IF($J631="","",IFERROR(INDEX(B!$F$2:$F$61,MATCH($J631,B!$E$2:$E$61,0))&amp;"",""))</f>
        <v/>
      </c>
      <c r="O631" s="69">
        <f>IF($J631="","",IFERROR(INDEX(B!$G$2:$G$61,MATCH($J631,B!$E$2:$E$61,0))&amp;"",""))</f>
        <v/>
      </c>
      <c r="P631" s="69">
        <f>IF($J631="","",IFERROR(INDEX(B!$H$2:$H$61,MATCH($J631,B!$E$2:$E$61,0))&amp;"",""))</f>
        <v/>
      </c>
      <c r="Q631" s="69">
        <f>IF($J631="","",IFERROR(INDEX(B!$I$2:$I$61,MATCH($J631,B!$E$2:$E$61,0))&amp;"",""))</f>
        <v/>
      </c>
      <c r="R631" s="69">
        <f>IF($J631="","",IFERROR(INDEX(B!$J$2:$J$61,MATCH($J631,B!$E$2:$E$61,0))&amp;"",""))</f>
        <v/>
      </c>
      <c r="S631" s="69">
        <f>IF($J631="","",IFERROR(INDEX(B!$K$2:$K$61,MATCH($J631,B!$E$2:$E$61,0))&amp;"",""))</f>
        <v/>
      </c>
      <c r="T631" s="69">
        <f>IF($J631="","",IFERROR(INDEX(B!$L$2:$L$61,MATCH($J631,B!$E$2:$E$61,0))&amp;"",""))</f>
        <v/>
      </c>
      <c r="U631" s="20" t="n"/>
      <c r="V631" s="70">
        <f>IF($J631="","",IFERROR(INDEX(B!$M$2:$M$61,MATCH($J631,B!$E$2:$E$61,0))&amp;"",""))</f>
        <v/>
      </c>
      <c r="W631" s="71">
        <f>IF(I631="","",IFERROR(MID(I631,FIND("/d/",I631)+3,FIND("/edit",I631)-FIND("/d/",I631)-3),I631))</f>
        <v/>
      </c>
      <c r="X631" s="71">
        <f>IF($J631="","",IFERROR(INDEX(B!$C$2:$C$61,MATCH($J631,B!$E$2:$E$61,0))&amp;"",""))</f>
        <v/>
      </c>
      <c r="Y631" s="20" t="n"/>
      <c r="Z631" s="72">
        <f>IF($J631="",FALSE,ISNUMBER(SEARCH("scout",$K631)))</f>
        <v/>
      </c>
      <c r="AA631" s="72">
        <f>IF($J631="",FALSE,IFERROR(INDEX(B!$N$2:$N$61,MATCH($J631,B!$E$2:$E$61,0))="Sim",FALSE))</f>
        <v/>
      </c>
      <c r="AB631" s="72">
        <f>IF($J631="",FALSE,LEFT($X631,2)="XX")</f>
        <v/>
      </c>
      <c r="AC631" s="72">
        <f>IF($J631="",FALSE,IFERROR(INDEX(B!$P$2:$P$61,MATCH($J631,B!$E$2:$E$61,0))="Sim",FALSE))</f>
        <v/>
      </c>
      <c r="AD631" s="20" t="n"/>
      <c r="AE631" s="52">
        <f>IF(H631="","",HOUR(H631))</f>
        <v/>
      </c>
      <c r="AF631" s="52" t="n"/>
    </row>
    <row r="632" ht="19.5" customHeight="1" s="58">
      <c r="A632" s="62">
        <f>IF(G632="","",IF(G632=G631,"",COUNTIF($G$3:$G$976,G632)))</f>
        <v/>
      </c>
      <c r="B632" s="20" t="n"/>
      <c r="C632" s="63">
        <f>IF(G632="","",DAY(G632))</f>
        <v/>
      </c>
      <c r="D632" s="63">
        <f>IF(G632="","",MONTH(G632))</f>
        <v/>
      </c>
      <c r="E632" s="63">
        <f>IF(G632="","",YEAR(G632))</f>
        <v/>
      </c>
      <c r="F632" s="33">
        <f>IF(G632="","",CHOOSE(MONTH(G632),"Janeiro","Fevereiro","Março","Abril","Maio","Junho","Julho","Agosto","Setembro","Outubro","Novembro","Dezembro"))</f>
        <v/>
      </c>
      <c r="G632" s="64" t="n">
        <v>46072</v>
      </c>
      <c r="H632" s="65" t="n">
        <v>0.0739699074074074</v>
      </c>
      <c r="I632" s="66" t="inlineStr">
        <is>
          <t>https://docs.google.com/spreadsheets/d/1ZiCGoPjLCjuYvujDTXK9Ixbth3tekiLtFBzBrGjPCr4/edit?gid=0#gid=0</t>
        </is>
      </c>
      <c r="J632" s="67" t="inlineStr">
        <is>
          <t>Taxa de Limpeza, Sem ajustes - [TXLO]</t>
        </is>
      </c>
      <c r="K632" s="67" t="inlineStr"/>
      <c r="L632" s="68" t="b">
        <v>0</v>
      </c>
      <c r="M632" s="20" t="n"/>
      <c r="N632" s="69">
        <f>IF($J632="","",IFERROR(INDEX(B!$F$2:$F$61,MATCH($J632,B!$E$2:$E$61,0))&amp;"",""))</f>
        <v/>
      </c>
      <c r="O632" s="69">
        <f>IF($J632="","",IFERROR(INDEX(B!$G$2:$G$61,MATCH($J632,B!$E$2:$E$61,0))&amp;"",""))</f>
        <v/>
      </c>
      <c r="P632" s="69">
        <f>IF($J632="","",IFERROR(INDEX(B!$H$2:$H$61,MATCH($J632,B!$E$2:$E$61,0))&amp;"",""))</f>
        <v/>
      </c>
      <c r="Q632" s="69">
        <f>IF($J632="","",IFERROR(INDEX(B!$I$2:$I$61,MATCH($J632,B!$E$2:$E$61,0))&amp;"",""))</f>
        <v/>
      </c>
      <c r="R632" s="69">
        <f>IF($J632="","",IFERROR(INDEX(B!$J$2:$J$61,MATCH($J632,B!$E$2:$E$61,0))&amp;"",""))</f>
        <v/>
      </c>
      <c r="S632" s="69">
        <f>IF($J632="","",IFERROR(INDEX(B!$K$2:$K$61,MATCH($J632,B!$E$2:$E$61,0))&amp;"",""))</f>
        <v/>
      </c>
      <c r="T632" s="69">
        <f>IF($J632="","",IFERROR(INDEX(B!$L$2:$L$61,MATCH($J632,B!$E$2:$E$61,0))&amp;"",""))</f>
        <v/>
      </c>
      <c r="U632" s="20" t="n"/>
      <c r="V632" s="70">
        <f>IF($J632="","",IFERROR(INDEX(B!$M$2:$M$61,MATCH($J632,B!$E$2:$E$61,0))&amp;"",""))</f>
        <v/>
      </c>
      <c r="W632" s="71">
        <f>IF(I632="","",IFERROR(MID(I632,FIND("/d/",I632)+3,FIND("/edit",I632)-FIND("/d/",I632)-3),I632))</f>
        <v/>
      </c>
      <c r="X632" s="71">
        <f>IF($J632="","",IFERROR(INDEX(B!$C$2:$C$61,MATCH($J632,B!$E$2:$E$61,0))&amp;"",""))</f>
        <v/>
      </c>
      <c r="Y632" s="20" t="n"/>
      <c r="Z632" s="72">
        <f>IF($J632="",FALSE,ISNUMBER(SEARCH("scout",$K632)))</f>
        <v/>
      </c>
      <c r="AA632" s="72">
        <f>IF($J632="",FALSE,IFERROR(INDEX(B!$N$2:$N$61,MATCH($J632,B!$E$2:$E$61,0))="Sim",FALSE))</f>
        <v/>
      </c>
      <c r="AB632" s="72">
        <f>IF($J632="",FALSE,LEFT($X632,2)="XX")</f>
        <v/>
      </c>
      <c r="AC632" s="72">
        <f>IF($J632="",FALSE,IFERROR(INDEX(B!$P$2:$P$61,MATCH($J632,B!$E$2:$E$61,0))="Sim",FALSE))</f>
        <v/>
      </c>
      <c r="AD632" s="20" t="n"/>
      <c r="AE632" s="52">
        <f>IF(H632="","",HOUR(H632))</f>
        <v/>
      </c>
      <c r="AF632" s="52" t="n"/>
    </row>
    <row r="633" ht="19.5" customHeight="1" s="58">
      <c r="A633" s="62">
        <f>IF(G633="","",IF(G633=G632,"",COUNTIF($G$3:$G$976,G633)))</f>
        <v/>
      </c>
      <c r="B633" s="20" t="n"/>
      <c r="C633" s="63">
        <f>IF(G633="","",DAY(G633))</f>
        <v/>
      </c>
      <c r="D633" s="63">
        <f>IF(G633="","",MONTH(G633))</f>
        <v/>
      </c>
      <c r="E633" s="63">
        <f>IF(G633="","",YEAR(G633))</f>
        <v/>
      </c>
      <c r="F633" s="33">
        <f>IF(G633="","",CHOOSE(MONTH(G633),"Janeiro","Fevereiro","Março","Abril","Maio","Junho","Julho","Agosto","Setembro","Outubro","Novembro","Dezembro"))</f>
        <v/>
      </c>
      <c r="G633" s="64" t="n">
        <v>46072</v>
      </c>
      <c r="H633" s="65" t="n">
        <v>0.07552083333333333</v>
      </c>
      <c r="I633" s="66" t="inlineStr">
        <is>
          <t>https://docs.google.com/spreadsheets/d/1ZiCGoPjLCjuYvujDTXK9Ixbth3tekiLtFBzBrGjPCr4/edit?gid=0#gid=0</t>
        </is>
      </c>
      <c r="J633" s="67" t="inlineStr">
        <is>
          <t>Trajeto Ruim - [TR]</t>
        </is>
      </c>
      <c r="K633" s="67" t="inlineStr"/>
      <c r="L633" s="68" t="b">
        <v>0</v>
      </c>
      <c r="M633" s="20" t="n"/>
      <c r="N633" s="69">
        <f>IF($J633="","",IFERROR(INDEX(B!$F$2:$F$61,MATCH($J633,B!$E$2:$E$61,0))&amp;"",""))</f>
        <v/>
      </c>
      <c r="O633" s="69">
        <f>IF($J633="","",IFERROR(INDEX(B!$G$2:$G$61,MATCH($J633,B!$E$2:$E$61,0))&amp;"",""))</f>
        <v/>
      </c>
      <c r="P633" s="69">
        <f>IF($J633="","",IFERROR(INDEX(B!$H$2:$H$61,MATCH($J633,B!$E$2:$E$61,0))&amp;"",""))</f>
        <v/>
      </c>
      <c r="Q633" s="69">
        <f>IF($J633="","",IFERROR(INDEX(B!$I$2:$I$61,MATCH($J633,B!$E$2:$E$61,0))&amp;"",""))</f>
        <v/>
      </c>
      <c r="R633" s="69">
        <f>IF($J633="","",IFERROR(INDEX(B!$J$2:$J$61,MATCH($J633,B!$E$2:$E$61,0))&amp;"",""))</f>
        <v/>
      </c>
      <c r="S633" s="69">
        <f>IF($J633="","",IFERROR(INDEX(B!$K$2:$K$61,MATCH($J633,B!$E$2:$E$61,0))&amp;"",""))</f>
        <v/>
      </c>
      <c r="T633" s="69">
        <f>IF($J633="","",IFERROR(INDEX(B!$L$2:$L$61,MATCH($J633,B!$E$2:$E$61,0))&amp;"",""))</f>
        <v/>
      </c>
      <c r="U633" s="20" t="n"/>
      <c r="V633" s="70">
        <f>IF($J633="","",IFERROR(INDEX(B!$M$2:$M$61,MATCH($J633,B!$E$2:$E$61,0))&amp;"",""))</f>
        <v/>
      </c>
      <c r="W633" s="71">
        <f>IF(I633="","",IFERROR(MID(I633,FIND("/d/",I633)+3,FIND("/edit",I633)-FIND("/d/",I633)-3),I633))</f>
        <v/>
      </c>
      <c r="X633" s="71">
        <f>IF($J633="","",IFERROR(INDEX(B!$C$2:$C$61,MATCH($J633,B!$E$2:$E$61,0))&amp;"",""))</f>
        <v/>
      </c>
      <c r="Y633" s="20" t="n"/>
      <c r="Z633" s="72">
        <f>IF($J633="",FALSE,ISNUMBER(SEARCH("scout",$K633)))</f>
        <v/>
      </c>
      <c r="AA633" s="72">
        <f>IF($J633="",FALSE,IFERROR(INDEX(B!$N$2:$N$61,MATCH($J633,B!$E$2:$E$61,0))="Sim",FALSE))</f>
        <v/>
      </c>
      <c r="AB633" s="72">
        <f>IF($J633="",FALSE,LEFT($X633,2)="XX")</f>
        <v/>
      </c>
      <c r="AC633" s="72">
        <f>IF($J633="",FALSE,IFERROR(INDEX(B!$P$2:$P$61,MATCH($J633,B!$E$2:$E$61,0))="Sim",FALSE))</f>
        <v/>
      </c>
      <c r="AD633" s="20" t="n"/>
      <c r="AE633" s="52">
        <f>IF(H633="","",HOUR(H633))</f>
        <v/>
      </c>
      <c r="AF633" s="52" t="n"/>
    </row>
    <row r="634" ht="19.5" customHeight="1" s="58">
      <c r="A634" s="62">
        <f>IF(G634="","",IF(G634=G633,"",COUNTIF($G$3:$G$976,G634)))</f>
        <v/>
      </c>
      <c r="B634" s="20" t="n"/>
      <c r="C634" s="63">
        <f>IF(G634="","",DAY(G634))</f>
        <v/>
      </c>
      <c r="D634" s="63">
        <f>IF(G634="","",MONTH(G634))</f>
        <v/>
      </c>
      <c r="E634" s="63">
        <f>IF(G634="","",YEAR(G634))</f>
        <v/>
      </c>
      <c r="F634" s="33">
        <f>IF(G634="","",CHOOSE(MONTH(G634),"Janeiro","Fevereiro","Março","Abril","Maio","Junho","Julho","Agosto","Setembro","Outubro","Novembro","Dezembro"))</f>
        <v/>
      </c>
      <c r="G634" s="64" t="n">
        <v>46072</v>
      </c>
      <c r="H634" s="65" t="n">
        <v>0.07570601851851852</v>
      </c>
      <c r="I634" s="66" t="inlineStr">
        <is>
          <t>https://docs.google.com/spreadsheets/d/1ZiCGoPjLCjuYvujDTXK9Ixbth3tekiLtFBzBrGjPCr4/edit?gid=0#gid=0</t>
        </is>
      </c>
      <c r="J634" s="67" t="inlineStr">
        <is>
          <t>Overpaid, Excede o limite Com comprovante - [OPEC]</t>
        </is>
      </c>
      <c r="K634" s="67" t="inlineStr"/>
      <c r="L634" s="68" t="b">
        <v>0</v>
      </c>
      <c r="M634" s="20" t="n"/>
      <c r="N634" s="69">
        <f>IF($J634="","",IFERROR(INDEX(B!$F$2:$F$61,MATCH($J634,B!$E$2:$E$61,0))&amp;"",""))</f>
        <v/>
      </c>
      <c r="O634" s="69">
        <f>IF($J634="","",IFERROR(INDEX(B!$G$2:$G$61,MATCH($J634,B!$E$2:$E$61,0))&amp;"",""))</f>
        <v/>
      </c>
      <c r="P634" s="69">
        <f>IF($J634="","",IFERROR(INDEX(B!$H$2:$H$61,MATCH($J634,B!$E$2:$E$61,0))&amp;"",""))</f>
        <v/>
      </c>
      <c r="Q634" s="69">
        <f>IF($J634="","",IFERROR(INDEX(B!$I$2:$I$61,MATCH($J634,B!$E$2:$E$61,0))&amp;"",""))</f>
        <v/>
      </c>
      <c r="R634" s="69">
        <f>IF($J634="","",IFERROR(INDEX(B!$J$2:$J$61,MATCH($J634,B!$E$2:$E$61,0))&amp;"",""))</f>
        <v/>
      </c>
      <c r="S634" s="69">
        <f>IF($J634="","",IFERROR(INDEX(B!$K$2:$K$61,MATCH($J634,B!$E$2:$E$61,0))&amp;"",""))</f>
        <v/>
      </c>
      <c r="T634" s="69">
        <f>IF($J634="","",IFERROR(INDEX(B!$L$2:$L$61,MATCH($J634,B!$E$2:$E$61,0))&amp;"",""))</f>
        <v/>
      </c>
      <c r="U634" s="20" t="n"/>
      <c r="V634" s="70">
        <f>IF($J634="","",IFERROR(INDEX(B!$M$2:$M$61,MATCH($J634,B!$E$2:$E$61,0))&amp;"",""))</f>
        <v/>
      </c>
      <c r="W634" s="71">
        <f>IF(I634="","",IFERROR(MID(I634,FIND("/d/",I634)+3,FIND("/edit",I634)-FIND("/d/",I634)-3),I634))</f>
        <v/>
      </c>
      <c r="X634" s="71">
        <f>IF($J634="","",IFERROR(INDEX(B!$C$2:$C$61,MATCH($J634,B!$E$2:$E$61,0))&amp;"",""))</f>
        <v/>
      </c>
      <c r="Y634" s="20" t="n"/>
      <c r="Z634" s="72">
        <f>IF($J634="",FALSE,ISNUMBER(SEARCH("scout",$K634)))</f>
        <v/>
      </c>
      <c r="AA634" s="72">
        <f>IF($J634="",FALSE,IFERROR(INDEX(B!$N$2:$N$61,MATCH($J634,B!$E$2:$E$61,0))="Sim",FALSE))</f>
        <v/>
      </c>
      <c r="AB634" s="72">
        <f>IF($J634="",FALSE,LEFT($X634,2)="XX")</f>
        <v/>
      </c>
      <c r="AC634" s="72">
        <f>IF($J634="",FALSE,IFERROR(INDEX(B!$P$2:$P$61,MATCH($J634,B!$E$2:$E$61,0))="Sim",FALSE))</f>
        <v/>
      </c>
      <c r="AD634" s="20" t="n"/>
      <c r="AE634" s="52">
        <f>IF(H634="","",HOUR(H634))</f>
        <v/>
      </c>
      <c r="AF634" s="52" t="n"/>
    </row>
    <row r="635" ht="19.5" customHeight="1" s="58">
      <c r="A635" s="62">
        <f>IF(G635="","",IF(G635=G634,"",COUNTIF($G$3:$G$976,G635)))</f>
        <v/>
      </c>
      <c r="B635" s="20" t="n"/>
      <c r="C635" s="63">
        <f>IF(G635="","",DAY(G635))</f>
        <v/>
      </c>
      <c r="D635" s="63">
        <f>IF(G635="","",MONTH(G635))</f>
        <v/>
      </c>
      <c r="E635" s="63">
        <f>IF(G635="","",YEAR(G635))</f>
        <v/>
      </c>
      <c r="F635" s="33">
        <f>IF(G635="","",CHOOSE(MONTH(G635),"Janeiro","Fevereiro","Março","Abril","Maio","Junho","Julho","Agosto","Setembro","Outubro","Novembro","Dezembro"))</f>
        <v/>
      </c>
      <c r="G635" s="64" t="n">
        <v>46072</v>
      </c>
      <c r="H635" s="65" t="n">
        <v>0.08133101851851852</v>
      </c>
      <c r="I635" s="66" t="inlineStr">
        <is>
          <t>https://docs.google.com/spreadsheets/d/1ZiCGoPjLCjuYvujDTXK9Ixbth3tekiLtFBzBrGjPCr4/edit?gid=0#gid=0</t>
        </is>
      </c>
      <c r="J635" s="67" t="inlineStr">
        <is>
          <t>Overpaid, Não excede o limite, Sem comprovante - [OPNN]</t>
        </is>
      </c>
      <c r="K635" s="67" t="inlineStr">
        <is>
          <t>Scout</t>
        </is>
      </c>
      <c r="L635" s="68" t="b">
        <v>0</v>
      </c>
      <c r="M635" s="20" t="n"/>
      <c r="N635" s="69">
        <f>IF($J635="","",IFERROR(INDEX(B!$F$2:$F$61,MATCH($J635,B!$E$2:$E$61,0))&amp;"",""))</f>
        <v/>
      </c>
      <c r="O635" s="69">
        <f>IF($J635="","",IFERROR(INDEX(B!$G$2:$G$61,MATCH($J635,B!$E$2:$E$61,0))&amp;"",""))</f>
        <v/>
      </c>
      <c r="P635" s="69">
        <f>IF($J635="","",IFERROR(INDEX(B!$H$2:$H$61,MATCH($J635,B!$E$2:$E$61,0))&amp;"",""))</f>
        <v/>
      </c>
      <c r="Q635" s="69">
        <f>IF($J635="","",IFERROR(INDEX(B!$I$2:$I$61,MATCH($J635,B!$E$2:$E$61,0))&amp;"",""))</f>
        <v/>
      </c>
      <c r="R635" s="69">
        <f>IF($J635="","",IFERROR(INDEX(B!$J$2:$J$61,MATCH($J635,B!$E$2:$E$61,0))&amp;"",""))</f>
        <v/>
      </c>
      <c r="S635" s="69">
        <f>IF($J635="","",IFERROR(INDEX(B!$K$2:$K$61,MATCH($J635,B!$E$2:$E$61,0))&amp;"",""))</f>
        <v/>
      </c>
      <c r="T635" s="69">
        <f>IF($J635="","",IFERROR(INDEX(B!$L$2:$L$61,MATCH($J635,B!$E$2:$E$61,0))&amp;"",""))</f>
        <v/>
      </c>
      <c r="U635" s="20" t="n"/>
      <c r="V635" s="70">
        <f>IF($J635="","",IFERROR(INDEX(B!$M$2:$M$61,MATCH($J635,B!$E$2:$E$61,0))&amp;"",""))</f>
        <v/>
      </c>
      <c r="W635" s="71">
        <f>IF(I635="","",IFERROR(MID(I635,FIND("/d/",I635)+3,FIND("/edit",I635)-FIND("/d/",I635)-3),I635))</f>
        <v/>
      </c>
      <c r="X635" s="71">
        <f>IF($J635="","",IFERROR(INDEX(B!$C$2:$C$61,MATCH($J635,B!$E$2:$E$61,0))&amp;"",""))</f>
        <v/>
      </c>
      <c r="Y635" s="20" t="n"/>
      <c r="Z635" s="72">
        <f>IF($J635="",FALSE,ISNUMBER(SEARCH("scout",$K635)))</f>
        <v/>
      </c>
      <c r="AA635" s="72">
        <f>IF($J635="",FALSE,IFERROR(INDEX(B!$N$2:$N$61,MATCH($J635,B!$E$2:$E$61,0))="Sim",FALSE))</f>
        <v/>
      </c>
      <c r="AB635" s="72">
        <f>IF($J635="",FALSE,LEFT($X635,2)="XX")</f>
        <v/>
      </c>
      <c r="AC635" s="72">
        <f>IF($J635="",FALSE,IFERROR(INDEX(B!$P$2:$P$61,MATCH($J635,B!$E$2:$E$61,0))="Sim",FALSE))</f>
        <v/>
      </c>
      <c r="AD635" s="20" t="n"/>
      <c r="AE635" s="52">
        <f>IF(H635="","",HOUR(H635))</f>
        <v/>
      </c>
      <c r="AF635" s="52" t="n"/>
    </row>
    <row r="636" ht="19.5" customHeight="1" s="58">
      <c r="A636" s="62">
        <f>IF(G636="","",IF(G636=G635,"",COUNTIF($G$3:$G$976,G636)))</f>
        <v/>
      </c>
      <c r="B636" s="20" t="n"/>
      <c r="C636" s="63">
        <f>IF(G636="","",DAY(G636))</f>
        <v/>
      </c>
      <c r="D636" s="63">
        <f>IF(G636="","",MONTH(G636))</f>
        <v/>
      </c>
      <c r="E636" s="63">
        <f>IF(G636="","",YEAR(G636))</f>
        <v/>
      </c>
      <c r="F636" s="33">
        <f>IF(G636="","",CHOOSE(MONTH(G636),"Janeiro","Fevereiro","Março","Abril","Maio","Junho","Julho","Agosto","Setembro","Outubro","Novembro","Dezembro"))</f>
        <v/>
      </c>
      <c r="G636" s="64" t="n">
        <v>46072</v>
      </c>
      <c r="H636" s="65" t="n">
        <v>0.08199074074074074</v>
      </c>
      <c r="I636" s="66" t="inlineStr">
        <is>
          <t>https://docs.google.com/spreadsheets/d/1ZiCGoPjLCjuYvujDTXK9Ixbth3tekiLtFBzBrGjPCr4/edit?gid=0#gid=0</t>
        </is>
      </c>
      <c r="J636" s="67" t="inlineStr">
        <is>
          <t>Mais informações Gerais - [AA]</t>
        </is>
      </c>
      <c r="K636" s="67" t="inlineStr"/>
      <c r="L636" s="68" t="b">
        <v>0</v>
      </c>
      <c r="M636" s="20" t="n"/>
      <c r="N636" s="69">
        <f>IF($J636="","",IFERROR(INDEX(B!$F$2:$F$61,MATCH($J636,B!$E$2:$E$61,0))&amp;"",""))</f>
        <v/>
      </c>
      <c r="O636" s="69">
        <f>IF($J636="","",IFERROR(INDEX(B!$G$2:$G$61,MATCH($J636,B!$E$2:$E$61,0))&amp;"",""))</f>
        <v/>
      </c>
      <c r="P636" s="69">
        <f>IF($J636="","",IFERROR(INDEX(B!$H$2:$H$61,MATCH($J636,B!$E$2:$E$61,0))&amp;"",""))</f>
        <v/>
      </c>
      <c r="Q636" s="69">
        <f>IF($J636="","",IFERROR(INDEX(B!$I$2:$I$61,MATCH($J636,B!$E$2:$E$61,0))&amp;"",""))</f>
        <v/>
      </c>
      <c r="R636" s="69">
        <f>IF($J636="","",IFERROR(INDEX(B!$J$2:$J$61,MATCH($J636,B!$E$2:$E$61,0))&amp;"",""))</f>
        <v/>
      </c>
      <c r="S636" s="69">
        <f>IF($J636="","",IFERROR(INDEX(B!$K$2:$K$61,MATCH($J636,B!$E$2:$E$61,0))&amp;"",""))</f>
        <v/>
      </c>
      <c r="T636" s="69">
        <f>IF($J636="","",IFERROR(INDEX(B!$L$2:$L$61,MATCH($J636,B!$E$2:$E$61,0))&amp;"",""))</f>
        <v/>
      </c>
      <c r="U636" s="20" t="n"/>
      <c r="V636" s="70">
        <f>IF($J636="","",IFERROR(INDEX(B!$M$2:$M$61,MATCH($J636,B!$E$2:$E$61,0))&amp;"",""))</f>
        <v/>
      </c>
      <c r="W636" s="71">
        <f>IF(I636="","",IFERROR(MID(I636,FIND("/d/",I636)+3,FIND("/edit",I636)-FIND("/d/",I636)-3),I636))</f>
        <v/>
      </c>
      <c r="X636" s="71">
        <f>IF($J636="","",IFERROR(INDEX(B!$C$2:$C$61,MATCH($J636,B!$E$2:$E$61,0))&amp;"",""))</f>
        <v/>
      </c>
      <c r="Y636" s="20" t="n"/>
      <c r="Z636" s="72">
        <f>IF($J636="",FALSE,ISNUMBER(SEARCH("scout",$K636)))</f>
        <v/>
      </c>
      <c r="AA636" s="72">
        <f>IF($J636="",FALSE,IFERROR(INDEX(B!$N$2:$N$61,MATCH($J636,B!$E$2:$E$61,0))="Sim",FALSE))</f>
        <v/>
      </c>
      <c r="AB636" s="72">
        <f>IF($J636="",FALSE,LEFT($X636,2)="XX")</f>
        <v/>
      </c>
      <c r="AC636" s="72">
        <f>IF($J636="",FALSE,IFERROR(INDEX(B!$P$2:$P$61,MATCH($J636,B!$E$2:$E$61,0))="Sim",FALSE))</f>
        <v/>
      </c>
      <c r="AD636" s="20" t="n"/>
      <c r="AE636" s="52">
        <f>IF(H636="","",HOUR(H636))</f>
        <v/>
      </c>
      <c r="AF636" s="52" t="n"/>
    </row>
    <row r="637" ht="19.5" customHeight="1" s="58">
      <c r="A637" s="62">
        <f>IF(G637="","",IF(G637=G636,"",COUNTIF($G$3:$G$976,G637)))</f>
        <v/>
      </c>
      <c r="B637" s="20" t="n"/>
      <c r="C637" s="63">
        <f>IF(G637="","",DAY(G637))</f>
        <v/>
      </c>
      <c r="D637" s="63">
        <f>IF(G637="","",MONTH(G637))</f>
        <v/>
      </c>
      <c r="E637" s="63">
        <f>IF(G637="","",YEAR(G637))</f>
        <v/>
      </c>
      <c r="F637" s="33">
        <f>IF(G637="","",CHOOSE(MONTH(G637),"Janeiro","Fevereiro","Março","Abril","Maio","Junho","Julho","Agosto","Setembro","Outubro","Novembro","Dezembro"))</f>
        <v/>
      </c>
      <c r="G637" s="64" t="n">
        <v>46072</v>
      </c>
      <c r="H637" s="65" t="n">
        <v>0.09015046296296296</v>
      </c>
      <c r="I637" s="66" t="inlineStr">
        <is>
          <t>https://docs.google.com/spreadsheets/d/1ZiCGoPjLCjuYvujDTXK9Ixbth3tekiLtFBzBrGjPCr4/edit?gid=0#gid=0</t>
        </is>
      </c>
      <c r="J637" s="67" t="inlineStr">
        <is>
          <t>Taxa de Limpeza - [TXL]</t>
        </is>
      </c>
      <c r="K637" s="67" t="inlineStr"/>
      <c r="L637" s="68" t="b">
        <v>0</v>
      </c>
      <c r="M637" s="20" t="n"/>
      <c r="N637" s="69">
        <f>IF($J637="","",IFERROR(INDEX(B!$F$2:$F$61,MATCH($J637,B!$E$2:$E$61,0))&amp;"",""))</f>
        <v/>
      </c>
      <c r="O637" s="69">
        <f>IF($J637="","",IFERROR(INDEX(B!$G$2:$G$61,MATCH($J637,B!$E$2:$E$61,0))&amp;"",""))</f>
        <v/>
      </c>
      <c r="P637" s="69">
        <f>IF($J637="","",IFERROR(INDEX(B!$H$2:$H$61,MATCH($J637,B!$E$2:$E$61,0))&amp;"",""))</f>
        <v/>
      </c>
      <c r="Q637" s="69">
        <f>IF($J637="","",IFERROR(INDEX(B!$I$2:$I$61,MATCH($J637,B!$E$2:$E$61,0))&amp;"",""))</f>
        <v/>
      </c>
      <c r="R637" s="69">
        <f>IF($J637="","",IFERROR(INDEX(B!$J$2:$J$61,MATCH($J637,B!$E$2:$E$61,0))&amp;"",""))</f>
        <v/>
      </c>
      <c r="S637" s="69">
        <f>IF($J637="","",IFERROR(INDEX(B!$K$2:$K$61,MATCH($J637,B!$E$2:$E$61,0))&amp;"",""))</f>
        <v/>
      </c>
      <c r="T637" s="69">
        <f>IF($J637="","",IFERROR(INDEX(B!$L$2:$L$61,MATCH($J637,B!$E$2:$E$61,0))&amp;"",""))</f>
        <v/>
      </c>
      <c r="U637" s="20" t="n"/>
      <c r="V637" s="70">
        <f>IF($J637="","",IFERROR(INDEX(B!$M$2:$M$61,MATCH($J637,B!$E$2:$E$61,0))&amp;"",""))</f>
        <v/>
      </c>
      <c r="W637" s="71">
        <f>IF(I637="","",IFERROR(MID(I637,FIND("/d/",I637)+3,FIND("/edit",I637)-FIND("/d/",I637)-3),I637))</f>
        <v/>
      </c>
      <c r="X637" s="71">
        <f>IF($J637="","",IFERROR(INDEX(B!$C$2:$C$61,MATCH($J637,B!$E$2:$E$61,0))&amp;"",""))</f>
        <v/>
      </c>
      <c r="Y637" s="20" t="n"/>
      <c r="Z637" s="72">
        <f>IF($J637="",FALSE,ISNUMBER(SEARCH("scout",$K637)))</f>
        <v/>
      </c>
      <c r="AA637" s="72">
        <f>IF($J637="",FALSE,IFERROR(INDEX(B!$N$2:$N$61,MATCH($J637,B!$E$2:$E$61,0))="Sim",FALSE))</f>
        <v/>
      </c>
      <c r="AB637" s="72">
        <f>IF($J637="",FALSE,LEFT($X637,2)="XX")</f>
        <v/>
      </c>
      <c r="AC637" s="72">
        <f>IF($J637="",FALSE,IFERROR(INDEX(B!$P$2:$P$61,MATCH($J637,B!$E$2:$E$61,0))="Sim",FALSE))</f>
        <v/>
      </c>
      <c r="AD637" s="20" t="n"/>
      <c r="AE637" s="52">
        <f>IF(H637="","",HOUR(H637))</f>
        <v/>
      </c>
      <c r="AF637" s="52" t="n"/>
    </row>
    <row r="638" ht="19.5" customHeight="1" s="58">
      <c r="A638" s="62">
        <f>IF(G638="","",IF(G638=G637,"",COUNTIF($G$3:$G$976,G638)))</f>
        <v/>
      </c>
      <c r="B638" s="20" t="n"/>
      <c r="C638" s="63">
        <f>IF(G638="","",DAY(G638))</f>
        <v/>
      </c>
      <c r="D638" s="63">
        <f>IF(G638="","",MONTH(G638))</f>
        <v/>
      </c>
      <c r="E638" s="63">
        <f>IF(G638="","",YEAR(G638))</f>
        <v/>
      </c>
      <c r="F638" s="33">
        <f>IF(G638="","",CHOOSE(MONTH(G638),"Janeiro","Fevereiro","Março","Abril","Maio","Junho","Julho","Agosto","Setembro","Outubro","Novembro","Dezembro"))</f>
        <v/>
      </c>
      <c r="G638" s="64" t="n">
        <v>46072</v>
      </c>
      <c r="H638" s="65" t="n">
        <v>0.09247685185185185</v>
      </c>
      <c r="I638" s="66" t="inlineStr">
        <is>
          <t>https://docs.google.com/spreadsheets/d/1ZiCGoPjLCjuYvujDTXK9Ixbth3tekiLtFBzBrGjPCr4/edit?gid=0#gid=0</t>
        </is>
      </c>
      <c r="J638" s="67" t="inlineStr">
        <is>
          <t>Overpaid, Excede o limite, Sem comprovante - [OPEN]</t>
        </is>
      </c>
      <c r="K638" s="67" t="inlineStr"/>
      <c r="L638" s="68" t="b">
        <v>0</v>
      </c>
      <c r="M638" s="20" t="n"/>
      <c r="N638" s="69">
        <f>IF($J638="","",IFERROR(INDEX(B!$F$2:$F$61,MATCH($J638,B!$E$2:$E$61,0))&amp;"",""))</f>
        <v/>
      </c>
      <c r="O638" s="69">
        <f>IF($J638="","",IFERROR(INDEX(B!$G$2:$G$61,MATCH($J638,B!$E$2:$E$61,0))&amp;"",""))</f>
        <v/>
      </c>
      <c r="P638" s="69">
        <f>IF($J638="","",IFERROR(INDEX(B!$H$2:$H$61,MATCH($J638,B!$E$2:$E$61,0))&amp;"",""))</f>
        <v/>
      </c>
      <c r="Q638" s="69">
        <f>IF($J638="","",IFERROR(INDEX(B!$I$2:$I$61,MATCH($J638,B!$E$2:$E$61,0))&amp;"",""))</f>
        <v/>
      </c>
      <c r="R638" s="69">
        <f>IF($J638="","",IFERROR(INDEX(B!$J$2:$J$61,MATCH($J638,B!$E$2:$E$61,0))&amp;"",""))</f>
        <v/>
      </c>
      <c r="S638" s="69">
        <f>IF($J638="","",IFERROR(INDEX(B!$K$2:$K$61,MATCH($J638,B!$E$2:$E$61,0))&amp;"",""))</f>
        <v/>
      </c>
      <c r="T638" s="69">
        <f>IF($J638="","",IFERROR(INDEX(B!$L$2:$L$61,MATCH($J638,B!$E$2:$E$61,0))&amp;"",""))</f>
        <v/>
      </c>
      <c r="U638" s="20" t="n"/>
      <c r="V638" s="70">
        <f>IF($J638="","",IFERROR(INDEX(B!$M$2:$M$61,MATCH($J638,B!$E$2:$E$61,0))&amp;"",""))</f>
        <v/>
      </c>
      <c r="W638" s="71">
        <f>IF(I638="","",IFERROR(MID(I638,FIND("/d/",I638)+3,FIND("/edit",I638)-FIND("/d/",I638)-3),I638))</f>
        <v/>
      </c>
      <c r="X638" s="71">
        <f>IF($J638="","",IFERROR(INDEX(B!$C$2:$C$61,MATCH($J638,B!$E$2:$E$61,0))&amp;"",""))</f>
        <v/>
      </c>
      <c r="Y638" s="20" t="n"/>
      <c r="Z638" s="72">
        <f>IF($J638="",FALSE,ISNUMBER(SEARCH("scout",$K638)))</f>
        <v/>
      </c>
      <c r="AA638" s="72">
        <f>IF($J638="",FALSE,IFERROR(INDEX(B!$N$2:$N$61,MATCH($J638,B!$E$2:$E$61,0))="Sim",FALSE))</f>
        <v/>
      </c>
      <c r="AB638" s="72">
        <f>IF($J638="",FALSE,LEFT($X638,2)="XX")</f>
        <v/>
      </c>
      <c r="AC638" s="72">
        <f>IF($J638="",FALSE,IFERROR(INDEX(B!$P$2:$P$61,MATCH($J638,B!$E$2:$E$61,0))="Sim",FALSE))</f>
        <v/>
      </c>
      <c r="AD638" s="20" t="n"/>
      <c r="AE638" s="52">
        <f>IF(H638="","",HOUR(H638))</f>
        <v/>
      </c>
      <c r="AF638" s="52" t="n"/>
    </row>
    <row r="639" ht="19.5" customHeight="1" s="58">
      <c r="A639" s="62">
        <f>IF(G639="","",IF(G639=G638,"",COUNTIF($G$3:$G$976,G639)))</f>
        <v/>
      </c>
      <c r="B639" s="20" t="n"/>
      <c r="C639" s="63">
        <f>IF(G639="","",DAY(G639))</f>
        <v/>
      </c>
      <c r="D639" s="63">
        <f>IF(G639="","",MONTH(G639))</f>
        <v/>
      </c>
      <c r="E639" s="63">
        <f>IF(G639="","",YEAR(G639))</f>
        <v/>
      </c>
      <c r="F639" s="33">
        <f>IF(G639="","",CHOOSE(MONTH(G639),"Janeiro","Fevereiro","Março","Abril","Maio","Junho","Julho","Agosto","Setembro","Outubro","Novembro","Dezembro"))</f>
        <v/>
      </c>
      <c r="G639" s="64" t="n">
        <v>46072</v>
      </c>
      <c r="H639" s="65" t="n">
        <v>0.09620370370370371</v>
      </c>
      <c r="I639" s="66" t="inlineStr">
        <is>
          <t>https://docs.google.com/spreadsheets/d/1ZiCGoPjLCjuYvujDTXK9Ixbth3tekiLtFBzBrGjPCr4/edit?gid=0#gid=0</t>
        </is>
      </c>
      <c r="J639" s="67" t="inlineStr">
        <is>
          <t>Pushback - [XX]</t>
        </is>
      </c>
      <c r="K639" s="67" t="inlineStr"/>
      <c r="L639" s="68" t="b">
        <v>0</v>
      </c>
      <c r="M639" s="20" t="n"/>
      <c r="N639" s="69">
        <f>IF($J639="","",IFERROR(INDEX(B!$F$2:$F$61,MATCH($J639,B!$E$2:$E$61,0))&amp;"",""))</f>
        <v/>
      </c>
      <c r="O639" s="69">
        <f>IF($J639="","",IFERROR(INDEX(B!$G$2:$G$61,MATCH($J639,B!$E$2:$E$61,0))&amp;"",""))</f>
        <v/>
      </c>
      <c r="P639" s="69">
        <f>IF($J639="","",IFERROR(INDEX(B!$H$2:$H$61,MATCH($J639,B!$E$2:$E$61,0))&amp;"",""))</f>
        <v/>
      </c>
      <c r="Q639" s="69">
        <f>IF($J639="","",IFERROR(INDEX(B!$I$2:$I$61,MATCH($J639,B!$E$2:$E$61,0))&amp;"",""))</f>
        <v/>
      </c>
      <c r="R639" s="69">
        <f>IF($J639="","",IFERROR(INDEX(B!$J$2:$J$61,MATCH($J639,B!$E$2:$E$61,0))&amp;"",""))</f>
        <v/>
      </c>
      <c r="S639" s="69">
        <f>IF($J639="","",IFERROR(INDEX(B!$K$2:$K$61,MATCH($J639,B!$E$2:$E$61,0))&amp;"",""))</f>
        <v/>
      </c>
      <c r="T639" s="69">
        <f>IF($J639="","",IFERROR(INDEX(B!$L$2:$L$61,MATCH($J639,B!$E$2:$E$61,0))&amp;"",""))</f>
        <v/>
      </c>
      <c r="U639" s="20" t="n"/>
      <c r="V639" s="70">
        <f>IF($J639="","",IFERROR(INDEX(B!$M$2:$M$61,MATCH($J639,B!$E$2:$E$61,0))&amp;"",""))</f>
        <v/>
      </c>
      <c r="W639" s="71">
        <f>IF(I639="","",IFERROR(MID(I639,FIND("/d/",I639)+3,FIND("/edit",I639)-FIND("/d/",I639)-3),I639))</f>
        <v/>
      </c>
      <c r="X639" s="71">
        <f>IF($J639="","",IFERROR(INDEX(B!$C$2:$C$61,MATCH($J639,B!$E$2:$E$61,0))&amp;"",""))</f>
        <v/>
      </c>
      <c r="Y639" s="20" t="n"/>
      <c r="Z639" s="72">
        <f>IF($J639="",FALSE,ISNUMBER(SEARCH("scout",$K639)))</f>
        <v/>
      </c>
      <c r="AA639" s="72">
        <f>IF($J639="",FALSE,IFERROR(INDEX(B!$N$2:$N$61,MATCH($J639,B!$E$2:$E$61,0))="Sim",FALSE))</f>
        <v/>
      </c>
      <c r="AB639" s="72">
        <f>IF($J639="",FALSE,LEFT($X639,2)="XX")</f>
        <v/>
      </c>
      <c r="AC639" s="72">
        <f>IF($J639="",FALSE,IFERROR(INDEX(B!$P$2:$P$61,MATCH($J639,B!$E$2:$E$61,0))="Sim",FALSE))</f>
        <v/>
      </c>
      <c r="AD639" s="20" t="n"/>
      <c r="AE639" s="52">
        <f>IF(H639="","",HOUR(H639))</f>
        <v/>
      </c>
      <c r="AF639" s="52" t="n"/>
    </row>
    <row r="640" ht="19.5" customHeight="1" s="58">
      <c r="A640" s="62">
        <f>IF(G640="","",IF(G640=G639,"",COUNTIF($G$3:$G$976,G640)))</f>
        <v/>
      </c>
      <c r="B640" s="20" t="n"/>
      <c r="C640" s="63">
        <f>IF(G640="","",DAY(G640))</f>
        <v/>
      </c>
      <c r="D640" s="63">
        <f>IF(G640="","",MONTH(G640))</f>
        <v/>
      </c>
      <c r="E640" s="63">
        <f>IF(G640="","",YEAR(G640))</f>
        <v/>
      </c>
      <c r="F640" s="33">
        <f>IF(G640="","",CHOOSE(MONTH(G640),"Janeiro","Fevereiro","Março","Abril","Maio","Junho","Julho","Agosto","Setembro","Outubro","Novembro","Dezembro"))</f>
        <v/>
      </c>
      <c r="G640" s="64" t="n">
        <v>46072</v>
      </c>
      <c r="H640" s="65" t="n">
        <v>0.09777777777777778</v>
      </c>
      <c r="I640" s="66" t="inlineStr">
        <is>
          <t>https://docs.google.com/spreadsheets/d/1ZiCGoPjLCjuYvujDTXK9Ixbth3tekiLtFBzBrGjPCr4/edit?gid=0#gid=0</t>
        </is>
      </c>
      <c r="J640" s="67" t="inlineStr">
        <is>
          <t>Taxa de Cancelamento Cobrada Corretamente - [TXCO]</t>
        </is>
      </c>
      <c r="K640" s="67" t="inlineStr">
        <is>
          <t>Scout</t>
        </is>
      </c>
      <c r="L640" s="68" t="b">
        <v>0</v>
      </c>
      <c r="M640" s="20" t="n"/>
      <c r="N640" s="69">
        <f>IF($J640="","",IFERROR(INDEX(B!$F$2:$F$61,MATCH($J640,B!$E$2:$E$61,0))&amp;"",""))</f>
        <v/>
      </c>
      <c r="O640" s="69">
        <f>IF($J640="","",IFERROR(INDEX(B!$G$2:$G$61,MATCH($J640,B!$E$2:$E$61,0))&amp;"",""))</f>
        <v/>
      </c>
      <c r="P640" s="69">
        <f>IF($J640="","",IFERROR(INDEX(B!$H$2:$H$61,MATCH($J640,B!$E$2:$E$61,0))&amp;"",""))</f>
        <v/>
      </c>
      <c r="Q640" s="69">
        <f>IF($J640="","",IFERROR(INDEX(B!$I$2:$I$61,MATCH($J640,B!$E$2:$E$61,0))&amp;"",""))</f>
        <v/>
      </c>
      <c r="R640" s="69">
        <f>IF($J640="","",IFERROR(INDEX(B!$J$2:$J$61,MATCH($J640,B!$E$2:$E$61,0))&amp;"",""))</f>
        <v/>
      </c>
      <c r="S640" s="69">
        <f>IF($J640="","",IFERROR(INDEX(B!$K$2:$K$61,MATCH($J640,B!$E$2:$E$61,0))&amp;"",""))</f>
        <v/>
      </c>
      <c r="T640" s="69">
        <f>IF($J640="","",IFERROR(INDEX(B!$L$2:$L$61,MATCH($J640,B!$E$2:$E$61,0))&amp;"",""))</f>
        <v/>
      </c>
      <c r="U640" s="20" t="n"/>
      <c r="V640" s="70">
        <f>IF($J640="","",IFERROR(INDEX(B!$M$2:$M$61,MATCH($J640,B!$E$2:$E$61,0))&amp;"",""))</f>
        <v/>
      </c>
      <c r="W640" s="71">
        <f>IF(I640="","",IFERROR(MID(I640,FIND("/d/",I640)+3,FIND("/edit",I640)-FIND("/d/",I640)-3),I640))</f>
        <v/>
      </c>
      <c r="X640" s="71">
        <f>IF($J640="","",IFERROR(INDEX(B!$C$2:$C$61,MATCH($J640,B!$E$2:$E$61,0))&amp;"",""))</f>
        <v/>
      </c>
      <c r="Y640" s="20" t="n"/>
      <c r="Z640" s="72">
        <f>IF($J640="",FALSE,ISNUMBER(SEARCH("scout",$K640)))</f>
        <v/>
      </c>
      <c r="AA640" s="72">
        <f>IF($J640="",FALSE,IFERROR(INDEX(B!$N$2:$N$61,MATCH($J640,B!$E$2:$E$61,0))="Sim",FALSE))</f>
        <v/>
      </c>
      <c r="AB640" s="72">
        <f>IF($J640="",FALSE,LEFT($X640,2)="XX")</f>
        <v/>
      </c>
      <c r="AC640" s="72">
        <f>IF($J640="",FALSE,IFERROR(INDEX(B!$P$2:$P$61,MATCH($J640,B!$E$2:$E$61,0))="Sim",FALSE))</f>
        <v/>
      </c>
      <c r="AD640" s="20" t="n"/>
      <c r="AE640" s="52">
        <f>IF(H640="","",HOUR(H640))</f>
        <v/>
      </c>
      <c r="AF640" s="52" t="n"/>
    </row>
    <row r="641" ht="19.5" customHeight="1" s="58">
      <c r="A641" s="62">
        <f>IF(G641="","",IF(G641=G640,"",COUNTIF($G$3:$G$976,G641)))</f>
        <v/>
      </c>
      <c r="B641" s="20" t="n"/>
      <c r="C641" s="63">
        <f>IF(G641="","",DAY(G641))</f>
        <v/>
      </c>
      <c r="D641" s="63">
        <f>IF(G641="","",MONTH(G641))</f>
        <v/>
      </c>
      <c r="E641" s="63">
        <f>IF(G641="","",YEAR(G641))</f>
        <v/>
      </c>
      <c r="F641" s="33">
        <f>IF(G641="","",CHOOSE(MONTH(G641),"Janeiro","Fevereiro","Março","Abril","Maio","Junho","Julho","Agosto","Setembro","Outubro","Novembro","Dezembro"))</f>
        <v/>
      </c>
      <c r="G641" s="64" t="n">
        <v>46072</v>
      </c>
      <c r="H641" s="65" t="n">
        <v>0.1024189814814815</v>
      </c>
      <c r="I641" s="66" t="inlineStr">
        <is>
          <t>https://docs.google.com/spreadsheets/d/1ZiCGoPjLCjuYvujDTXK9Ixbth3tekiLtFBzBrGjPCr4/edit?gid=0#gid=0</t>
        </is>
      </c>
      <c r="J641" s="67" t="inlineStr">
        <is>
          <t>Transferência de LOB (Geral não especificado) - [TI]</t>
        </is>
      </c>
      <c r="K641" s="67" t="inlineStr"/>
      <c r="L641" s="68" t="b">
        <v>0</v>
      </c>
      <c r="M641" s="20" t="n"/>
      <c r="N641" s="69">
        <f>IF($J641="","",IFERROR(INDEX(B!$F$2:$F$61,MATCH($J641,B!$E$2:$E$61,0))&amp;"",""))</f>
        <v/>
      </c>
      <c r="O641" s="69">
        <f>IF($J641="","",IFERROR(INDEX(B!$G$2:$G$61,MATCH($J641,B!$E$2:$E$61,0))&amp;"",""))</f>
        <v/>
      </c>
      <c r="P641" s="69">
        <f>IF($J641="","",IFERROR(INDEX(B!$H$2:$H$61,MATCH($J641,B!$E$2:$E$61,0))&amp;"",""))</f>
        <v/>
      </c>
      <c r="Q641" s="69">
        <f>IF($J641="","",IFERROR(INDEX(B!$I$2:$I$61,MATCH($J641,B!$E$2:$E$61,0))&amp;"",""))</f>
        <v/>
      </c>
      <c r="R641" s="69">
        <f>IF($J641="","",IFERROR(INDEX(B!$J$2:$J$61,MATCH($J641,B!$E$2:$E$61,0))&amp;"",""))</f>
        <v/>
      </c>
      <c r="S641" s="69">
        <f>IF($J641="","",IFERROR(INDEX(B!$K$2:$K$61,MATCH($J641,B!$E$2:$E$61,0))&amp;"",""))</f>
        <v/>
      </c>
      <c r="T641" s="69">
        <f>IF($J641="","",IFERROR(INDEX(B!$L$2:$L$61,MATCH($J641,B!$E$2:$E$61,0))&amp;"",""))</f>
        <v/>
      </c>
      <c r="U641" s="20" t="n"/>
      <c r="V641" s="70">
        <f>IF($J641="","",IFERROR(INDEX(B!$M$2:$M$61,MATCH($J641,B!$E$2:$E$61,0))&amp;"",""))</f>
        <v/>
      </c>
      <c r="W641" s="71">
        <f>IF(I641="","",IFERROR(MID(I641,FIND("/d/",I641)+3,FIND("/edit",I641)-FIND("/d/",I641)-3),I641))</f>
        <v/>
      </c>
      <c r="X641" s="71">
        <f>IF($J641="","",IFERROR(INDEX(B!$C$2:$C$61,MATCH($J641,B!$E$2:$E$61,0))&amp;"",""))</f>
        <v/>
      </c>
      <c r="Y641" s="20" t="n"/>
      <c r="Z641" s="72">
        <f>IF($J641="",FALSE,ISNUMBER(SEARCH("scout",$K641)))</f>
        <v/>
      </c>
      <c r="AA641" s="72">
        <f>IF($J641="",FALSE,IFERROR(INDEX(B!$N$2:$N$61,MATCH($J641,B!$E$2:$E$61,0))="Sim",FALSE))</f>
        <v/>
      </c>
      <c r="AB641" s="72">
        <f>IF($J641="",FALSE,LEFT($X641,2)="XX")</f>
        <v/>
      </c>
      <c r="AC641" s="72">
        <f>IF($J641="",FALSE,IFERROR(INDEX(B!$P$2:$P$61,MATCH($J641,B!$E$2:$E$61,0))="Sim",FALSE))</f>
        <v/>
      </c>
      <c r="AD641" s="20" t="n"/>
      <c r="AE641" s="52">
        <f>IF(H641="","",HOUR(H641))</f>
        <v/>
      </c>
      <c r="AF641" s="52" t="n"/>
    </row>
    <row r="642" ht="19.5" customHeight="1" s="58">
      <c r="A642" s="62">
        <f>IF(G642="","",IF(G642=G641,"",COUNTIF($G$3:$G$976,G642)))</f>
        <v/>
      </c>
      <c r="B642" s="20" t="n"/>
      <c r="C642" s="63">
        <f>IF(G642="","",DAY(G642))</f>
        <v/>
      </c>
      <c r="D642" s="63">
        <f>IF(G642="","",MONTH(G642))</f>
        <v/>
      </c>
      <c r="E642" s="63">
        <f>IF(G642="","",YEAR(G642))</f>
        <v/>
      </c>
      <c r="F642" s="33">
        <f>IF(G642="","",CHOOSE(MONTH(G642),"Janeiro","Fevereiro","Março","Abril","Maio","Junho","Julho","Agosto","Setembro","Outubro","Novembro","Dezembro"))</f>
        <v/>
      </c>
      <c r="G642" s="64" t="n">
        <v>46072</v>
      </c>
      <c r="H642" s="65" t="n">
        <v>0.1026967592592593</v>
      </c>
      <c r="I642" s="66" t="inlineStr">
        <is>
          <t>https://docs.google.com/spreadsheets/d/1ZiCGoPjLCjuYvujDTXK9Ixbth3tekiLtFBzBrGjPCr4/edit?gid=0#gid=0</t>
        </is>
      </c>
      <c r="J642" s="67" t="inlineStr">
        <is>
          <t>Transferência de LOB (Safety) - [TIST]</t>
        </is>
      </c>
      <c r="K642" s="67" t="inlineStr">
        <is>
          <t>Scout</t>
        </is>
      </c>
      <c r="L642" s="68" t="b">
        <v>0</v>
      </c>
      <c r="M642" s="20" t="n"/>
      <c r="N642" s="69">
        <f>IF($J642="","",IFERROR(INDEX(B!$F$2:$F$61,MATCH($J642,B!$E$2:$E$61,0))&amp;"",""))</f>
        <v/>
      </c>
      <c r="O642" s="69">
        <f>IF($J642="","",IFERROR(INDEX(B!$G$2:$G$61,MATCH($J642,B!$E$2:$E$61,0))&amp;"",""))</f>
        <v/>
      </c>
      <c r="P642" s="69">
        <f>IF($J642="","",IFERROR(INDEX(B!$H$2:$H$61,MATCH($J642,B!$E$2:$E$61,0))&amp;"",""))</f>
        <v/>
      </c>
      <c r="Q642" s="69">
        <f>IF($J642="","",IFERROR(INDEX(B!$I$2:$I$61,MATCH($J642,B!$E$2:$E$61,0))&amp;"",""))</f>
        <v/>
      </c>
      <c r="R642" s="69">
        <f>IF($J642="","",IFERROR(INDEX(B!$J$2:$J$61,MATCH($J642,B!$E$2:$E$61,0))&amp;"",""))</f>
        <v/>
      </c>
      <c r="S642" s="69">
        <f>IF($J642="","",IFERROR(INDEX(B!$K$2:$K$61,MATCH($J642,B!$E$2:$E$61,0))&amp;"",""))</f>
        <v/>
      </c>
      <c r="T642" s="69">
        <f>IF($J642="","",IFERROR(INDEX(B!$L$2:$L$61,MATCH($J642,B!$E$2:$E$61,0))&amp;"",""))</f>
        <v/>
      </c>
      <c r="U642" s="20" t="n"/>
      <c r="V642" s="70">
        <f>IF($J642="","",IFERROR(INDEX(B!$M$2:$M$61,MATCH($J642,B!$E$2:$E$61,0))&amp;"",""))</f>
        <v/>
      </c>
      <c r="W642" s="71">
        <f>IF(I642="","",IFERROR(MID(I642,FIND("/d/",I642)+3,FIND("/edit",I642)-FIND("/d/",I642)-3),I642))</f>
        <v/>
      </c>
      <c r="X642" s="71">
        <f>IF($J642="","",IFERROR(INDEX(B!$C$2:$C$61,MATCH($J642,B!$E$2:$E$61,0))&amp;"",""))</f>
        <v/>
      </c>
      <c r="Y642" s="20" t="n"/>
      <c r="Z642" s="72">
        <f>IF($J642="",FALSE,ISNUMBER(SEARCH("scout",$K642)))</f>
        <v/>
      </c>
      <c r="AA642" s="72">
        <f>IF($J642="",FALSE,IFERROR(INDEX(B!$N$2:$N$61,MATCH($J642,B!$E$2:$E$61,0))="Sim",FALSE))</f>
        <v/>
      </c>
      <c r="AB642" s="72">
        <f>IF($J642="",FALSE,LEFT($X642,2)="XX")</f>
        <v/>
      </c>
      <c r="AC642" s="72">
        <f>IF($J642="",FALSE,IFERROR(INDEX(B!$P$2:$P$61,MATCH($J642,B!$E$2:$E$61,0))="Sim",FALSE))</f>
        <v/>
      </c>
      <c r="AD642" s="20" t="n"/>
      <c r="AE642" s="52">
        <f>IF(H642="","",HOUR(H642))</f>
        <v/>
      </c>
      <c r="AF642" s="52" t="n"/>
    </row>
    <row r="643" ht="19.5" customHeight="1" s="58">
      <c r="A643" s="62">
        <f>IF(G643="","",IF(G643=G642,"",COUNTIF($G$3:$G$976,G643)))</f>
        <v/>
      </c>
      <c r="B643" s="20" t="n"/>
      <c r="C643" s="63">
        <f>IF(G643="","",DAY(G643))</f>
        <v/>
      </c>
      <c r="D643" s="63">
        <f>IF(G643="","",MONTH(G643))</f>
        <v/>
      </c>
      <c r="E643" s="63">
        <f>IF(G643="","",YEAR(G643))</f>
        <v/>
      </c>
      <c r="F643" s="33">
        <f>IF(G643="","",CHOOSE(MONTH(G643),"Janeiro","Fevereiro","Março","Abril","Maio","Junho","Julho","Agosto","Setembro","Outubro","Novembro","Dezembro"))</f>
        <v/>
      </c>
      <c r="G643" s="64" t="n">
        <v>46072</v>
      </c>
      <c r="H643" s="65" t="n">
        <v>0.1096296296296296</v>
      </c>
      <c r="I643" s="66" t="inlineStr">
        <is>
          <t>https://docs.google.com/spreadsheets/d/1ZiCGoPjLCjuYvujDTXK9Ixbth3tekiLtFBzBrGjPCr4/edit?gid=0#gid=0</t>
        </is>
      </c>
      <c r="J643" s="67" t="inlineStr">
        <is>
          <t>Taxa de Cancelamento - [TXC]</t>
        </is>
      </c>
      <c r="K643" s="67" t="inlineStr">
        <is>
          <t>Scout</t>
        </is>
      </c>
      <c r="L643" s="68" t="b">
        <v>0</v>
      </c>
      <c r="M643" s="20" t="n"/>
      <c r="N643" s="69">
        <f>IF($J643="","",IFERROR(INDEX(B!$F$2:$F$61,MATCH($J643,B!$E$2:$E$61,0))&amp;"",""))</f>
        <v/>
      </c>
      <c r="O643" s="69">
        <f>IF($J643="","",IFERROR(INDEX(B!$G$2:$G$61,MATCH($J643,B!$E$2:$E$61,0))&amp;"",""))</f>
        <v/>
      </c>
      <c r="P643" s="69">
        <f>IF($J643="","",IFERROR(INDEX(B!$H$2:$H$61,MATCH($J643,B!$E$2:$E$61,0))&amp;"",""))</f>
        <v/>
      </c>
      <c r="Q643" s="69">
        <f>IF($J643="","",IFERROR(INDEX(B!$I$2:$I$61,MATCH($J643,B!$E$2:$E$61,0))&amp;"",""))</f>
        <v/>
      </c>
      <c r="R643" s="69">
        <f>IF($J643="","",IFERROR(INDEX(B!$J$2:$J$61,MATCH($J643,B!$E$2:$E$61,0))&amp;"",""))</f>
        <v/>
      </c>
      <c r="S643" s="69">
        <f>IF($J643="","",IFERROR(INDEX(B!$K$2:$K$61,MATCH($J643,B!$E$2:$E$61,0))&amp;"",""))</f>
        <v/>
      </c>
      <c r="T643" s="69">
        <f>IF($J643="","",IFERROR(INDEX(B!$L$2:$L$61,MATCH($J643,B!$E$2:$E$61,0))&amp;"",""))</f>
        <v/>
      </c>
      <c r="U643" s="20" t="n"/>
      <c r="V643" s="70">
        <f>IF($J643="","",IFERROR(INDEX(B!$M$2:$M$61,MATCH($J643,B!$E$2:$E$61,0))&amp;"",""))</f>
        <v/>
      </c>
      <c r="W643" s="71">
        <f>IF(I643="","",IFERROR(MID(I643,FIND("/d/",I643)+3,FIND("/edit",I643)-FIND("/d/",I643)-3),I643))</f>
        <v/>
      </c>
      <c r="X643" s="71">
        <f>IF($J643="","",IFERROR(INDEX(B!$C$2:$C$61,MATCH($J643,B!$E$2:$E$61,0))&amp;"",""))</f>
        <v/>
      </c>
      <c r="Y643" s="20" t="n"/>
      <c r="Z643" s="72">
        <f>IF($J643="",FALSE,ISNUMBER(SEARCH("scout",$K643)))</f>
        <v/>
      </c>
      <c r="AA643" s="72">
        <f>IF($J643="",FALSE,IFERROR(INDEX(B!$N$2:$N$61,MATCH($J643,B!$E$2:$E$61,0))="Sim",FALSE))</f>
        <v/>
      </c>
      <c r="AB643" s="72">
        <f>IF($J643="",FALSE,LEFT($X643,2)="XX")</f>
        <v/>
      </c>
      <c r="AC643" s="72">
        <f>IF($J643="",FALSE,IFERROR(INDEX(B!$P$2:$P$61,MATCH($J643,B!$E$2:$E$61,0))="Sim",FALSE))</f>
        <v/>
      </c>
      <c r="AD643" s="20" t="n"/>
      <c r="AE643" s="52">
        <f>IF(H643="","",HOUR(H643))</f>
        <v/>
      </c>
      <c r="AF643" s="52" t="n"/>
    </row>
    <row r="644" ht="19.5" customHeight="1" s="58">
      <c r="A644" s="62">
        <f>IF(G644="","",IF(G644=G643,"",COUNTIF($G$3:$G$976,G644)))</f>
        <v/>
      </c>
      <c r="B644" s="20" t="n"/>
      <c r="C644" s="63">
        <f>IF(G644="","",DAY(G644))</f>
        <v/>
      </c>
      <c r="D644" s="63">
        <f>IF(G644="","",MONTH(G644))</f>
        <v/>
      </c>
      <c r="E644" s="63">
        <f>IF(G644="","",YEAR(G644))</f>
        <v/>
      </c>
      <c r="F644" s="33">
        <f>IF(G644="","",CHOOSE(MONTH(G644),"Janeiro","Fevereiro","Março","Abril","Maio","Junho","Julho","Agosto","Setembro","Outubro","Novembro","Dezembro"))</f>
        <v/>
      </c>
      <c r="G644" s="64" t="n">
        <v>46072</v>
      </c>
      <c r="H644" s="65" t="n">
        <v>0.1142013888888889</v>
      </c>
      <c r="I644" s="66" t="inlineStr">
        <is>
          <t>https://docs.google.com/spreadsheets/d/1ZiCGoPjLCjuYvujDTXK9Ixbth3tekiLtFBzBrGjPCr4/edit?gid=0#gid=0</t>
        </is>
      </c>
      <c r="J644" s="67" t="inlineStr">
        <is>
          <t>Taxa de Limpeza, Sem ajustes - [TXLO]</t>
        </is>
      </c>
      <c r="K644" s="67" t="inlineStr"/>
      <c r="L644" s="68" t="b">
        <v>0</v>
      </c>
      <c r="M644" s="20" t="n"/>
      <c r="N644" s="69">
        <f>IF($J644="","",IFERROR(INDEX(B!$F$2:$F$61,MATCH($J644,B!$E$2:$E$61,0))&amp;"",""))</f>
        <v/>
      </c>
      <c r="O644" s="69">
        <f>IF($J644="","",IFERROR(INDEX(B!$G$2:$G$61,MATCH($J644,B!$E$2:$E$61,0))&amp;"",""))</f>
        <v/>
      </c>
      <c r="P644" s="69">
        <f>IF($J644="","",IFERROR(INDEX(B!$H$2:$H$61,MATCH($J644,B!$E$2:$E$61,0))&amp;"",""))</f>
        <v/>
      </c>
      <c r="Q644" s="69">
        <f>IF($J644="","",IFERROR(INDEX(B!$I$2:$I$61,MATCH($J644,B!$E$2:$E$61,0))&amp;"",""))</f>
        <v/>
      </c>
      <c r="R644" s="69">
        <f>IF($J644="","",IFERROR(INDEX(B!$J$2:$J$61,MATCH($J644,B!$E$2:$E$61,0))&amp;"",""))</f>
        <v/>
      </c>
      <c r="S644" s="69">
        <f>IF($J644="","",IFERROR(INDEX(B!$K$2:$K$61,MATCH($J644,B!$E$2:$E$61,0))&amp;"",""))</f>
        <v/>
      </c>
      <c r="T644" s="69">
        <f>IF($J644="","",IFERROR(INDEX(B!$L$2:$L$61,MATCH($J644,B!$E$2:$E$61,0))&amp;"",""))</f>
        <v/>
      </c>
      <c r="U644" s="20" t="n"/>
      <c r="V644" s="70">
        <f>IF($J644="","",IFERROR(INDEX(B!$M$2:$M$61,MATCH($J644,B!$E$2:$E$61,0))&amp;"",""))</f>
        <v/>
      </c>
      <c r="W644" s="71">
        <f>IF(I644="","",IFERROR(MID(I644,FIND("/d/",I644)+3,FIND("/edit",I644)-FIND("/d/",I644)-3),I644))</f>
        <v/>
      </c>
      <c r="X644" s="71">
        <f>IF($J644="","",IFERROR(INDEX(B!$C$2:$C$61,MATCH($J644,B!$E$2:$E$61,0))&amp;"",""))</f>
        <v/>
      </c>
      <c r="Y644" s="20" t="n"/>
      <c r="Z644" s="72">
        <f>IF($J644="",FALSE,ISNUMBER(SEARCH("scout",$K644)))</f>
        <v/>
      </c>
      <c r="AA644" s="72">
        <f>IF($J644="",FALSE,IFERROR(INDEX(B!$N$2:$N$61,MATCH($J644,B!$E$2:$E$61,0))="Sim",FALSE))</f>
        <v/>
      </c>
      <c r="AB644" s="72">
        <f>IF($J644="",FALSE,LEFT($X644,2)="XX")</f>
        <v/>
      </c>
      <c r="AC644" s="72">
        <f>IF($J644="",FALSE,IFERROR(INDEX(B!$P$2:$P$61,MATCH($J644,B!$E$2:$E$61,0))="Sim",FALSE))</f>
        <v/>
      </c>
      <c r="AD644" s="20" t="n"/>
      <c r="AE644" s="52">
        <f>IF(H644="","",HOUR(H644))</f>
        <v/>
      </c>
      <c r="AF644" s="52" t="n"/>
    </row>
    <row r="645" ht="19.5" customHeight="1" s="58">
      <c r="A645" s="62">
        <f>IF(G645="","",IF(G645=G644,"",COUNTIF($G$3:$G$976,G645)))</f>
        <v/>
      </c>
      <c r="B645" s="20" t="n"/>
      <c r="C645" s="63">
        <f>IF(G645="","",DAY(G645))</f>
        <v/>
      </c>
      <c r="D645" s="63">
        <f>IF(G645="","",MONTH(G645))</f>
        <v/>
      </c>
      <c r="E645" s="63">
        <f>IF(G645="","",YEAR(G645))</f>
        <v/>
      </c>
      <c r="F645" s="33">
        <f>IF(G645="","",CHOOSE(MONTH(G645),"Janeiro","Fevereiro","Março","Abril","Maio","Junho","Julho","Agosto","Setembro","Outubro","Novembro","Dezembro"))</f>
        <v/>
      </c>
      <c r="G645" s="64" t="n">
        <v>46072</v>
      </c>
      <c r="H645" s="65" t="n">
        <v>0.1153356481481481</v>
      </c>
      <c r="I645" s="66" t="inlineStr">
        <is>
          <t>https://docs.google.com/spreadsheets/d/1ZiCGoPjLCjuYvujDTXK9Ixbth3tekiLtFBzBrGjPCr4/edit?gid=0#gid=0</t>
        </is>
      </c>
      <c r="J645" s="67" t="inlineStr">
        <is>
          <t>Transferência de LOB (Profissionalismo) - [TIPR]</t>
        </is>
      </c>
      <c r="K645" s="67" t="inlineStr"/>
      <c r="L645" s="68" t="b">
        <v>0</v>
      </c>
      <c r="M645" s="20" t="n"/>
      <c r="N645" s="69">
        <f>IF($J645="","",IFERROR(INDEX(B!$F$2:$F$61,MATCH($J645,B!$E$2:$E$61,0))&amp;"",""))</f>
        <v/>
      </c>
      <c r="O645" s="69">
        <f>IF($J645="","",IFERROR(INDEX(B!$G$2:$G$61,MATCH($J645,B!$E$2:$E$61,0))&amp;"",""))</f>
        <v/>
      </c>
      <c r="P645" s="69">
        <f>IF($J645="","",IFERROR(INDEX(B!$H$2:$H$61,MATCH($J645,B!$E$2:$E$61,0))&amp;"",""))</f>
        <v/>
      </c>
      <c r="Q645" s="69">
        <f>IF($J645="","",IFERROR(INDEX(B!$I$2:$I$61,MATCH($J645,B!$E$2:$E$61,0))&amp;"",""))</f>
        <v/>
      </c>
      <c r="R645" s="69">
        <f>IF($J645="","",IFERROR(INDEX(B!$J$2:$J$61,MATCH($J645,B!$E$2:$E$61,0))&amp;"",""))</f>
        <v/>
      </c>
      <c r="S645" s="69">
        <f>IF($J645="","",IFERROR(INDEX(B!$K$2:$K$61,MATCH($J645,B!$E$2:$E$61,0))&amp;"",""))</f>
        <v/>
      </c>
      <c r="T645" s="69">
        <f>IF($J645="","",IFERROR(INDEX(B!$L$2:$L$61,MATCH($J645,B!$E$2:$E$61,0))&amp;"",""))</f>
        <v/>
      </c>
      <c r="U645" s="20" t="n"/>
      <c r="V645" s="70">
        <f>IF($J645="","",IFERROR(INDEX(B!$M$2:$M$61,MATCH($J645,B!$E$2:$E$61,0))&amp;"",""))</f>
        <v/>
      </c>
      <c r="W645" s="71">
        <f>IF(I645="","",IFERROR(MID(I645,FIND("/d/",I645)+3,FIND("/edit",I645)-FIND("/d/",I645)-3),I645))</f>
        <v/>
      </c>
      <c r="X645" s="71">
        <f>IF($J645="","",IFERROR(INDEX(B!$C$2:$C$61,MATCH($J645,B!$E$2:$E$61,0))&amp;"",""))</f>
        <v/>
      </c>
      <c r="Y645" s="20" t="n"/>
      <c r="Z645" s="72">
        <f>IF($J645="",FALSE,ISNUMBER(SEARCH("scout",$K645)))</f>
        <v/>
      </c>
      <c r="AA645" s="72">
        <f>IF($J645="",FALSE,IFERROR(INDEX(B!$N$2:$N$61,MATCH($J645,B!$E$2:$E$61,0))="Sim",FALSE))</f>
        <v/>
      </c>
      <c r="AB645" s="72">
        <f>IF($J645="",FALSE,LEFT($X645,2)="XX")</f>
        <v/>
      </c>
      <c r="AC645" s="72">
        <f>IF($J645="",FALSE,IFERROR(INDEX(B!$P$2:$P$61,MATCH($J645,B!$E$2:$E$61,0))="Sim",FALSE))</f>
        <v/>
      </c>
      <c r="AD645" s="20" t="n"/>
      <c r="AE645" s="52">
        <f>IF(H645="","",HOUR(H645))</f>
        <v/>
      </c>
      <c r="AF645" s="52" t="n"/>
    </row>
    <row r="646" ht="19.5" customHeight="1" s="58">
      <c r="A646" s="62">
        <f>IF(G646="","",IF(G646=G645,"",COUNTIF($G$3:$G$976,G646)))</f>
        <v/>
      </c>
      <c r="B646" s="20" t="n"/>
      <c r="C646" s="63">
        <f>IF(G646="","",DAY(G646))</f>
        <v/>
      </c>
      <c r="D646" s="63">
        <f>IF(G646="","",MONTH(G646))</f>
        <v/>
      </c>
      <c r="E646" s="63">
        <f>IF(G646="","",YEAR(G646))</f>
        <v/>
      </c>
      <c r="F646" s="33">
        <f>IF(G646="","",CHOOSE(MONTH(G646),"Janeiro","Fevereiro","Março","Abril","Maio","Junho","Julho","Agosto","Setembro","Outubro","Novembro","Dezembro"))</f>
        <v/>
      </c>
      <c r="G646" s="64" t="n">
        <v>46072</v>
      </c>
      <c r="H646" s="65" t="n">
        <v>0.1348842592592593</v>
      </c>
      <c r="I646" s="66" t="inlineStr">
        <is>
          <t>https://docs.google.com/spreadsheets/d/1ZiCGoPjLCjuYvujDTXK9Ixbth3tekiLtFBzBrGjPCr4/edit?gid=0#gid=0</t>
        </is>
      </c>
      <c r="J646" s="67" t="inlineStr">
        <is>
          <t>Trajeto Ruim - [TR]</t>
        </is>
      </c>
      <c r="K646" s="67" t="inlineStr"/>
      <c r="L646" s="68" t="b">
        <v>0</v>
      </c>
      <c r="M646" s="20" t="n"/>
      <c r="N646" s="69">
        <f>IF($J646="","",IFERROR(INDEX(B!$F$2:$F$61,MATCH($J646,B!$E$2:$E$61,0))&amp;"",""))</f>
        <v/>
      </c>
      <c r="O646" s="69">
        <f>IF($J646="","",IFERROR(INDEX(B!$G$2:$G$61,MATCH($J646,B!$E$2:$E$61,0))&amp;"",""))</f>
        <v/>
      </c>
      <c r="P646" s="69">
        <f>IF($J646="","",IFERROR(INDEX(B!$H$2:$H$61,MATCH($J646,B!$E$2:$E$61,0))&amp;"",""))</f>
        <v/>
      </c>
      <c r="Q646" s="69">
        <f>IF($J646="","",IFERROR(INDEX(B!$I$2:$I$61,MATCH($J646,B!$E$2:$E$61,0))&amp;"",""))</f>
        <v/>
      </c>
      <c r="R646" s="69">
        <f>IF($J646="","",IFERROR(INDEX(B!$J$2:$J$61,MATCH($J646,B!$E$2:$E$61,0))&amp;"",""))</f>
        <v/>
      </c>
      <c r="S646" s="69">
        <f>IF($J646="","",IFERROR(INDEX(B!$K$2:$K$61,MATCH($J646,B!$E$2:$E$61,0))&amp;"",""))</f>
        <v/>
      </c>
      <c r="T646" s="69">
        <f>IF($J646="","",IFERROR(INDEX(B!$L$2:$L$61,MATCH($J646,B!$E$2:$E$61,0))&amp;"",""))</f>
        <v/>
      </c>
      <c r="U646" s="20" t="n"/>
      <c r="V646" s="70">
        <f>IF($J646="","",IFERROR(INDEX(B!$M$2:$M$61,MATCH($J646,B!$E$2:$E$61,0))&amp;"",""))</f>
        <v/>
      </c>
      <c r="W646" s="71">
        <f>IF(I646="","",IFERROR(MID(I646,FIND("/d/",I646)+3,FIND("/edit",I646)-FIND("/d/",I646)-3),I646))</f>
        <v/>
      </c>
      <c r="X646" s="71">
        <f>IF($J646="","",IFERROR(INDEX(B!$C$2:$C$61,MATCH($J646,B!$E$2:$E$61,0))&amp;"",""))</f>
        <v/>
      </c>
      <c r="Y646" s="20" t="n"/>
      <c r="Z646" s="72">
        <f>IF($J646="",FALSE,ISNUMBER(SEARCH("scout",$K646)))</f>
        <v/>
      </c>
      <c r="AA646" s="72">
        <f>IF($J646="",FALSE,IFERROR(INDEX(B!$N$2:$N$61,MATCH($J646,B!$E$2:$E$61,0))="Sim",FALSE))</f>
        <v/>
      </c>
      <c r="AB646" s="72">
        <f>IF($J646="",FALSE,LEFT($X646,2)="XX")</f>
        <v/>
      </c>
      <c r="AC646" s="72">
        <f>IF($J646="",FALSE,IFERROR(INDEX(B!$P$2:$P$61,MATCH($J646,B!$E$2:$E$61,0))="Sim",FALSE))</f>
        <v/>
      </c>
      <c r="AD646" s="20" t="n"/>
      <c r="AE646" s="52">
        <f>IF(H646="","",HOUR(H646))</f>
        <v/>
      </c>
      <c r="AF646" s="52" t="n"/>
    </row>
    <row r="647" ht="19.5" customHeight="1" s="58">
      <c r="A647" s="62">
        <f>IF(G647="","",IF(G647=G646,"",COUNTIF($G$3:$G$976,G647)))</f>
        <v/>
      </c>
      <c r="B647" s="20" t="n"/>
      <c r="C647" s="63">
        <f>IF(G647="","",DAY(G647))</f>
        <v/>
      </c>
      <c r="D647" s="63">
        <f>IF(G647="","",MONTH(G647))</f>
        <v/>
      </c>
      <c r="E647" s="63">
        <f>IF(G647="","",YEAR(G647))</f>
        <v/>
      </c>
      <c r="F647" s="33">
        <f>IF(G647="","",CHOOSE(MONTH(G647),"Janeiro","Fevereiro","Março","Abril","Maio","Junho","Julho","Agosto","Setembro","Outubro","Novembro","Dezembro"))</f>
        <v/>
      </c>
      <c r="G647" s="64" t="n">
        <v>46072</v>
      </c>
      <c r="H647" s="65" t="n">
        <v>0.1350810185185185</v>
      </c>
      <c r="I647" s="66" t="inlineStr">
        <is>
          <t>https://docs.google.com/spreadsheets/d/1ZiCGoPjLCjuYvujDTXK9Ixbth3tekiLtFBzBrGjPCr4/edit?gid=0#gid=0</t>
        </is>
      </c>
      <c r="J647" s="67" t="inlineStr">
        <is>
          <t>Taxa de Cancelamento - [TXC]</t>
        </is>
      </c>
      <c r="K647" s="67" t="inlineStr"/>
      <c r="L647" s="68" t="b">
        <v>0</v>
      </c>
      <c r="M647" s="20" t="n"/>
      <c r="N647" s="69">
        <f>IF($J647="","",IFERROR(INDEX(B!$F$2:$F$61,MATCH($J647,B!$E$2:$E$61,0))&amp;"",""))</f>
        <v/>
      </c>
      <c r="O647" s="69">
        <f>IF($J647="","",IFERROR(INDEX(B!$G$2:$G$61,MATCH($J647,B!$E$2:$E$61,0))&amp;"",""))</f>
        <v/>
      </c>
      <c r="P647" s="69">
        <f>IF($J647="","",IFERROR(INDEX(B!$H$2:$H$61,MATCH($J647,B!$E$2:$E$61,0))&amp;"",""))</f>
        <v/>
      </c>
      <c r="Q647" s="69">
        <f>IF($J647="","",IFERROR(INDEX(B!$I$2:$I$61,MATCH($J647,B!$E$2:$E$61,0))&amp;"",""))</f>
        <v/>
      </c>
      <c r="R647" s="69">
        <f>IF($J647="","",IFERROR(INDEX(B!$J$2:$J$61,MATCH($J647,B!$E$2:$E$61,0))&amp;"",""))</f>
        <v/>
      </c>
      <c r="S647" s="69">
        <f>IF($J647="","",IFERROR(INDEX(B!$K$2:$K$61,MATCH($J647,B!$E$2:$E$61,0))&amp;"",""))</f>
        <v/>
      </c>
      <c r="T647" s="69">
        <f>IF($J647="","",IFERROR(INDEX(B!$L$2:$L$61,MATCH($J647,B!$E$2:$E$61,0))&amp;"",""))</f>
        <v/>
      </c>
      <c r="U647" s="20" t="n"/>
      <c r="V647" s="70">
        <f>IF($J647="","",IFERROR(INDEX(B!$M$2:$M$61,MATCH($J647,B!$E$2:$E$61,0))&amp;"",""))</f>
        <v/>
      </c>
      <c r="W647" s="71">
        <f>IF(I647="","",IFERROR(MID(I647,FIND("/d/",I647)+3,FIND("/edit",I647)-FIND("/d/",I647)-3),I647))</f>
        <v/>
      </c>
      <c r="X647" s="71">
        <f>IF($J647="","",IFERROR(INDEX(B!$C$2:$C$61,MATCH($J647,B!$E$2:$E$61,0))&amp;"",""))</f>
        <v/>
      </c>
      <c r="Y647" s="20" t="n"/>
      <c r="Z647" s="72">
        <f>IF($J647="",FALSE,ISNUMBER(SEARCH("scout",$K647)))</f>
        <v/>
      </c>
      <c r="AA647" s="72">
        <f>IF($J647="",FALSE,IFERROR(INDEX(B!$N$2:$N$61,MATCH($J647,B!$E$2:$E$61,0))="Sim",FALSE))</f>
        <v/>
      </c>
      <c r="AB647" s="72">
        <f>IF($J647="",FALSE,LEFT($X647,2)="XX")</f>
        <v/>
      </c>
      <c r="AC647" s="72">
        <f>IF($J647="",FALSE,IFERROR(INDEX(B!$P$2:$P$61,MATCH($J647,B!$E$2:$E$61,0))="Sim",FALSE))</f>
        <v/>
      </c>
      <c r="AD647" s="20" t="n"/>
      <c r="AE647" s="52">
        <f>IF(H647="","",HOUR(H647))</f>
        <v/>
      </c>
      <c r="AF647" s="52" t="n"/>
    </row>
    <row r="648" ht="19.5" customHeight="1" s="58">
      <c r="A648" s="62">
        <f>IF(G648="","",IF(G648=G647,"",COUNTIF($G$3:$G$976,G648)))</f>
        <v/>
      </c>
      <c r="B648" s="20" t="n"/>
      <c r="C648" s="63">
        <f>IF(G648="","",DAY(G648))</f>
        <v/>
      </c>
      <c r="D648" s="63">
        <f>IF(G648="","",MONTH(G648))</f>
        <v/>
      </c>
      <c r="E648" s="63">
        <f>IF(G648="","",YEAR(G648))</f>
        <v/>
      </c>
      <c r="F648" s="33">
        <f>IF(G648="","",CHOOSE(MONTH(G648),"Janeiro","Fevereiro","Março","Abril","Maio","Junho","Julho","Agosto","Setembro","Outubro","Novembro","Dezembro"))</f>
        <v/>
      </c>
      <c r="G648" s="64" t="n">
        <v>46072</v>
      </c>
      <c r="H648" s="65" t="n">
        <v>0.1411805555555556</v>
      </c>
      <c r="I648" s="66" t="inlineStr">
        <is>
          <t>https://docs.google.com/spreadsheets/d/1ZiCGoPjLCjuYvujDTXK9Ixbth3tekiLtFBzBrGjPCr4/edit?gid=0#gid=0</t>
        </is>
      </c>
      <c r="J648" s="67" t="inlineStr">
        <is>
          <t>Não houve Taxa de Cancelamento - [NTX]</t>
        </is>
      </c>
      <c r="K648" s="67" t="inlineStr"/>
      <c r="L648" s="68" t="b">
        <v>0</v>
      </c>
      <c r="M648" s="20" t="n"/>
      <c r="N648" s="69">
        <f>IF($J648="","",IFERROR(INDEX(B!$F$2:$F$61,MATCH($J648,B!$E$2:$E$61,0))&amp;"",""))</f>
        <v/>
      </c>
      <c r="O648" s="69">
        <f>IF($J648="","",IFERROR(INDEX(B!$G$2:$G$61,MATCH($J648,B!$E$2:$E$61,0))&amp;"",""))</f>
        <v/>
      </c>
      <c r="P648" s="69">
        <f>IF($J648="","",IFERROR(INDEX(B!$H$2:$H$61,MATCH($J648,B!$E$2:$E$61,0))&amp;"",""))</f>
        <v/>
      </c>
      <c r="Q648" s="69">
        <f>IF($J648="","",IFERROR(INDEX(B!$I$2:$I$61,MATCH($J648,B!$E$2:$E$61,0))&amp;"",""))</f>
        <v/>
      </c>
      <c r="R648" s="69">
        <f>IF($J648="","",IFERROR(INDEX(B!$J$2:$J$61,MATCH($J648,B!$E$2:$E$61,0))&amp;"",""))</f>
        <v/>
      </c>
      <c r="S648" s="69">
        <f>IF($J648="","",IFERROR(INDEX(B!$K$2:$K$61,MATCH($J648,B!$E$2:$E$61,0))&amp;"",""))</f>
        <v/>
      </c>
      <c r="T648" s="69">
        <f>IF($J648="","",IFERROR(INDEX(B!$L$2:$L$61,MATCH($J648,B!$E$2:$E$61,0))&amp;"",""))</f>
        <v/>
      </c>
      <c r="U648" s="20" t="n"/>
      <c r="V648" s="70">
        <f>IF($J648="","",IFERROR(INDEX(B!$M$2:$M$61,MATCH($J648,B!$E$2:$E$61,0))&amp;"",""))</f>
        <v/>
      </c>
      <c r="W648" s="71">
        <f>IF(I648="","",IFERROR(MID(I648,FIND("/d/",I648)+3,FIND("/edit",I648)-FIND("/d/",I648)-3),I648))</f>
        <v/>
      </c>
      <c r="X648" s="71">
        <f>IF($J648="","",IFERROR(INDEX(B!$C$2:$C$61,MATCH($J648,B!$E$2:$E$61,0))&amp;"",""))</f>
        <v/>
      </c>
      <c r="Y648" s="20" t="n"/>
      <c r="Z648" s="72">
        <f>IF($J648="",FALSE,ISNUMBER(SEARCH("scout",$K648)))</f>
        <v/>
      </c>
      <c r="AA648" s="72">
        <f>IF($J648="",FALSE,IFERROR(INDEX(B!$N$2:$N$61,MATCH($J648,B!$E$2:$E$61,0))="Sim",FALSE))</f>
        <v/>
      </c>
      <c r="AB648" s="72">
        <f>IF($J648="",FALSE,LEFT($X648,2)="XX")</f>
        <v/>
      </c>
      <c r="AC648" s="72">
        <f>IF($J648="",FALSE,IFERROR(INDEX(B!$P$2:$P$61,MATCH($J648,B!$E$2:$E$61,0))="Sim",FALSE))</f>
        <v/>
      </c>
      <c r="AD648" s="20" t="n"/>
      <c r="AE648" s="52">
        <f>IF(H648="","",HOUR(H648))</f>
        <v/>
      </c>
      <c r="AF648" s="52" t="n"/>
    </row>
    <row r="649" ht="19.5" customHeight="1" s="58">
      <c r="A649" s="62">
        <f>IF(G649="","",IF(G649=G648,"",COUNTIF($G$3:$G$976,G649)))</f>
        <v/>
      </c>
      <c r="B649" s="20" t="n"/>
      <c r="C649" s="63">
        <f>IF(G649="","",DAY(G649))</f>
        <v/>
      </c>
      <c r="D649" s="63">
        <f>IF(G649="","",MONTH(G649))</f>
        <v/>
      </c>
      <c r="E649" s="63">
        <f>IF(G649="","",YEAR(G649))</f>
        <v/>
      </c>
      <c r="F649" s="33">
        <f>IF(G649="","",CHOOSE(MONTH(G649),"Janeiro","Fevereiro","Março","Abril","Maio","Junho","Julho","Agosto","Setembro","Outubro","Novembro","Dezembro"))</f>
        <v/>
      </c>
      <c r="G649" s="64" t="n">
        <v>46073</v>
      </c>
      <c r="H649" s="65" t="n">
        <v>0.01385416666666667</v>
      </c>
      <c r="I649" s="66" t="inlineStr">
        <is>
          <t>https://docs.google.com/spreadsheets/d/1ZiCGoPjLCjuYvujDTXK9Ixbth3tekiLtFBzBrGjPCr4/edit?gid=0#gid=0</t>
        </is>
      </c>
      <c r="J649" s="67" t="inlineStr">
        <is>
          <t>Outros Valores Retidos (Pedágio, Cartão, Taxa de Cancelamento...) - [OTV]</t>
        </is>
      </c>
      <c r="K649" s="67" t="inlineStr"/>
      <c r="L649" s="68" t="b">
        <v>0</v>
      </c>
      <c r="M649" s="20" t="n"/>
      <c r="N649" s="69">
        <f>IF($J649="","",IFERROR(INDEX(B!$F$2:$F$61,MATCH($J649,B!$E$2:$E$61,0))&amp;"",""))</f>
        <v/>
      </c>
      <c r="O649" s="69">
        <f>IF($J649="","",IFERROR(INDEX(B!$G$2:$G$61,MATCH($J649,B!$E$2:$E$61,0))&amp;"",""))</f>
        <v/>
      </c>
      <c r="P649" s="69">
        <f>IF($J649="","",IFERROR(INDEX(B!$H$2:$H$61,MATCH($J649,B!$E$2:$E$61,0))&amp;"",""))</f>
        <v/>
      </c>
      <c r="Q649" s="69">
        <f>IF($J649="","",IFERROR(INDEX(B!$I$2:$I$61,MATCH($J649,B!$E$2:$E$61,0))&amp;"",""))</f>
        <v/>
      </c>
      <c r="R649" s="69">
        <f>IF($J649="","",IFERROR(INDEX(B!$J$2:$J$61,MATCH($J649,B!$E$2:$E$61,0))&amp;"",""))</f>
        <v/>
      </c>
      <c r="S649" s="69">
        <f>IF($J649="","",IFERROR(INDEX(B!$K$2:$K$61,MATCH($J649,B!$E$2:$E$61,0))&amp;"",""))</f>
        <v/>
      </c>
      <c r="T649" s="69">
        <f>IF($J649="","",IFERROR(INDEX(B!$L$2:$L$61,MATCH($J649,B!$E$2:$E$61,0))&amp;"",""))</f>
        <v/>
      </c>
      <c r="U649" s="20" t="n"/>
      <c r="V649" s="70">
        <f>IF($J649="","",IFERROR(INDEX(B!$M$2:$M$61,MATCH($J649,B!$E$2:$E$61,0))&amp;"",""))</f>
        <v/>
      </c>
      <c r="W649" s="71">
        <f>IF(I649="","",IFERROR(MID(I649,FIND("/d/",I649)+3,FIND("/edit",I649)-FIND("/d/",I649)-3),I649))</f>
        <v/>
      </c>
      <c r="X649" s="71">
        <f>IF($J649="","",IFERROR(INDEX(B!$C$2:$C$61,MATCH($J649,B!$E$2:$E$61,0))&amp;"",""))</f>
        <v/>
      </c>
      <c r="Y649" s="20" t="n"/>
      <c r="Z649" s="72">
        <f>IF($J649="",FALSE,ISNUMBER(SEARCH("scout",$K649)))</f>
        <v/>
      </c>
      <c r="AA649" s="72">
        <f>IF($J649="",FALSE,IFERROR(INDEX(B!$N$2:$N$61,MATCH($J649,B!$E$2:$E$61,0))="Sim",FALSE))</f>
        <v/>
      </c>
      <c r="AB649" s="72">
        <f>IF($J649="",FALSE,LEFT($X649,2)="XX")</f>
        <v/>
      </c>
      <c r="AC649" s="72">
        <f>IF($J649="",FALSE,IFERROR(INDEX(B!$P$2:$P$61,MATCH($J649,B!$E$2:$E$61,0))="Sim",FALSE))</f>
        <v/>
      </c>
      <c r="AD649" s="20" t="n"/>
      <c r="AE649" s="52">
        <f>IF(H649="","",HOUR(H649))</f>
        <v/>
      </c>
      <c r="AF649" s="52" t="n"/>
    </row>
    <row r="650" ht="19.5" customHeight="1" s="58">
      <c r="A650" s="62">
        <f>IF(G650="","",IF(G650=G649,"",COUNTIF($G$3:$G$976,G650)))</f>
        <v/>
      </c>
      <c r="B650" s="20" t="n"/>
      <c r="C650" s="63">
        <f>IF(G650="","",DAY(G650))</f>
        <v/>
      </c>
      <c r="D650" s="63">
        <f>IF(G650="","",MONTH(G650))</f>
        <v/>
      </c>
      <c r="E650" s="63">
        <f>IF(G650="","",YEAR(G650))</f>
        <v/>
      </c>
      <c r="F650" s="33">
        <f>IF(G650="","",CHOOSE(MONTH(G650),"Janeiro","Fevereiro","Março","Abril","Maio","Junho","Julho","Agosto","Setembro","Outubro","Novembro","Dezembro"))</f>
        <v/>
      </c>
      <c r="G650" s="64" t="n">
        <v>46073</v>
      </c>
      <c r="H650" s="65" t="n">
        <v>0.01439814814814815</v>
      </c>
      <c r="I650" s="66" t="inlineStr">
        <is>
          <t>https://docs.google.com/spreadsheets/d/1ZiCGoPjLCjuYvujDTXK9Ixbth3tekiLtFBzBrGjPCr4/edit?gid=0#gid=0</t>
        </is>
      </c>
      <c r="J650" s="67" t="inlineStr">
        <is>
          <t>Transferência de LOB (Accounts) - [TIAC]</t>
        </is>
      </c>
      <c r="K650" s="67" t="inlineStr">
        <is>
          <t>Scout</t>
        </is>
      </c>
      <c r="L650" s="68" t="b">
        <v>0</v>
      </c>
      <c r="M650" s="20" t="n"/>
      <c r="N650" s="69">
        <f>IF($J650="","",IFERROR(INDEX(B!$F$2:$F$61,MATCH($J650,B!$E$2:$E$61,0))&amp;"",""))</f>
        <v/>
      </c>
      <c r="O650" s="69">
        <f>IF($J650="","",IFERROR(INDEX(B!$G$2:$G$61,MATCH($J650,B!$E$2:$E$61,0))&amp;"",""))</f>
        <v/>
      </c>
      <c r="P650" s="69">
        <f>IF($J650="","",IFERROR(INDEX(B!$H$2:$H$61,MATCH($J650,B!$E$2:$E$61,0))&amp;"",""))</f>
        <v/>
      </c>
      <c r="Q650" s="69">
        <f>IF($J650="","",IFERROR(INDEX(B!$I$2:$I$61,MATCH($J650,B!$E$2:$E$61,0))&amp;"",""))</f>
        <v/>
      </c>
      <c r="R650" s="69">
        <f>IF($J650="","",IFERROR(INDEX(B!$J$2:$J$61,MATCH($J650,B!$E$2:$E$61,0))&amp;"",""))</f>
        <v/>
      </c>
      <c r="S650" s="69">
        <f>IF($J650="","",IFERROR(INDEX(B!$K$2:$K$61,MATCH($J650,B!$E$2:$E$61,0))&amp;"",""))</f>
        <v/>
      </c>
      <c r="T650" s="69">
        <f>IF($J650="","",IFERROR(INDEX(B!$L$2:$L$61,MATCH($J650,B!$E$2:$E$61,0))&amp;"",""))</f>
        <v/>
      </c>
      <c r="U650" s="20" t="n"/>
      <c r="V650" s="70">
        <f>IF($J650="","",IFERROR(INDEX(B!$M$2:$M$61,MATCH($J650,B!$E$2:$E$61,0))&amp;"",""))</f>
        <v/>
      </c>
      <c r="W650" s="71">
        <f>IF(I650="","",IFERROR(MID(I650,FIND("/d/",I650)+3,FIND("/edit",I650)-FIND("/d/",I650)-3),I650))</f>
        <v/>
      </c>
      <c r="X650" s="71">
        <f>IF($J650="","",IFERROR(INDEX(B!$C$2:$C$61,MATCH($J650,B!$E$2:$E$61,0))&amp;"",""))</f>
        <v/>
      </c>
      <c r="Y650" s="20" t="n"/>
      <c r="Z650" s="72">
        <f>IF($J650="",FALSE,ISNUMBER(SEARCH("scout",$K650)))</f>
        <v/>
      </c>
      <c r="AA650" s="72">
        <f>IF($J650="",FALSE,IFERROR(INDEX(B!$N$2:$N$61,MATCH($J650,B!$E$2:$E$61,0))="Sim",FALSE))</f>
        <v/>
      </c>
      <c r="AB650" s="72">
        <f>IF($J650="",FALSE,LEFT($X650,2)="XX")</f>
        <v/>
      </c>
      <c r="AC650" s="72">
        <f>IF($J650="",FALSE,IFERROR(INDEX(B!$P$2:$P$61,MATCH($J650,B!$E$2:$E$61,0))="Sim",FALSE))</f>
        <v/>
      </c>
      <c r="AD650" s="20" t="n"/>
      <c r="AE650" s="52">
        <f>IF(H650="","",HOUR(H650))</f>
        <v/>
      </c>
      <c r="AF650" s="52" t="n"/>
    </row>
    <row r="651" ht="19.5" customHeight="1" s="58">
      <c r="A651" s="62">
        <f>IF(G651="","",IF(G651=G650,"",COUNTIF($G$3:$G$976,G651)))</f>
        <v/>
      </c>
      <c r="B651" s="20" t="n"/>
      <c r="C651" s="63">
        <f>IF(G651="","",DAY(G651))</f>
        <v/>
      </c>
      <c r="D651" s="63">
        <f>IF(G651="","",MONTH(G651))</f>
        <v/>
      </c>
      <c r="E651" s="63">
        <f>IF(G651="","",YEAR(G651))</f>
        <v/>
      </c>
      <c r="F651" s="33">
        <f>IF(G651="","",CHOOSE(MONTH(G651),"Janeiro","Fevereiro","Março","Abril","Maio","Junho","Julho","Agosto","Setembro","Outubro","Novembro","Dezembro"))</f>
        <v/>
      </c>
      <c r="G651" s="64" t="n">
        <v>46073</v>
      </c>
      <c r="H651" s="65" t="n">
        <v>0.01469907407407407</v>
      </c>
      <c r="I651" s="66" t="inlineStr">
        <is>
          <t>https://docs.google.com/spreadsheets/d/1ZiCGoPjLCjuYvujDTXK9Ixbth3tekiLtFBzBrGjPCr4/edit?gid=0#gid=0</t>
        </is>
      </c>
      <c r="J651" s="67" t="inlineStr">
        <is>
          <t>Transferência de LOB (Driver) - [TIDV]</t>
        </is>
      </c>
      <c r="K651" s="67" t="inlineStr"/>
      <c r="L651" s="68" t="b">
        <v>0</v>
      </c>
      <c r="M651" s="20" t="n"/>
      <c r="N651" s="69">
        <f>IF($J651="","",IFERROR(INDEX(B!$F$2:$F$61,MATCH($J651,B!$E$2:$E$61,0))&amp;"",""))</f>
        <v/>
      </c>
      <c r="O651" s="69">
        <f>IF($J651="","",IFERROR(INDEX(B!$G$2:$G$61,MATCH($J651,B!$E$2:$E$61,0))&amp;"",""))</f>
        <v/>
      </c>
      <c r="P651" s="69">
        <f>IF($J651="","",IFERROR(INDEX(B!$H$2:$H$61,MATCH($J651,B!$E$2:$E$61,0))&amp;"",""))</f>
        <v/>
      </c>
      <c r="Q651" s="69">
        <f>IF($J651="","",IFERROR(INDEX(B!$I$2:$I$61,MATCH($J651,B!$E$2:$E$61,0))&amp;"",""))</f>
        <v/>
      </c>
      <c r="R651" s="69">
        <f>IF($J651="","",IFERROR(INDEX(B!$J$2:$J$61,MATCH($J651,B!$E$2:$E$61,0))&amp;"",""))</f>
        <v/>
      </c>
      <c r="S651" s="69">
        <f>IF($J651="","",IFERROR(INDEX(B!$K$2:$K$61,MATCH($J651,B!$E$2:$E$61,0))&amp;"",""))</f>
        <v/>
      </c>
      <c r="T651" s="69">
        <f>IF($J651="","",IFERROR(INDEX(B!$L$2:$L$61,MATCH($J651,B!$E$2:$E$61,0))&amp;"",""))</f>
        <v/>
      </c>
      <c r="U651" s="20" t="n"/>
      <c r="V651" s="70">
        <f>IF($J651="","",IFERROR(INDEX(B!$M$2:$M$61,MATCH($J651,B!$E$2:$E$61,0))&amp;"",""))</f>
        <v/>
      </c>
      <c r="W651" s="71">
        <f>IF(I651="","",IFERROR(MID(I651,FIND("/d/",I651)+3,FIND("/edit",I651)-FIND("/d/",I651)-3),I651))</f>
        <v/>
      </c>
      <c r="X651" s="71">
        <f>IF($J651="","",IFERROR(INDEX(B!$C$2:$C$61,MATCH($J651,B!$E$2:$E$61,0))&amp;"",""))</f>
        <v/>
      </c>
      <c r="Y651" s="20" t="n"/>
      <c r="Z651" s="72">
        <f>IF($J651="",FALSE,ISNUMBER(SEARCH("scout",$K651)))</f>
        <v/>
      </c>
      <c r="AA651" s="72">
        <f>IF($J651="",FALSE,IFERROR(INDEX(B!$N$2:$N$61,MATCH($J651,B!$E$2:$E$61,0))="Sim",FALSE))</f>
        <v/>
      </c>
      <c r="AB651" s="72">
        <f>IF($J651="",FALSE,LEFT($X651,2)="XX")</f>
        <v/>
      </c>
      <c r="AC651" s="72">
        <f>IF($J651="",FALSE,IFERROR(INDEX(B!$P$2:$P$61,MATCH($J651,B!$E$2:$E$61,0))="Sim",FALSE))</f>
        <v/>
      </c>
      <c r="AD651" s="20" t="n"/>
      <c r="AE651" s="52">
        <f>IF(H651="","",HOUR(H651))</f>
        <v/>
      </c>
      <c r="AF651" s="52" t="n"/>
    </row>
    <row r="652" ht="19.5" customHeight="1" s="58">
      <c r="A652" s="62">
        <f>IF(G652="","",IF(G652=G651,"",COUNTIF($G$3:$G$976,G652)))</f>
        <v/>
      </c>
      <c r="B652" s="20" t="n"/>
      <c r="C652" s="63">
        <f>IF(G652="","",DAY(G652))</f>
        <v/>
      </c>
      <c r="D652" s="63">
        <f>IF(G652="","",MONTH(G652))</f>
        <v/>
      </c>
      <c r="E652" s="63">
        <f>IF(G652="","",YEAR(G652))</f>
        <v/>
      </c>
      <c r="F652" s="33">
        <f>IF(G652="","",CHOOSE(MONTH(G652),"Janeiro","Fevereiro","Março","Abril","Maio","Junho","Julho","Agosto","Setembro","Outubro","Novembro","Dezembro"))</f>
        <v/>
      </c>
      <c r="G652" s="64" t="n">
        <v>46073</v>
      </c>
      <c r="H652" s="65" t="n">
        <v>0.01586805555555556</v>
      </c>
      <c r="I652" s="66" t="inlineStr">
        <is>
          <t>https://docs.google.com/spreadsheets/d/1ZiCGoPjLCjuYvujDTXK9Ixbth3tekiLtFBzBrGjPCr4/edit?gid=0#gid=0</t>
        </is>
      </c>
      <c r="J652" s="67" t="inlineStr">
        <is>
          <t>Trajeto Ruim - [TR]</t>
        </is>
      </c>
      <c r="K652" s="67" t="inlineStr"/>
      <c r="L652" s="68" t="b">
        <v>0</v>
      </c>
      <c r="M652" s="20" t="n"/>
      <c r="N652" s="69">
        <f>IF($J652="","",IFERROR(INDEX(B!$F$2:$F$61,MATCH($J652,B!$E$2:$E$61,0))&amp;"",""))</f>
        <v/>
      </c>
      <c r="O652" s="69">
        <f>IF($J652="","",IFERROR(INDEX(B!$G$2:$G$61,MATCH($J652,B!$E$2:$E$61,0))&amp;"",""))</f>
        <v/>
      </c>
      <c r="P652" s="69">
        <f>IF($J652="","",IFERROR(INDEX(B!$H$2:$H$61,MATCH($J652,B!$E$2:$E$61,0))&amp;"",""))</f>
        <v/>
      </c>
      <c r="Q652" s="69">
        <f>IF($J652="","",IFERROR(INDEX(B!$I$2:$I$61,MATCH($J652,B!$E$2:$E$61,0))&amp;"",""))</f>
        <v/>
      </c>
      <c r="R652" s="69">
        <f>IF($J652="","",IFERROR(INDEX(B!$J$2:$J$61,MATCH($J652,B!$E$2:$E$61,0))&amp;"",""))</f>
        <v/>
      </c>
      <c r="S652" s="69">
        <f>IF($J652="","",IFERROR(INDEX(B!$K$2:$K$61,MATCH($J652,B!$E$2:$E$61,0))&amp;"",""))</f>
        <v/>
      </c>
      <c r="T652" s="69">
        <f>IF($J652="","",IFERROR(INDEX(B!$L$2:$L$61,MATCH($J652,B!$E$2:$E$61,0))&amp;"",""))</f>
        <v/>
      </c>
      <c r="U652" s="20" t="n"/>
      <c r="V652" s="70">
        <f>IF($J652="","",IFERROR(INDEX(B!$M$2:$M$61,MATCH($J652,B!$E$2:$E$61,0))&amp;"",""))</f>
        <v/>
      </c>
      <c r="W652" s="71">
        <f>IF(I652="","",IFERROR(MID(I652,FIND("/d/",I652)+3,FIND("/edit",I652)-FIND("/d/",I652)-3),I652))</f>
        <v/>
      </c>
      <c r="X652" s="71">
        <f>IF($J652="","",IFERROR(INDEX(B!$C$2:$C$61,MATCH($J652,B!$E$2:$E$61,0))&amp;"",""))</f>
        <v/>
      </c>
      <c r="Y652" s="20" t="n"/>
      <c r="Z652" s="72">
        <f>IF($J652="",FALSE,ISNUMBER(SEARCH("scout",$K652)))</f>
        <v/>
      </c>
      <c r="AA652" s="72">
        <f>IF($J652="",FALSE,IFERROR(INDEX(B!$N$2:$N$61,MATCH($J652,B!$E$2:$E$61,0))="Sim",FALSE))</f>
        <v/>
      </c>
      <c r="AB652" s="72">
        <f>IF($J652="",FALSE,LEFT($X652,2)="XX")</f>
        <v/>
      </c>
      <c r="AC652" s="72">
        <f>IF($J652="",FALSE,IFERROR(INDEX(B!$P$2:$P$61,MATCH($J652,B!$E$2:$E$61,0))="Sim",FALSE))</f>
        <v/>
      </c>
      <c r="AD652" s="20" t="n"/>
      <c r="AE652" s="52">
        <f>IF(H652="","",HOUR(H652))</f>
        <v/>
      </c>
      <c r="AF652" s="52" t="n"/>
    </row>
    <row r="653" ht="19.5" customHeight="1" s="58">
      <c r="A653" s="62">
        <f>IF(G653="","",IF(G653=G652,"",COUNTIF($G$3:$G$976,G653)))</f>
        <v/>
      </c>
      <c r="B653" s="20" t="n"/>
      <c r="C653" s="63">
        <f>IF(G653="","",DAY(G653))</f>
        <v/>
      </c>
      <c r="D653" s="63">
        <f>IF(G653="","",MONTH(G653))</f>
        <v/>
      </c>
      <c r="E653" s="63">
        <f>IF(G653="","",YEAR(G653))</f>
        <v/>
      </c>
      <c r="F653" s="33">
        <f>IF(G653="","",CHOOSE(MONTH(G653),"Janeiro","Fevereiro","Março","Abril","Maio","Junho","Julho","Agosto","Setembro","Outubro","Novembro","Dezembro"))</f>
        <v/>
      </c>
      <c r="G653" s="64" t="n">
        <v>46073</v>
      </c>
      <c r="H653" s="65" t="n">
        <v>0.01684027777777778</v>
      </c>
      <c r="I653" s="66" t="inlineStr">
        <is>
          <t>https://docs.google.com/spreadsheets/d/1ZiCGoPjLCjuYvujDTXK9Ixbth3tekiLtFBzBrGjPCr4/edit?gid=0#gid=0</t>
        </is>
      </c>
      <c r="J653" s="67" t="inlineStr">
        <is>
          <t>Mais informações (Quanto Pagou?) - [AAV]</t>
        </is>
      </c>
      <c r="K653" s="67" t="inlineStr"/>
      <c r="L653" s="68" t="b">
        <v>0</v>
      </c>
      <c r="M653" s="20" t="n"/>
      <c r="N653" s="69">
        <f>IF($J653="","",IFERROR(INDEX(B!$F$2:$F$61,MATCH($J653,B!$E$2:$E$61,0))&amp;"",""))</f>
        <v/>
      </c>
      <c r="O653" s="69">
        <f>IF($J653="","",IFERROR(INDEX(B!$G$2:$G$61,MATCH($J653,B!$E$2:$E$61,0))&amp;"",""))</f>
        <v/>
      </c>
      <c r="P653" s="69">
        <f>IF($J653="","",IFERROR(INDEX(B!$H$2:$H$61,MATCH($J653,B!$E$2:$E$61,0))&amp;"",""))</f>
        <v/>
      </c>
      <c r="Q653" s="69">
        <f>IF($J653="","",IFERROR(INDEX(B!$I$2:$I$61,MATCH($J653,B!$E$2:$E$61,0))&amp;"",""))</f>
        <v/>
      </c>
      <c r="R653" s="69">
        <f>IF($J653="","",IFERROR(INDEX(B!$J$2:$J$61,MATCH($J653,B!$E$2:$E$61,0))&amp;"",""))</f>
        <v/>
      </c>
      <c r="S653" s="69">
        <f>IF($J653="","",IFERROR(INDEX(B!$K$2:$K$61,MATCH($J653,B!$E$2:$E$61,0))&amp;"",""))</f>
        <v/>
      </c>
      <c r="T653" s="69">
        <f>IF($J653="","",IFERROR(INDEX(B!$L$2:$L$61,MATCH($J653,B!$E$2:$E$61,0))&amp;"",""))</f>
        <v/>
      </c>
      <c r="U653" s="20" t="n"/>
      <c r="V653" s="70">
        <f>IF($J653="","",IFERROR(INDEX(B!$M$2:$M$61,MATCH($J653,B!$E$2:$E$61,0))&amp;"",""))</f>
        <v/>
      </c>
      <c r="W653" s="71">
        <f>IF(I653="","",IFERROR(MID(I653,FIND("/d/",I653)+3,FIND("/edit",I653)-FIND("/d/",I653)-3),I653))</f>
        <v/>
      </c>
      <c r="X653" s="71">
        <f>IF($J653="","",IFERROR(INDEX(B!$C$2:$C$61,MATCH($J653,B!$E$2:$E$61,0))&amp;"",""))</f>
        <v/>
      </c>
      <c r="Y653" s="20" t="n"/>
      <c r="Z653" s="72">
        <f>IF($J653="",FALSE,ISNUMBER(SEARCH("scout",$K653)))</f>
        <v/>
      </c>
      <c r="AA653" s="72">
        <f>IF($J653="",FALSE,IFERROR(INDEX(B!$N$2:$N$61,MATCH($J653,B!$E$2:$E$61,0))="Sim",FALSE))</f>
        <v/>
      </c>
      <c r="AB653" s="72">
        <f>IF($J653="",FALSE,LEFT($X653,2)="XX")</f>
        <v/>
      </c>
      <c r="AC653" s="72">
        <f>IF($J653="",FALSE,IFERROR(INDEX(B!$P$2:$P$61,MATCH($J653,B!$E$2:$E$61,0))="Sim",FALSE))</f>
        <v/>
      </c>
      <c r="AD653" s="20" t="n"/>
      <c r="AE653" s="52">
        <f>IF(H653="","",HOUR(H653))</f>
        <v/>
      </c>
      <c r="AF653" s="52" t="n"/>
    </row>
    <row r="654" ht="19.5" customHeight="1" s="58">
      <c r="A654" s="62">
        <f>IF(G654="","",IF(G654=G653,"",COUNTIF($G$3:$G$976,G654)))</f>
        <v/>
      </c>
      <c r="B654" s="20" t="n"/>
      <c r="C654" s="63">
        <f>IF(G654="","",DAY(G654))</f>
        <v/>
      </c>
      <c r="D654" s="63">
        <f>IF(G654="","",MONTH(G654))</f>
        <v/>
      </c>
      <c r="E654" s="63">
        <f>IF(G654="","",YEAR(G654))</f>
        <v/>
      </c>
      <c r="F654" s="33">
        <f>IF(G654="","",CHOOSE(MONTH(G654),"Janeiro","Fevereiro","Março","Abril","Maio","Junho","Julho","Agosto","Setembro","Outubro","Novembro","Dezembro"))</f>
        <v/>
      </c>
      <c r="G654" s="64" t="n">
        <v>46073</v>
      </c>
      <c r="H654" s="65" t="n">
        <v>0.01832175925925926</v>
      </c>
      <c r="I654" s="66" t="inlineStr">
        <is>
          <t>https://docs.google.com/spreadsheets/d/1ZiCGoPjLCjuYvujDTXK9Ixbth3tekiLtFBzBrGjPCr4/edit?gid=0#gid=0</t>
        </is>
      </c>
      <c r="J654" s="67" t="inlineStr">
        <is>
          <t>Taxa de Cancelamento Cobrada Corretamente - [TXCO]</t>
        </is>
      </c>
      <c r="K654" s="67" t="inlineStr"/>
      <c r="L654" s="68" t="b">
        <v>0</v>
      </c>
      <c r="M654" s="20" t="n"/>
      <c r="N654" s="69">
        <f>IF($J654="","",IFERROR(INDEX(B!$F$2:$F$61,MATCH($J654,B!$E$2:$E$61,0))&amp;"",""))</f>
        <v/>
      </c>
      <c r="O654" s="69">
        <f>IF($J654="","",IFERROR(INDEX(B!$G$2:$G$61,MATCH($J654,B!$E$2:$E$61,0))&amp;"",""))</f>
        <v/>
      </c>
      <c r="P654" s="69">
        <f>IF($J654="","",IFERROR(INDEX(B!$H$2:$H$61,MATCH($J654,B!$E$2:$E$61,0))&amp;"",""))</f>
        <v/>
      </c>
      <c r="Q654" s="69">
        <f>IF($J654="","",IFERROR(INDEX(B!$I$2:$I$61,MATCH($J654,B!$E$2:$E$61,0))&amp;"",""))</f>
        <v/>
      </c>
      <c r="R654" s="69">
        <f>IF($J654="","",IFERROR(INDEX(B!$J$2:$J$61,MATCH($J654,B!$E$2:$E$61,0))&amp;"",""))</f>
        <v/>
      </c>
      <c r="S654" s="69">
        <f>IF($J654="","",IFERROR(INDEX(B!$K$2:$K$61,MATCH($J654,B!$E$2:$E$61,0))&amp;"",""))</f>
        <v/>
      </c>
      <c r="T654" s="69">
        <f>IF($J654="","",IFERROR(INDEX(B!$L$2:$L$61,MATCH($J654,B!$E$2:$E$61,0))&amp;"",""))</f>
        <v/>
      </c>
      <c r="U654" s="20" t="n"/>
      <c r="V654" s="70">
        <f>IF($J654="","",IFERROR(INDEX(B!$M$2:$M$61,MATCH($J654,B!$E$2:$E$61,0))&amp;"",""))</f>
        <v/>
      </c>
      <c r="W654" s="71">
        <f>IF(I654="","",IFERROR(MID(I654,FIND("/d/",I654)+3,FIND("/edit",I654)-FIND("/d/",I654)-3),I654))</f>
        <v/>
      </c>
      <c r="X654" s="71">
        <f>IF($J654="","",IFERROR(INDEX(B!$C$2:$C$61,MATCH($J654,B!$E$2:$E$61,0))&amp;"",""))</f>
        <v/>
      </c>
      <c r="Y654" s="20" t="n"/>
      <c r="Z654" s="72">
        <f>IF($J654="",FALSE,ISNUMBER(SEARCH("scout",$K654)))</f>
        <v/>
      </c>
      <c r="AA654" s="72">
        <f>IF($J654="",FALSE,IFERROR(INDEX(B!$N$2:$N$61,MATCH($J654,B!$E$2:$E$61,0))="Sim",FALSE))</f>
        <v/>
      </c>
      <c r="AB654" s="72">
        <f>IF($J654="",FALSE,LEFT($X654,2)="XX")</f>
        <v/>
      </c>
      <c r="AC654" s="72">
        <f>IF($J654="",FALSE,IFERROR(INDEX(B!$P$2:$P$61,MATCH($J654,B!$E$2:$E$61,0))="Sim",FALSE))</f>
        <v/>
      </c>
      <c r="AD654" s="20" t="n"/>
      <c r="AE654" s="52">
        <f>IF(H654="","",HOUR(H654))</f>
        <v/>
      </c>
      <c r="AF654" s="52" t="n"/>
    </row>
    <row r="655" ht="19.5" customHeight="1" s="58">
      <c r="A655" s="62">
        <f>IF(G655="","",IF(G655=G654,"",COUNTIF($G$3:$G$976,G655)))</f>
        <v/>
      </c>
      <c r="B655" s="20" t="n"/>
      <c r="C655" s="63">
        <f>IF(G655="","",DAY(G655))</f>
        <v/>
      </c>
      <c r="D655" s="63">
        <f>IF(G655="","",MONTH(G655))</f>
        <v/>
      </c>
      <c r="E655" s="63">
        <f>IF(G655="","",YEAR(G655))</f>
        <v/>
      </c>
      <c r="F655" s="33">
        <f>IF(G655="","",CHOOSE(MONTH(G655),"Janeiro","Fevereiro","Março","Abril","Maio","Junho","Julho","Agosto","Setembro","Outubro","Novembro","Dezembro"))</f>
        <v/>
      </c>
      <c r="G655" s="64" t="n">
        <v>46073</v>
      </c>
      <c r="H655" s="65" t="n">
        <v>0.01850694444444444</v>
      </c>
      <c r="I655" s="66" t="inlineStr">
        <is>
          <t>https://docs.google.com/spreadsheets/d/1ZiCGoPjLCjuYvujDTXK9Ixbth3tekiLtFBzBrGjPCr4/edit?gid=0#gid=0</t>
        </is>
      </c>
      <c r="J655" s="67" t="inlineStr">
        <is>
          <t>Pushback (Agradecimento) - [XXA]</t>
        </is>
      </c>
      <c r="K655" s="67" t="inlineStr"/>
      <c r="L655" s="68" t="b">
        <v>0</v>
      </c>
      <c r="M655" s="20" t="n"/>
      <c r="N655" s="69">
        <f>IF($J655="","",IFERROR(INDEX(B!$F$2:$F$61,MATCH($J655,B!$E$2:$E$61,0))&amp;"",""))</f>
        <v/>
      </c>
      <c r="O655" s="69">
        <f>IF($J655="","",IFERROR(INDEX(B!$G$2:$G$61,MATCH($J655,B!$E$2:$E$61,0))&amp;"",""))</f>
        <v/>
      </c>
      <c r="P655" s="69">
        <f>IF($J655="","",IFERROR(INDEX(B!$H$2:$H$61,MATCH($J655,B!$E$2:$E$61,0))&amp;"",""))</f>
        <v/>
      </c>
      <c r="Q655" s="69">
        <f>IF($J655="","",IFERROR(INDEX(B!$I$2:$I$61,MATCH($J655,B!$E$2:$E$61,0))&amp;"",""))</f>
        <v/>
      </c>
      <c r="R655" s="69">
        <f>IF($J655="","",IFERROR(INDEX(B!$J$2:$J$61,MATCH($J655,B!$E$2:$E$61,0))&amp;"",""))</f>
        <v/>
      </c>
      <c r="S655" s="69">
        <f>IF($J655="","",IFERROR(INDEX(B!$K$2:$K$61,MATCH($J655,B!$E$2:$E$61,0))&amp;"",""))</f>
        <v/>
      </c>
      <c r="T655" s="69">
        <f>IF($J655="","",IFERROR(INDEX(B!$L$2:$L$61,MATCH($J655,B!$E$2:$E$61,0))&amp;"",""))</f>
        <v/>
      </c>
      <c r="U655" s="20" t="n"/>
      <c r="V655" s="70">
        <f>IF($J655="","",IFERROR(INDEX(B!$M$2:$M$61,MATCH($J655,B!$E$2:$E$61,0))&amp;"",""))</f>
        <v/>
      </c>
      <c r="W655" s="71">
        <f>IF(I655="","",IFERROR(MID(I655,FIND("/d/",I655)+3,FIND("/edit",I655)-FIND("/d/",I655)-3),I655))</f>
        <v/>
      </c>
      <c r="X655" s="71">
        <f>IF($J655="","",IFERROR(INDEX(B!$C$2:$C$61,MATCH($J655,B!$E$2:$E$61,0))&amp;"",""))</f>
        <v/>
      </c>
      <c r="Y655" s="20" t="n"/>
      <c r="Z655" s="72">
        <f>IF($J655="",FALSE,ISNUMBER(SEARCH("scout",$K655)))</f>
        <v/>
      </c>
      <c r="AA655" s="72">
        <f>IF($J655="",FALSE,IFERROR(INDEX(B!$N$2:$N$61,MATCH($J655,B!$E$2:$E$61,0))="Sim",FALSE))</f>
        <v/>
      </c>
      <c r="AB655" s="72">
        <f>IF($J655="",FALSE,LEFT($X655,2)="XX")</f>
        <v/>
      </c>
      <c r="AC655" s="72">
        <f>IF($J655="",FALSE,IFERROR(INDEX(B!$P$2:$P$61,MATCH($J655,B!$E$2:$E$61,0))="Sim",FALSE))</f>
        <v/>
      </c>
      <c r="AD655" s="20" t="n"/>
      <c r="AE655" s="52">
        <f>IF(H655="","",HOUR(H655))</f>
        <v/>
      </c>
      <c r="AF655" s="52" t="n"/>
    </row>
    <row r="656" ht="19.5" customHeight="1" s="58">
      <c r="A656" s="62">
        <f>IF(G656="","",IF(G656=G655,"",COUNTIF($G$3:$G$976,G656)))</f>
        <v/>
      </c>
      <c r="B656" s="20" t="n"/>
      <c r="C656" s="63">
        <f>IF(G656="","",DAY(G656))</f>
        <v/>
      </c>
      <c r="D656" s="63">
        <f>IF(G656="","",MONTH(G656))</f>
        <v/>
      </c>
      <c r="E656" s="63">
        <f>IF(G656="","",YEAR(G656))</f>
        <v/>
      </c>
      <c r="F656" s="33">
        <f>IF(G656="","",CHOOSE(MONTH(G656),"Janeiro","Fevereiro","Março","Abril","Maio","Junho","Julho","Agosto","Setembro","Outubro","Novembro","Dezembro"))</f>
        <v/>
      </c>
      <c r="G656" s="64" t="n">
        <v>46073</v>
      </c>
      <c r="H656" s="65" t="n">
        <v>0.03483796296296297</v>
      </c>
      <c r="I656" s="66" t="inlineStr">
        <is>
          <t>https://docs.google.com/spreadsheets/d/1ZiCGoPjLCjuYvujDTXK9Ixbth3tekiLtFBzBrGjPCr4/edit?gid=0#gid=0</t>
        </is>
      </c>
      <c r="J656" s="67" t="inlineStr">
        <is>
          <t>Comprovante de Pagamento - [CP]</t>
        </is>
      </c>
      <c r="K656" s="67" t="inlineStr"/>
      <c r="L656" s="68" t="b">
        <v>1</v>
      </c>
      <c r="M656" s="20" t="n"/>
      <c r="N656" s="69">
        <f>IF($J656="","",IFERROR(INDEX(B!$F$2:$F$61,MATCH($J656,B!$E$2:$E$61,0))&amp;"",""))</f>
        <v/>
      </c>
      <c r="O656" s="69">
        <f>IF($J656="","",IFERROR(INDEX(B!$G$2:$G$61,MATCH($J656,B!$E$2:$E$61,0))&amp;"",""))</f>
        <v/>
      </c>
      <c r="P656" s="69">
        <f>IF($J656="","",IFERROR(INDEX(B!$H$2:$H$61,MATCH($J656,B!$E$2:$E$61,0))&amp;"",""))</f>
        <v/>
      </c>
      <c r="Q656" s="69">
        <f>IF($J656="","",IFERROR(INDEX(B!$I$2:$I$61,MATCH($J656,B!$E$2:$E$61,0))&amp;"",""))</f>
        <v/>
      </c>
      <c r="R656" s="69">
        <f>IF($J656="","",IFERROR(INDEX(B!$J$2:$J$61,MATCH($J656,B!$E$2:$E$61,0))&amp;"",""))</f>
        <v/>
      </c>
      <c r="S656" s="69">
        <f>IF($J656="","",IFERROR(INDEX(B!$K$2:$K$61,MATCH($J656,B!$E$2:$E$61,0))&amp;"",""))</f>
        <v/>
      </c>
      <c r="T656" s="69">
        <f>IF($J656="","",IFERROR(INDEX(B!$L$2:$L$61,MATCH($J656,B!$E$2:$E$61,0))&amp;"",""))</f>
        <v/>
      </c>
      <c r="U656" s="20" t="n"/>
      <c r="V656" s="70">
        <f>IF($J656="","",IFERROR(INDEX(B!$M$2:$M$61,MATCH($J656,B!$E$2:$E$61,0))&amp;"",""))</f>
        <v/>
      </c>
      <c r="W656" s="71">
        <f>IF(I656="","",IFERROR(MID(I656,FIND("/d/",I656)+3,FIND("/edit",I656)-FIND("/d/",I656)-3),I656))</f>
        <v/>
      </c>
      <c r="X656" s="71">
        <f>IF($J656="","",IFERROR(INDEX(B!$C$2:$C$61,MATCH($J656,B!$E$2:$E$61,0))&amp;"",""))</f>
        <v/>
      </c>
      <c r="Y656" s="20" t="n"/>
      <c r="Z656" s="72">
        <f>IF($J656="",FALSE,ISNUMBER(SEARCH("scout",$K656)))</f>
        <v/>
      </c>
      <c r="AA656" s="72">
        <f>IF($J656="",FALSE,IFERROR(INDEX(B!$N$2:$N$61,MATCH($J656,B!$E$2:$E$61,0))="Sim",FALSE))</f>
        <v/>
      </c>
      <c r="AB656" s="72">
        <f>IF($J656="",FALSE,LEFT($X656,2)="XX")</f>
        <v/>
      </c>
      <c r="AC656" s="72">
        <f>IF($J656="",FALSE,IFERROR(INDEX(B!$P$2:$P$61,MATCH($J656,B!$E$2:$E$61,0))="Sim",FALSE))</f>
        <v/>
      </c>
      <c r="AD656" s="20" t="n"/>
      <c r="AE656" s="52">
        <f>IF(H656="","",HOUR(H656))</f>
        <v/>
      </c>
      <c r="AF656" s="52" t="n"/>
    </row>
    <row r="657" ht="19.5" customHeight="1" s="58">
      <c r="A657" s="62">
        <f>IF(G657="","",IF(G657=G656,"",COUNTIF($G$3:$G$976,G657)))</f>
        <v/>
      </c>
      <c r="B657" s="20" t="n"/>
      <c r="C657" s="63">
        <f>IF(G657="","",DAY(G657))</f>
        <v/>
      </c>
      <c r="D657" s="63">
        <f>IF(G657="","",MONTH(G657))</f>
        <v/>
      </c>
      <c r="E657" s="63">
        <f>IF(G657="","",YEAR(G657))</f>
        <v/>
      </c>
      <c r="F657" s="33">
        <f>IF(G657="","",CHOOSE(MONTH(G657),"Janeiro","Fevereiro","Março","Abril","Maio","Junho","Julho","Agosto","Setembro","Outubro","Novembro","Dezembro"))</f>
        <v/>
      </c>
      <c r="G657" s="64" t="n">
        <v>46073</v>
      </c>
      <c r="H657" s="65" t="n">
        <v>0.0353587962962963</v>
      </c>
      <c r="I657" s="66" t="inlineStr">
        <is>
          <t>https://docs.google.com/spreadsheets/d/1ZiCGoPjLCjuYvujDTXK9Ixbth3tekiLtFBzBrGjPCr4/edit?gid=0#gid=0</t>
        </is>
      </c>
      <c r="J657" s="67" t="inlineStr">
        <is>
          <t>Transferência de LOB (Lost Items) - [TILI]</t>
        </is>
      </c>
      <c r="K657" s="67" t="inlineStr"/>
      <c r="L657" s="68" t="b">
        <v>1</v>
      </c>
      <c r="M657" s="20" t="n"/>
      <c r="N657" s="69">
        <f>IF($J657="","",IFERROR(INDEX(B!$F$2:$F$61,MATCH($J657,B!$E$2:$E$61,0))&amp;"",""))</f>
        <v/>
      </c>
      <c r="O657" s="69">
        <f>IF($J657="","",IFERROR(INDEX(B!$G$2:$G$61,MATCH($J657,B!$E$2:$E$61,0))&amp;"",""))</f>
        <v/>
      </c>
      <c r="P657" s="69">
        <f>IF($J657="","",IFERROR(INDEX(B!$H$2:$H$61,MATCH($J657,B!$E$2:$E$61,0))&amp;"",""))</f>
        <v/>
      </c>
      <c r="Q657" s="69">
        <f>IF($J657="","",IFERROR(INDEX(B!$I$2:$I$61,MATCH($J657,B!$E$2:$E$61,0))&amp;"",""))</f>
        <v/>
      </c>
      <c r="R657" s="69">
        <f>IF($J657="","",IFERROR(INDEX(B!$J$2:$J$61,MATCH($J657,B!$E$2:$E$61,0))&amp;"",""))</f>
        <v/>
      </c>
      <c r="S657" s="69">
        <f>IF($J657="","",IFERROR(INDEX(B!$K$2:$K$61,MATCH($J657,B!$E$2:$E$61,0))&amp;"",""))</f>
        <v/>
      </c>
      <c r="T657" s="69">
        <f>IF($J657="","",IFERROR(INDEX(B!$L$2:$L$61,MATCH($J657,B!$E$2:$E$61,0))&amp;"",""))</f>
        <v/>
      </c>
      <c r="U657" s="20" t="n"/>
      <c r="V657" s="70">
        <f>IF($J657="","",IFERROR(INDEX(B!$M$2:$M$61,MATCH($J657,B!$E$2:$E$61,0))&amp;"",""))</f>
        <v/>
      </c>
      <c r="W657" s="71">
        <f>IF(I657="","",IFERROR(MID(I657,FIND("/d/",I657)+3,FIND("/edit",I657)-FIND("/d/",I657)-3),I657))</f>
        <v/>
      </c>
      <c r="X657" s="71">
        <f>IF($J657="","",IFERROR(INDEX(B!$C$2:$C$61,MATCH($J657,B!$E$2:$E$61,0))&amp;"",""))</f>
        <v/>
      </c>
      <c r="Y657" s="20" t="n"/>
      <c r="Z657" s="72">
        <f>IF($J657="",FALSE,ISNUMBER(SEARCH("scout",$K657)))</f>
        <v/>
      </c>
      <c r="AA657" s="72">
        <f>IF($J657="",FALSE,IFERROR(INDEX(B!$N$2:$N$61,MATCH($J657,B!$E$2:$E$61,0))="Sim",FALSE))</f>
        <v/>
      </c>
      <c r="AB657" s="72">
        <f>IF($J657="",FALSE,LEFT($X657,2)="XX")</f>
        <v/>
      </c>
      <c r="AC657" s="72">
        <f>IF($J657="",FALSE,IFERROR(INDEX(B!$P$2:$P$61,MATCH($J657,B!$E$2:$E$61,0))="Sim",FALSE))</f>
        <v/>
      </c>
      <c r="AD657" s="20" t="n"/>
      <c r="AE657" s="52">
        <f>IF(H657="","",HOUR(H657))</f>
        <v/>
      </c>
      <c r="AF657" s="52" t="n"/>
    </row>
    <row r="658" ht="19.5" customHeight="1" s="58">
      <c r="A658" s="62">
        <f>IF(G658="","",IF(G658=G657,"",COUNTIF($G$3:$G$976,G658)))</f>
        <v/>
      </c>
      <c r="B658" s="20" t="n"/>
      <c r="C658" s="63">
        <f>IF(G658="","",DAY(G658))</f>
        <v/>
      </c>
      <c r="D658" s="63">
        <f>IF(G658="","",MONTH(G658))</f>
        <v/>
      </c>
      <c r="E658" s="63">
        <f>IF(G658="","",YEAR(G658))</f>
        <v/>
      </c>
      <c r="F658" s="33">
        <f>IF(G658="","",CHOOSE(MONTH(G658),"Janeiro","Fevereiro","Março","Abril","Maio","Junho","Julho","Agosto","Setembro","Outubro","Novembro","Dezembro"))</f>
        <v/>
      </c>
      <c r="G658" s="64" t="n">
        <v>46073</v>
      </c>
      <c r="H658" s="65" t="n">
        <v>0.03550925925925926</v>
      </c>
      <c r="I658" s="66" t="inlineStr">
        <is>
          <t>https://docs.google.com/spreadsheets/d/1ZiCGoPjLCjuYvujDTXK9Ixbth3tekiLtFBzBrGjPCr4/edit?gid=0#gid=0</t>
        </is>
      </c>
      <c r="J658" s="67" t="inlineStr">
        <is>
          <t>Mais informações (Quanto Pagou?) - [AAV]</t>
        </is>
      </c>
      <c r="K658" s="67" t="inlineStr"/>
      <c r="L658" s="68" t="b">
        <v>0</v>
      </c>
      <c r="M658" s="20" t="n"/>
      <c r="N658" s="69">
        <f>IF($J658="","",IFERROR(INDEX(B!$F$2:$F$61,MATCH($J658,B!$E$2:$E$61,0))&amp;"",""))</f>
        <v/>
      </c>
      <c r="O658" s="69">
        <f>IF($J658="","",IFERROR(INDEX(B!$G$2:$G$61,MATCH($J658,B!$E$2:$E$61,0))&amp;"",""))</f>
        <v/>
      </c>
      <c r="P658" s="69">
        <f>IF($J658="","",IFERROR(INDEX(B!$H$2:$H$61,MATCH($J658,B!$E$2:$E$61,0))&amp;"",""))</f>
        <v/>
      </c>
      <c r="Q658" s="69">
        <f>IF($J658="","",IFERROR(INDEX(B!$I$2:$I$61,MATCH($J658,B!$E$2:$E$61,0))&amp;"",""))</f>
        <v/>
      </c>
      <c r="R658" s="69">
        <f>IF($J658="","",IFERROR(INDEX(B!$J$2:$J$61,MATCH($J658,B!$E$2:$E$61,0))&amp;"",""))</f>
        <v/>
      </c>
      <c r="S658" s="69">
        <f>IF($J658="","",IFERROR(INDEX(B!$K$2:$K$61,MATCH($J658,B!$E$2:$E$61,0))&amp;"",""))</f>
        <v/>
      </c>
      <c r="T658" s="69">
        <f>IF($J658="","",IFERROR(INDEX(B!$L$2:$L$61,MATCH($J658,B!$E$2:$E$61,0))&amp;"",""))</f>
        <v/>
      </c>
      <c r="U658" s="20" t="n"/>
      <c r="V658" s="70">
        <f>IF($J658="","",IFERROR(INDEX(B!$M$2:$M$61,MATCH($J658,B!$E$2:$E$61,0))&amp;"",""))</f>
        <v/>
      </c>
      <c r="W658" s="71">
        <f>IF(I658="","",IFERROR(MID(I658,FIND("/d/",I658)+3,FIND("/edit",I658)-FIND("/d/",I658)-3),I658))</f>
        <v/>
      </c>
      <c r="X658" s="71">
        <f>IF($J658="","",IFERROR(INDEX(B!$C$2:$C$61,MATCH($J658,B!$E$2:$E$61,0))&amp;"",""))</f>
        <v/>
      </c>
      <c r="Y658" s="20" t="n"/>
      <c r="Z658" s="72">
        <f>IF($J658="",FALSE,ISNUMBER(SEARCH("scout",$K658)))</f>
        <v/>
      </c>
      <c r="AA658" s="72">
        <f>IF($J658="",FALSE,IFERROR(INDEX(B!$N$2:$N$61,MATCH($J658,B!$E$2:$E$61,0))="Sim",FALSE))</f>
        <v/>
      </c>
      <c r="AB658" s="72">
        <f>IF($J658="",FALSE,LEFT($X658,2)="XX")</f>
        <v/>
      </c>
      <c r="AC658" s="72">
        <f>IF($J658="",FALSE,IFERROR(INDEX(B!$P$2:$P$61,MATCH($J658,B!$E$2:$E$61,0))="Sim",FALSE))</f>
        <v/>
      </c>
      <c r="AD658" s="20" t="n"/>
      <c r="AE658" s="52">
        <f>IF(H658="","",HOUR(H658))</f>
        <v/>
      </c>
      <c r="AF658" s="52" t="n"/>
    </row>
    <row r="659" ht="19.5" customHeight="1" s="58">
      <c r="A659" s="62">
        <f>IF(G659="","",IF(G659=G658,"",COUNTIF($G$3:$G$976,G659)))</f>
        <v/>
      </c>
      <c r="B659" s="20" t="n"/>
      <c r="C659" s="63">
        <f>IF(G659="","",DAY(G659))</f>
        <v/>
      </c>
      <c r="D659" s="63">
        <f>IF(G659="","",MONTH(G659))</f>
        <v/>
      </c>
      <c r="E659" s="63">
        <f>IF(G659="","",YEAR(G659))</f>
        <v/>
      </c>
      <c r="F659" s="33">
        <f>IF(G659="","",CHOOSE(MONTH(G659),"Janeiro","Fevereiro","Março","Abril","Maio","Junho","Julho","Agosto","Setembro","Outubro","Novembro","Dezembro"))</f>
        <v/>
      </c>
      <c r="G659" s="64" t="n">
        <v>46073</v>
      </c>
      <c r="H659" s="65" t="n">
        <v>0.03898148148148148</v>
      </c>
      <c r="I659" s="66" t="inlineStr">
        <is>
          <t>https://docs.google.com/spreadsheets/d/1ZiCGoPjLCjuYvujDTXK9Ixbth3tekiLtFBzBrGjPCr4/edit?gid=0#gid=0</t>
        </is>
      </c>
      <c r="J659" s="67" t="inlineStr">
        <is>
          <t>Pushback - [XX]</t>
        </is>
      </c>
      <c r="K659" s="67" t="inlineStr">
        <is>
          <t>Scout</t>
        </is>
      </c>
      <c r="L659" s="68" t="b">
        <v>0</v>
      </c>
      <c r="M659" s="20" t="n"/>
      <c r="N659" s="69">
        <f>IF($J659="","",IFERROR(INDEX(B!$F$2:$F$61,MATCH($J659,B!$E$2:$E$61,0))&amp;"",""))</f>
        <v/>
      </c>
      <c r="O659" s="69">
        <f>IF($J659="","",IFERROR(INDEX(B!$G$2:$G$61,MATCH($J659,B!$E$2:$E$61,0))&amp;"",""))</f>
        <v/>
      </c>
      <c r="P659" s="69">
        <f>IF($J659="","",IFERROR(INDEX(B!$H$2:$H$61,MATCH($J659,B!$E$2:$E$61,0))&amp;"",""))</f>
        <v/>
      </c>
      <c r="Q659" s="69">
        <f>IF($J659="","",IFERROR(INDEX(B!$I$2:$I$61,MATCH($J659,B!$E$2:$E$61,0))&amp;"",""))</f>
        <v/>
      </c>
      <c r="R659" s="69">
        <f>IF($J659="","",IFERROR(INDEX(B!$J$2:$J$61,MATCH($J659,B!$E$2:$E$61,0))&amp;"",""))</f>
        <v/>
      </c>
      <c r="S659" s="69">
        <f>IF($J659="","",IFERROR(INDEX(B!$K$2:$K$61,MATCH($J659,B!$E$2:$E$61,0))&amp;"",""))</f>
        <v/>
      </c>
      <c r="T659" s="69">
        <f>IF($J659="","",IFERROR(INDEX(B!$L$2:$L$61,MATCH($J659,B!$E$2:$E$61,0))&amp;"",""))</f>
        <v/>
      </c>
      <c r="U659" s="20" t="n"/>
      <c r="V659" s="70">
        <f>IF($J659="","",IFERROR(INDEX(B!$M$2:$M$61,MATCH($J659,B!$E$2:$E$61,0))&amp;"",""))</f>
        <v/>
      </c>
      <c r="W659" s="71">
        <f>IF(I659="","",IFERROR(MID(I659,FIND("/d/",I659)+3,FIND("/edit",I659)-FIND("/d/",I659)-3),I659))</f>
        <v/>
      </c>
      <c r="X659" s="71">
        <f>IF($J659="","",IFERROR(INDEX(B!$C$2:$C$61,MATCH($J659,B!$E$2:$E$61,0))&amp;"",""))</f>
        <v/>
      </c>
      <c r="Y659" s="20" t="n"/>
      <c r="Z659" s="72">
        <f>IF($J659="",FALSE,ISNUMBER(SEARCH("scout",$K659)))</f>
        <v/>
      </c>
      <c r="AA659" s="72">
        <f>IF($J659="",FALSE,IFERROR(INDEX(B!$N$2:$N$61,MATCH($J659,B!$E$2:$E$61,0))="Sim",FALSE))</f>
        <v/>
      </c>
      <c r="AB659" s="72">
        <f>IF($J659="",FALSE,LEFT($X659,2)="XX")</f>
        <v/>
      </c>
      <c r="AC659" s="72">
        <f>IF($J659="",FALSE,IFERROR(INDEX(B!$P$2:$P$61,MATCH($J659,B!$E$2:$E$61,0))="Sim",FALSE))</f>
        <v/>
      </c>
      <c r="AD659" s="20" t="n"/>
      <c r="AE659" s="52">
        <f>IF(H659="","",HOUR(H659))</f>
        <v/>
      </c>
      <c r="AF659" s="52" t="n"/>
    </row>
    <row r="660" ht="19.5" customHeight="1" s="58">
      <c r="A660" s="62">
        <f>IF(G660="","",IF(G660=G659,"",COUNTIF($G$3:$G$976,G660)))</f>
        <v/>
      </c>
      <c r="B660" s="20" t="n"/>
      <c r="C660" s="63">
        <f>IF(G660="","",DAY(G660))</f>
        <v/>
      </c>
      <c r="D660" s="63">
        <f>IF(G660="","",MONTH(G660))</f>
        <v/>
      </c>
      <c r="E660" s="63">
        <f>IF(G660="","",YEAR(G660))</f>
        <v/>
      </c>
      <c r="F660" s="33">
        <f>IF(G660="","",CHOOSE(MONTH(G660),"Janeiro","Fevereiro","Março","Abril","Maio","Junho","Julho","Agosto","Setembro","Outubro","Novembro","Dezembro"))</f>
        <v/>
      </c>
      <c r="G660" s="64" t="n">
        <v>46073</v>
      </c>
      <c r="H660" s="65" t="n">
        <v>0.04210648148148148</v>
      </c>
      <c r="I660" s="66" t="inlineStr">
        <is>
          <t>https://docs.google.com/spreadsheets/d/1ZiCGoPjLCjuYvujDTXK9Ixbth3tekiLtFBzBrGjPCr4/edit?gid=0#gid=0</t>
        </is>
      </c>
      <c r="J660" s="67" t="inlineStr">
        <is>
          <t>Pushback - [XX]</t>
        </is>
      </c>
      <c r="K660" s="67" t="inlineStr"/>
      <c r="L660" s="68" t="b">
        <v>0</v>
      </c>
      <c r="M660" s="20" t="n"/>
      <c r="N660" s="69">
        <f>IF($J660="","",IFERROR(INDEX(B!$F$2:$F$61,MATCH($J660,B!$E$2:$E$61,0))&amp;"",""))</f>
        <v/>
      </c>
      <c r="O660" s="69">
        <f>IF($J660="","",IFERROR(INDEX(B!$G$2:$G$61,MATCH($J660,B!$E$2:$E$61,0))&amp;"",""))</f>
        <v/>
      </c>
      <c r="P660" s="69">
        <f>IF($J660="","",IFERROR(INDEX(B!$H$2:$H$61,MATCH($J660,B!$E$2:$E$61,0))&amp;"",""))</f>
        <v/>
      </c>
      <c r="Q660" s="69">
        <f>IF($J660="","",IFERROR(INDEX(B!$I$2:$I$61,MATCH($J660,B!$E$2:$E$61,0))&amp;"",""))</f>
        <v/>
      </c>
      <c r="R660" s="69">
        <f>IF($J660="","",IFERROR(INDEX(B!$J$2:$J$61,MATCH($J660,B!$E$2:$E$61,0))&amp;"",""))</f>
        <v/>
      </c>
      <c r="S660" s="69">
        <f>IF($J660="","",IFERROR(INDEX(B!$K$2:$K$61,MATCH($J660,B!$E$2:$E$61,0))&amp;"",""))</f>
        <v/>
      </c>
      <c r="T660" s="69">
        <f>IF($J660="","",IFERROR(INDEX(B!$L$2:$L$61,MATCH($J660,B!$E$2:$E$61,0))&amp;"",""))</f>
        <v/>
      </c>
      <c r="U660" s="20" t="n"/>
      <c r="V660" s="70">
        <f>IF($J660="","",IFERROR(INDEX(B!$M$2:$M$61,MATCH($J660,B!$E$2:$E$61,0))&amp;"",""))</f>
        <v/>
      </c>
      <c r="W660" s="71">
        <f>IF(I660="","",IFERROR(MID(I660,FIND("/d/",I660)+3,FIND("/edit",I660)-FIND("/d/",I660)-3),I660))</f>
        <v/>
      </c>
      <c r="X660" s="71">
        <f>IF($J660="","",IFERROR(INDEX(B!$C$2:$C$61,MATCH($J660,B!$E$2:$E$61,0))&amp;"",""))</f>
        <v/>
      </c>
      <c r="Y660" s="20" t="n"/>
      <c r="Z660" s="72">
        <f>IF($J660="",FALSE,ISNUMBER(SEARCH("scout",$K660)))</f>
        <v/>
      </c>
      <c r="AA660" s="72">
        <f>IF($J660="",FALSE,IFERROR(INDEX(B!$N$2:$N$61,MATCH($J660,B!$E$2:$E$61,0))="Sim",FALSE))</f>
        <v/>
      </c>
      <c r="AB660" s="72">
        <f>IF($J660="",FALSE,LEFT($X660,2)="XX")</f>
        <v/>
      </c>
      <c r="AC660" s="72">
        <f>IF($J660="",FALSE,IFERROR(INDEX(B!$P$2:$P$61,MATCH($J660,B!$E$2:$E$61,0))="Sim",FALSE))</f>
        <v/>
      </c>
      <c r="AD660" s="20" t="n"/>
      <c r="AE660" s="52">
        <f>IF(H660="","",HOUR(H660))</f>
        <v/>
      </c>
      <c r="AF660" s="52" t="n"/>
    </row>
    <row r="661" ht="19.5" customHeight="1" s="58">
      <c r="A661" s="62">
        <f>IF(G661="","",IF(G661=G660,"",COUNTIF($G$3:$G$976,G661)))</f>
        <v/>
      </c>
      <c r="B661" s="20" t="n"/>
      <c r="C661" s="63">
        <f>IF(G661="","",DAY(G661))</f>
        <v/>
      </c>
      <c r="D661" s="63">
        <f>IF(G661="","",MONTH(G661))</f>
        <v/>
      </c>
      <c r="E661" s="63">
        <f>IF(G661="","",YEAR(G661))</f>
        <v/>
      </c>
      <c r="F661" s="33">
        <f>IF(G661="","",CHOOSE(MONTH(G661),"Janeiro","Fevereiro","Março","Abril","Maio","Junho","Julho","Agosto","Setembro","Outubro","Novembro","Dezembro"))</f>
        <v/>
      </c>
      <c r="G661" s="64" t="n">
        <v>46073</v>
      </c>
      <c r="H661" s="65" t="n">
        <v>0.04310185185185185</v>
      </c>
      <c r="I661" s="66" t="inlineStr">
        <is>
          <t>https://docs.google.com/spreadsheets/d/1ZiCGoPjLCjuYvujDTXK9Ixbth3tekiLtFBzBrGjPCr4/edit?gid=0#gid=0</t>
        </is>
      </c>
      <c r="J661" s="67" t="inlineStr">
        <is>
          <t>Taxa de Limpeza, Sem ajustes - [TXLO]</t>
        </is>
      </c>
      <c r="K661" s="67" t="inlineStr"/>
      <c r="L661" s="68" t="b">
        <v>0</v>
      </c>
      <c r="M661" s="20" t="n"/>
      <c r="N661" s="69">
        <f>IF($J661="","",IFERROR(INDEX(B!$F$2:$F$61,MATCH($J661,B!$E$2:$E$61,0))&amp;"",""))</f>
        <v/>
      </c>
      <c r="O661" s="69">
        <f>IF($J661="","",IFERROR(INDEX(B!$G$2:$G$61,MATCH($J661,B!$E$2:$E$61,0))&amp;"",""))</f>
        <v/>
      </c>
      <c r="P661" s="69">
        <f>IF($J661="","",IFERROR(INDEX(B!$H$2:$H$61,MATCH($J661,B!$E$2:$E$61,0))&amp;"",""))</f>
        <v/>
      </c>
      <c r="Q661" s="69">
        <f>IF($J661="","",IFERROR(INDEX(B!$I$2:$I$61,MATCH($J661,B!$E$2:$E$61,0))&amp;"",""))</f>
        <v/>
      </c>
      <c r="R661" s="69">
        <f>IF($J661="","",IFERROR(INDEX(B!$J$2:$J$61,MATCH($J661,B!$E$2:$E$61,0))&amp;"",""))</f>
        <v/>
      </c>
      <c r="S661" s="69">
        <f>IF($J661="","",IFERROR(INDEX(B!$K$2:$K$61,MATCH($J661,B!$E$2:$E$61,0))&amp;"",""))</f>
        <v/>
      </c>
      <c r="T661" s="69">
        <f>IF($J661="","",IFERROR(INDEX(B!$L$2:$L$61,MATCH($J661,B!$E$2:$E$61,0))&amp;"",""))</f>
        <v/>
      </c>
      <c r="U661" s="20" t="n"/>
      <c r="V661" s="70">
        <f>IF($J661="","",IFERROR(INDEX(B!$M$2:$M$61,MATCH($J661,B!$E$2:$E$61,0))&amp;"",""))</f>
        <v/>
      </c>
      <c r="W661" s="71">
        <f>IF(I661="","",IFERROR(MID(I661,FIND("/d/",I661)+3,FIND("/edit",I661)-FIND("/d/",I661)-3),I661))</f>
        <v/>
      </c>
      <c r="X661" s="71">
        <f>IF($J661="","",IFERROR(INDEX(B!$C$2:$C$61,MATCH($J661,B!$E$2:$E$61,0))&amp;"",""))</f>
        <v/>
      </c>
      <c r="Y661" s="20" t="n"/>
      <c r="Z661" s="72">
        <f>IF($J661="",FALSE,ISNUMBER(SEARCH("scout",$K661)))</f>
        <v/>
      </c>
      <c r="AA661" s="72">
        <f>IF($J661="",FALSE,IFERROR(INDEX(B!$N$2:$N$61,MATCH($J661,B!$E$2:$E$61,0))="Sim",FALSE))</f>
        <v/>
      </c>
      <c r="AB661" s="72">
        <f>IF($J661="",FALSE,LEFT($X661,2)="XX")</f>
        <v/>
      </c>
      <c r="AC661" s="72">
        <f>IF($J661="",FALSE,IFERROR(INDEX(B!$P$2:$P$61,MATCH($J661,B!$E$2:$E$61,0))="Sim",FALSE))</f>
        <v/>
      </c>
      <c r="AD661" s="20" t="n"/>
      <c r="AE661" s="52">
        <f>IF(H661="","",HOUR(H661))</f>
        <v/>
      </c>
      <c r="AF661" s="52" t="n"/>
    </row>
    <row r="662" ht="19.5" customHeight="1" s="58">
      <c r="A662" s="62">
        <f>IF(G662="","",IF(G662=G661,"",COUNTIF($G$3:$G$976,G662)))</f>
        <v/>
      </c>
      <c r="B662" s="20" t="n"/>
      <c r="C662" s="63">
        <f>IF(G662="","",DAY(G662))</f>
        <v/>
      </c>
      <c r="D662" s="63">
        <f>IF(G662="","",MONTH(G662))</f>
        <v/>
      </c>
      <c r="E662" s="63">
        <f>IF(G662="","",YEAR(G662))</f>
        <v/>
      </c>
      <c r="F662" s="33">
        <f>IF(G662="","",CHOOSE(MONTH(G662),"Janeiro","Fevereiro","Março","Abril","Maio","Junho","Julho","Agosto","Setembro","Outubro","Novembro","Dezembro"))</f>
        <v/>
      </c>
      <c r="G662" s="64" t="n">
        <v>46073</v>
      </c>
      <c r="H662" s="65" t="n">
        <v>0.0465625</v>
      </c>
      <c r="I662" s="66" t="inlineStr">
        <is>
          <t>https://docs.google.com/spreadsheets/d/1ZiCGoPjLCjuYvujDTXK9Ixbth3tekiLtFBzBrGjPCr4/edit?gid=0#gid=0</t>
        </is>
      </c>
      <c r="J662" s="67" t="inlineStr">
        <is>
          <t>Erro de Gps (Problema Técnico) - [GPS]</t>
        </is>
      </c>
      <c r="K662" s="67" t="inlineStr"/>
      <c r="L662" s="68" t="b">
        <v>0</v>
      </c>
      <c r="M662" s="20" t="n"/>
      <c r="N662" s="69">
        <f>IF($J662="","",IFERROR(INDEX(B!$F$2:$F$61,MATCH($J662,B!$E$2:$E$61,0))&amp;"",""))</f>
        <v/>
      </c>
      <c r="O662" s="69">
        <f>IF($J662="","",IFERROR(INDEX(B!$G$2:$G$61,MATCH($J662,B!$E$2:$E$61,0))&amp;"",""))</f>
        <v/>
      </c>
      <c r="P662" s="69">
        <f>IF($J662="","",IFERROR(INDEX(B!$H$2:$H$61,MATCH($J662,B!$E$2:$E$61,0))&amp;"",""))</f>
        <v/>
      </c>
      <c r="Q662" s="69">
        <f>IF($J662="","",IFERROR(INDEX(B!$I$2:$I$61,MATCH($J662,B!$E$2:$E$61,0))&amp;"",""))</f>
        <v/>
      </c>
      <c r="R662" s="69">
        <f>IF($J662="","",IFERROR(INDEX(B!$J$2:$J$61,MATCH($J662,B!$E$2:$E$61,0))&amp;"",""))</f>
        <v/>
      </c>
      <c r="S662" s="69">
        <f>IF($J662="","",IFERROR(INDEX(B!$K$2:$K$61,MATCH($J662,B!$E$2:$E$61,0))&amp;"",""))</f>
        <v/>
      </c>
      <c r="T662" s="69">
        <f>IF($J662="","",IFERROR(INDEX(B!$L$2:$L$61,MATCH($J662,B!$E$2:$E$61,0))&amp;"",""))</f>
        <v/>
      </c>
      <c r="U662" s="20" t="n"/>
      <c r="V662" s="70">
        <f>IF($J662="","",IFERROR(INDEX(B!$M$2:$M$61,MATCH($J662,B!$E$2:$E$61,0))&amp;"",""))</f>
        <v/>
      </c>
      <c r="W662" s="71">
        <f>IF(I662="","",IFERROR(MID(I662,FIND("/d/",I662)+3,FIND("/edit",I662)-FIND("/d/",I662)-3),I662))</f>
        <v/>
      </c>
      <c r="X662" s="71">
        <f>IF($J662="","",IFERROR(INDEX(B!$C$2:$C$61,MATCH($J662,B!$E$2:$E$61,0))&amp;"",""))</f>
        <v/>
      </c>
      <c r="Y662" s="20" t="n"/>
      <c r="Z662" s="72">
        <f>IF($J662="",FALSE,ISNUMBER(SEARCH("scout",$K662)))</f>
        <v/>
      </c>
      <c r="AA662" s="72">
        <f>IF($J662="",FALSE,IFERROR(INDEX(B!$N$2:$N$61,MATCH($J662,B!$E$2:$E$61,0))="Sim",FALSE))</f>
        <v/>
      </c>
      <c r="AB662" s="72">
        <f>IF($J662="",FALSE,LEFT($X662,2)="XX")</f>
        <v/>
      </c>
      <c r="AC662" s="72">
        <f>IF($J662="",FALSE,IFERROR(INDEX(B!$P$2:$P$61,MATCH($J662,B!$E$2:$E$61,0))="Sim",FALSE))</f>
        <v/>
      </c>
      <c r="AD662" s="20" t="n"/>
      <c r="AE662" s="52">
        <f>IF(H662="","",HOUR(H662))</f>
        <v/>
      </c>
      <c r="AF662" s="52" t="n"/>
    </row>
    <row r="663" ht="19.5" customHeight="1" s="58">
      <c r="A663" s="62">
        <f>IF(G663="","",IF(G663=G662,"",COUNTIF($G$3:$G$976,G663)))</f>
        <v/>
      </c>
      <c r="B663" s="20" t="n"/>
      <c r="C663" s="63">
        <f>IF(G663="","",DAY(G663))</f>
        <v/>
      </c>
      <c r="D663" s="63">
        <f>IF(G663="","",MONTH(G663))</f>
        <v/>
      </c>
      <c r="E663" s="63">
        <f>IF(G663="","",YEAR(G663))</f>
        <v/>
      </c>
      <c r="F663" s="33">
        <f>IF(G663="","",CHOOSE(MONTH(G663),"Janeiro","Fevereiro","Março","Abril","Maio","Junho","Julho","Agosto","Setembro","Outubro","Novembro","Dezembro"))</f>
        <v/>
      </c>
      <c r="G663" s="64" t="n">
        <v>46074</v>
      </c>
      <c r="H663" s="65" t="n">
        <v>0.007210648148148148</v>
      </c>
      <c r="I663" s="66" t="inlineStr">
        <is>
          <t>https://docs.google.com/spreadsheets/d/1ZiCGoPjLCjuYvujDTXK9Ixbth3tekiLtFBzBrGjPCr4/edit?gid=0#gid=0</t>
        </is>
      </c>
      <c r="J663" s="67" t="inlineStr">
        <is>
          <t>Transferência de LOB (Lost Items) - [TILI]</t>
        </is>
      </c>
      <c r="K663" s="67" t="inlineStr"/>
      <c r="L663" s="68" t="b">
        <v>0</v>
      </c>
      <c r="M663" s="20" t="n"/>
      <c r="N663" s="69">
        <f>IF($J663="","",IFERROR(INDEX(B!$F$2:$F$61,MATCH($J663,B!$E$2:$E$61,0))&amp;"",""))</f>
        <v/>
      </c>
      <c r="O663" s="69">
        <f>IF($J663="","",IFERROR(INDEX(B!$G$2:$G$61,MATCH($J663,B!$E$2:$E$61,0))&amp;"",""))</f>
        <v/>
      </c>
      <c r="P663" s="69">
        <f>IF($J663="","",IFERROR(INDEX(B!$H$2:$H$61,MATCH($J663,B!$E$2:$E$61,0))&amp;"",""))</f>
        <v/>
      </c>
      <c r="Q663" s="69">
        <f>IF($J663="","",IFERROR(INDEX(B!$I$2:$I$61,MATCH($J663,B!$E$2:$E$61,0))&amp;"",""))</f>
        <v/>
      </c>
      <c r="R663" s="69">
        <f>IF($J663="","",IFERROR(INDEX(B!$J$2:$J$61,MATCH($J663,B!$E$2:$E$61,0))&amp;"",""))</f>
        <v/>
      </c>
      <c r="S663" s="69">
        <f>IF($J663="","",IFERROR(INDEX(B!$K$2:$K$61,MATCH($J663,B!$E$2:$E$61,0))&amp;"",""))</f>
        <v/>
      </c>
      <c r="T663" s="69">
        <f>IF($J663="","",IFERROR(INDEX(B!$L$2:$L$61,MATCH($J663,B!$E$2:$E$61,0))&amp;"",""))</f>
        <v/>
      </c>
      <c r="U663" s="20" t="n"/>
      <c r="V663" s="70">
        <f>IF($J663="","",IFERROR(INDEX(B!$M$2:$M$61,MATCH($J663,B!$E$2:$E$61,0))&amp;"",""))</f>
        <v/>
      </c>
      <c r="W663" s="71">
        <f>IF(I663="","",IFERROR(MID(I663,FIND("/d/",I663)+3,FIND("/edit",I663)-FIND("/d/",I663)-3),I663))</f>
        <v/>
      </c>
      <c r="X663" s="71">
        <f>IF($J663="","",IFERROR(INDEX(B!$C$2:$C$61,MATCH($J663,B!$E$2:$E$61,0))&amp;"",""))</f>
        <v/>
      </c>
      <c r="Y663" s="20" t="n"/>
      <c r="Z663" s="72">
        <f>IF($J663="",FALSE,ISNUMBER(SEARCH("scout",$K663)))</f>
        <v/>
      </c>
      <c r="AA663" s="72">
        <f>IF($J663="",FALSE,IFERROR(INDEX(B!$N$2:$N$61,MATCH($J663,B!$E$2:$E$61,0))="Sim",FALSE))</f>
        <v/>
      </c>
      <c r="AB663" s="72">
        <f>IF($J663="",FALSE,LEFT($X663,2)="XX")</f>
        <v/>
      </c>
      <c r="AC663" s="72">
        <f>IF($J663="",FALSE,IFERROR(INDEX(B!$P$2:$P$61,MATCH($J663,B!$E$2:$E$61,0))="Sim",FALSE))</f>
        <v/>
      </c>
      <c r="AD663" s="20" t="n"/>
      <c r="AE663" s="52">
        <f>IF(H663="","",HOUR(H663))</f>
        <v/>
      </c>
      <c r="AF663" s="52" t="n"/>
    </row>
    <row r="664" ht="19.5" customHeight="1" s="58">
      <c r="A664" s="62">
        <f>IF(G664="","",IF(G664=G663,"",COUNTIF($G$3:$G$976,G664)))</f>
        <v/>
      </c>
      <c r="B664" s="20" t="n"/>
      <c r="C664" s="63">
        <f>IF(G664="","",DAY(G664))</f>
        <v/>
      </c>
      <c r="D664" s="63">
        <f>IF(G664="","",MONTH(G664))</f>
        <v/>
      </c>
      <c r="E664" s="63">
        <f>IF(G664="","",YEAR(G664))</f>
        <v/>
      </c>
      <c r="F664" s="33">
        <f>IF(G664="","",CHOOSE(MONTH(G664),"Janeiro","Fevereiro","Março","Abril","Maio","Junho","Julho","Agosto","Setembro","Outubro","Novembro","Dezembro"))</f>
        <v/>
      </c>
      <c r="G664" s="64" t="n">
        <v>46074</v>
      </c>
      <c r="H664" s="65" t="n">
        <v>0.009942129629629629</v>
      </c>
      <c r="I664" s="66" t="inlineStr">
        <is>
          <t>https://docs.google.com/spreadsheets/d/1ZiCGoPjLCjuYvujDTXK9Ixbth3tekiLtFBzBrGjPCr4/edit?gid=0#gid=0</t>
        </is>
      </c>
      <c r="J664" s="67" t="inlineStr">
        <is>
          <t>Não houve Taxa de Cancelamento - [NTX]</t>
        </is>
      </c>
      <c r="K664" s="67" t="inlineStr">
        <is>
          <t>Scout</t>
        </is>
      </c>
      <c r="L664" s="68" t="b">
        <v>0</v>
      </c>
      <c r="M664" s="20" t="n"/>
      <c r="N664" s="69">
        <f>IF($J664="","",IFERROR(INDEX(B!$F$2:$F$61,MATCH($J664,B!$E$2:$E$61,0))&amp;"",""))</f>
        <v/>
      </c>
      <c r="O664" s="69">
        <f>IF($J664="","",IFERROR(INDEX(B!$G$2:$G$61,MATCH($J664,B!$E$2:$E$61,0))&amp;"",""))</f>
        <v/>
      </c>
      <c r="P664" s="69">
        <f>IF($J664="","",IFERROR(INDEX(B!$H$2:$H$61,MATCH($J664,B!$E$2:$E$61,0))&amp;"",""))</f>
        <v/>
      </c>
      <c r="Q664" s="69">
        <f>IF($J664="","",IFERROR(INDEX(B!$I$2:$I$61,MATCH($J664,B!$E$2:$E$61,0))&amp;"",""))</f>
        <v/>
      </c>
      <c r="R664" s="69">
        <f>IF($J664="","",IFERROR(INDEX(B!$J$2:$J$61,MATCH($J664,B!$E$2:$E$61,0))&amp;"",""))</f>
        <v/>
      </c>
      <c r="S664" s="69">
        <f>IF($J664="","",IFERROR(INDEX(B!$K$2:$K$61,MATCH($J664,B!$E$2:$E$61,0))&amp;"",""))</f>
        <v/>
      </c>
      <c r="T664" s="69">
        <f>IF($J664="","",IFERROR(INDEX(B!$L$2:$L$61,MATCH($J664,B!$E$2:$E$61,0))&amp;"",""))</f>
        <v/>
      </c>
      <c r="U664" s="20" t="n"/>
      <c r="V664" s="70">
        <f>IF($J664="","",IFERROR(INDEX(B!$M$2:$M$61,MATCH($J664,B!$E$2:$E$61,0))&amp;"",""))</f>
        <v/>
      </c>
      <c r="W664" s="71">
        <f>IF(I664="","",IFERROR(MID(I664,FIND("/d/",I664)+3,FIND("/edit",I664)-FIND("/d/",I664)-3),I664))</f>
        <v/>
      </c>
      <c r="X664" s="71">
        <f>IF($J664="","",IFERROR(INDEX(B!$C$2:$C$61,MATCH($J664,B!$E$2:$E$61,0))&amp;"",""))</f>
        <v/>
      </c>
      <c r="Y664" s="20" t="n"/>
      <c r="Z664" s="72">
        <f>IF($J664="",FALSE,ISNUMBER(SEARCH("scout",$K664)))</f>
        <v/>
      </c>
      <c r="AA664" s="72">
        <f>IF($J664="",FALSE,IFERROR(INDEX(B!$N$2:$N$61,MATCH($J664,B!$E$2:$E$61,0))="Sim",FALSE))</f>
        <v/>
      </c>
      <c r="AB664" s="72">
        <f>IF($J664="",FALSE,LEFT($X664,2)="XX")</f>
        <v/>
      </c>
      <c r="AC664" s="72">
        <f>IF($J664="",FALSE,IFERROR(INDEX(B!$P$2:$P$61,MATCH($J664,B!$E$2:$E$61,0))="Sim",FALSE))</f>
        <v/>
      </c>
      <c r="AD664" s="20" t="n"/>
      <c r="AE664" s="52">
        <f>IF(H664="","",HOUR(H664))</f>
        <v/>
      </c>
      <c r="AF664" s="52" t="n"/>
    </row>
    <row r="665" ht="19.5" customHeight="1" s="58">
      <c r="A665" s="62">
        <f>IF(G665="","",IF(G665=G664,"",COUNTIF($G$3:$G$976,G665)))</f>
        <v/>
      </c>
      <c r="B665" s="20" t="n"/>
      <c r="C665" s="63">
        <f>IF(G665="","",DAY(G665))</f>
        <v/>
      </c>
      <c r="D665" s="63">
        <f>IF(G665="","",MONTH(G665))</f>
        <v/>
      </c>
      <c r="E665" s="63">
        <f>IF(G665="","",YEAR(G665))</f>
        <v/>
      </c>
      <c r="F665" s="33">
        <f>IF(G665="","",CHOOSE(MONTH(G665),"Janeiro","Fevereiro","Março","Abril","Maio","Junho","Julho","Agosto","Setembro","Outubro","Novembro","Dezembro"))</f>
        <v/>
      </c>
      <c r="G665" s="64" t="n">
        <v>46074</v>
      </c>
      <c r="H665" s="65" t="n">
        <v>0.01070601851851852</v>
      </c>
      <c r="I665" s="66" t="inlineStr">
        <is>
          <t>https://docs.google.com/spreadsheets/d/1ZiCGoPjLCjuYvujDTXK9Ixbth3tekiLtFBzBrGjPCr4/edit?gid=0#gid=0</t>
        </is>
      </c>
      <c r="J665" s="67" t="inlineStr">
        <is>
          <t>Evento Raro - [ER]</t>
        </is>
      </c>
      <c r="K665" s="67" t="inlineStr"/>
      <c r="L665" s="68" t="b">
        <v>0</v>
      </c>
      <c r="M665" s="20" t="n"/>
      <c r="N665" s="69">
        <f>IF($J665="","",IFERROR(INDEX(B!$F$2:$F$61,MATCH($J665,B!$E$2:$E$61,0))&amp;"",""))</f>
        <v/>
      </c>
      <c r="O665" s="69">
        <f>IF($J665="","",IFERROR(INDEX(B!$G$2:$G$61,MATCH($J665,B!$E$2:$E$61,0))&amp;"",""))</f>
        <v/>
      </c>
      <c r="P665" s="69">
        <f>IF($J665="","",IFERROR(INDEX(B!$H$2:$H$61,MATCH($J665,B!$E$2:$E$61,0))&amp;"",""))</f>
        <v/>
      </c>
      <c r="Q665" s="69">
        <f>IF($J665="","",IFERROR(INDEX(B!$I$2:$I$61,MATCH($J665,B!$E$2:$E$61,0))&amp;"",""))</f>
        <v/>
      </c>
      <c r="R665" s="69">
        <f>IF($J665="","",IFERROR(INDEX(B!$J$2:$J$61,MATCH($J665,B!$E$2:$E$61,0))&amp;"",""))</f>
        <v/>
      </c>
      <c r="S665" s="69">
        <f>IF($J665="","",IFERROR(INDEX(B!$K$2:$K$61,MATCH($J665,B!$E$2:$E$61,0))&amp;"",""))</f>
        <v/>
      </c>
      <c r="T665" s="69">
        <f>IF($J665="","",IFERROR(INDEX(B!$L$2:$L$61,MATCH($J665,B!$E$2:$E$61,0))&amp;"",""))</f>
        <v/>
      </c>
      <c r="U665" s="20" t="n"/>
      <c r="V665" s="70">
        <f>IF($J665="","",IFERROR(INDEX(B!$M$2:$M$61,MATCH($J665,B!$E$2:$E$61,0))&amp;"",""))</f>
        <v/>
      </c>
      <c r="W665" s="71">
        <f>IF(I665="","",IFERROR(MID(I665,FIND("/d/",I665)+3,FIND("/edit",I665)-FIND("/d/",I665)-3),I665))</f>
        <v/>
      </c>
      <c r="X665" s="71">
        <f>IF($J665="","",IFERROR(INDEX(B!$C$2:$C$61,MATCH($J665,B!$E$2:$E$61,0))&amp;"",""))</f>
        <v/>
      </c>
      <c r="Y665" s="20" t="n"/>
      <c r="Z665" s="72">
        <f>IF($J665="",FALSE,ISNUMBER(SEARCH("scout",$K665)))</f>
        <v/>
      </c>
      <c r="AA665" s="72">
        <f>IF($J665="",FALSE,IFERROR(INDEX(B!$N$2:$N$61,MATCH($J665,B!$E$2:$E$61,0))="Sim",FALSE))</f>
        <v/>
      </c>
      <c r="AB665" s="72">
        <f>IF($J665="",FALSE,LEFT($X665,2)="XX")</f>
        <v/>
      </c>
      <c r="AC665" s="72">
        <f>IF($J665="",FALSE,IFERROR(INDEX(B!$P$2:$P$61,MATCH($J665,B!$E$2:$E$61,0))="Sim",FALSE))</f>
        <v/>
      </c>
      <c r="AD665" s="20" t="n"/>
      <c r="AE665" s="52">
        <f>IF(H665="","",HOUR(H665))</f>
        <v/>
      </c>
      <c r="AF665" s="52" t="n"/>
    </row>
    <row r="666" ht="19.5" customHeight="1" s="58">
      <c r="A666" s="62">
        <f>IF(G666="","",IF(G666=G665,"",COUNTIF($G$3:$G$976,G666)))</f>
        <v/>
      </c>
      <c r="B666" s="20" t="n"/>
      <c r="C666" s="63">
        <f>IF(G666="","",DAY(G666))</f>
        <v/>
      </c>
      <c r="D666" s="63">
        <f>IF(G666="","",MONTH(G666))</f>
        <v/>
      </c>
      <c r="E666" s="63">
        <f>IF(G666="","",YEAR(G666))</f>
        <v/>
      </c>
      <c r="F666" s="33">
        <f>IF(G666="","",CHOOSE(MONTH(G666),"Janeiro","Fevereiro","Março","Abril","Maio","Junho","Julho","Agosto","Setembro","Outubro","Novembro","Dezembro"))</f>
        <v/>
      </c>
      <c r="G666" s="64" t="n">
        <v>46074</v>
      </c>
      <c r="H666" s="65" t="n">
        <v>0.01363425925925926</v>
      </c>
      <c r="I666" s="66" t="inlineStr">
        <is>
          <t>https://docs.google.com/spreadsheets/d/1ZiCGoPjLCjuYvujDTXK9Ixbth3tekiLtFBzBrGjPCr4/edit?gid=0#gid=0</t>
        </is>
      </c>
      <c r="J666" s="67" t="inlineStr">
        <is>
          <t>Viagem Calculada Incorretamente - [VCI]</t>
        </is>
      </c>
      <c r="K666" s="67" t="inlineStr"/>
      <c r="L666" s="68" t="b">
        <v>0</v>
      </c>
      <c r="M666" s="20" t="n"/>
      <c r="N666" s="69">
        <f>IF($J666="","",IFERROR(INDEX(B!$F$2:$F$61,MATCH($J666,B!$E$2:$E$61,0))&amp;"",""))</f>
        <v/>
      </c>
      <c r="O666" s="69">
        <f>IF($J666="","",IFERROR(INDEX(B!$G$2:$G$61,MATCH($J666,B!$E$2:$E$61,0))&amp;"",""))</f>
        <v/>
      </c>
      <c r="P666" s="69">
        <f>IF($J666="","",IFERROR(INDEX(B!$H$2:$H$61,MATCH($J666,B!$E$2:$E$61,0))&amp;"",""))</f>
        <v/>
      </c>
      <c r="Q666" s="69">
        <f>IF($J666="","",IFERROR(INDEX(B!$I$2:$I$61,MATCH($J666,B!$E$2:$E$61,0))&amp;"",""))</f>
        <v/>
      </c>
      <c r="R666" s="69">
        <f>IF($J666="","",IFERROR(INDEX(B!$J$2:$J$61,MATCH($J666,B!$E$2:$E$61,0))&amp;"",""))</f>
        <v/>
      </c>
      <c r="S666" s="69">
        <f>IF($J666="","",IFERROR(INDEX(B!$K$2:$K$61,MATCH($J666,B!$E$2:$E$61,0))&amp;"",""))</f>
        <v/>
      </c>
      <c r="T666" s="69">
        <f>IF($J666="","",IFERROR(INDEX(B!$L$2:$L$61,MATCH($J666,B!$E$2:$E$61,0))&amp;"",""))</f>
        <v/>
      </c>
      <c r="U666" s="20" t="n"/>
      <c r="V666" s="70">
        <f>IF($J666="","",IFERROR(INDEX(B!$M$2:$M$61,MATCH($J666,B!$E$2:$E$61,0))&amp;"",""))</f>
        <v/>
      </c>
      <c r="W666" s="71">
        <f>IF(I666="","",IFERROR(MID(I666,FIND("/d/",I666)+3,FIND("/edit",I666)-FIND("/d/",I666)-3),I666))</f>
        <v/>
      </c>
      <c r="X666" s="71">
        <f>IF($J666="","",IFERROR(INDEX(B!$C$2:$C$61,MATCH($J666,B!$E$2:$E$61,0))&amp;"",""))</f>
        <v/>
      </c>
      <c r="Y666" s="20" t="n"/>
      <c r="Z666" s="72">
        <f>IF($J666="",FALSE,ISNUMBER(SEARCH("scout",$K666)))</f>
        <v/>
      </c>
      <c r="AA666" s="72">
        <f>IF($J666="",FALSE,IFERROR(INDEX(B!$N$2:$N$61,MATCH($J666,B!$E$2:$E$61,0))="Sim",FALSE))</f>
        <v/>
      </c>
      <c r="AB666" s="72">
        <f>IF($J666="",FALSE,LEFT($X666,2)="XX")</f>
        <v/>
      </c>
      <c r="AC666" s="72">
        <f>IF($J666="",FALSE,IFERROR(INDEX(B!$P$2:$P$61,MATCH($J666,B!$E$2:$E$61,0))="Sim",FALSE))</f>
        <v/>
      </c>
      <c r="AD666" s="20" t="n"/>
      <c r="AE666" s="52">
        <f>IF(H666="","",HOUR(H666))</f>
        <v/>
      </c>
      <c r="AF666" s="52" t="n"/>
    </row>
    <row r="667" ht="19.5" customHeight="1" s="58">
      <c r="A667" s="62">
        <f>IF(G667="","",IF(G667=G666,"",COUNTIF($G$3:$G$976,G667)))</f>
        <v/>
      </c>
      <c r="B667" s="20" t="n"/>
      <c r="C667" s="63">
        <f>IF(G667="","",DAY(G667))</f>
        <v/>
      </c>
      <c r="D667" s="63">
        <f>IF(G667="","",MONTH(G667))</f>
        <v/>
      </c>
      <c r="E667" s="63">
        <f>IF(G667="","",YEAR(G667))</f>
        <v/>
      </c>
      <c r="F667" s="33">
        <f>IF(G667="","",CHOOSE(MONTH(G667),"Janeiro","Fevereiro","Março","Abril","Maio","Junho","Julho","Agosto","Setembro","Outubro","Novembro","Dezembro"))</f>
        <v/>
      </c>
      <c r="G667" s="64" t="n">
        <v>46074</v>
      </c>
      <c r="H667" s="65" t="n">
        <v>0.01792824074074074</v>
      </c>
      <c r="I667" s="66" t="inlineStr">
        <is>
          <t>https://docs.google.com/spreadsheets/d/1ZiCGoPjLCjuYvujDTXK9Ixbth3tekiLtFBzBrGjPCr4/edit?gid=0#gid=0</t>
        </is>
      </c>
      <c r="J667" s="67" t="inlineStr">
        <is>
          <t>Taxa de Limpeza - [TXL]</t>
        </is>
      </c>
      <c r="K667" s="67" t="inlineStr"/>
      <c r="L667" s="68" t="b">
        <v>0</v>
      </c>
      <c r="M667" s="20" t="n"/>
      <c r="N667" s="69">
        <f>IF($J667="","",IFERROR(INDEX(B!$F$2:$F$61,MATCH($J667,B!$E$2:$E$61,0))&amp;"",""))</f>
        <v/>
      </c>
      <c r="O667" s="69">
        <f>IF($J667="","",IFERROR(INDEX(B!$G$2:$G$61,MATCH($J667,B!$E$2:$E$61,0))&amp;"",""))</f>
        <v/>
      </c>
      <c r="P667" s="69">
        <f>IF($J667="","",IFERROR(INDEX(B!$H$2:$H$61,MATCH($J667,B!$E$2:$E$61,0))&amp;"",""))</f>
        <v/>
      </c>
      <c r="Q667" s="69">
        <f>IF($J667="","",IFERROR(INDEX(B!$I$2:$I$61,MATCH($J667,B!$E$2:$E$61,0))&amp;"",""))</f>
        <v/>
      </c>
      <c r="R667" s="69">
        <f>IF($J667="","",IFERROR(INDEX(B!$J$2:$J$61,MATCH($J667,B!$E$2:$E$61,0))&amp;"",""))</f>
        <v/>
      </c>
      <c r="S667" s="69">
        <f>IF($J667="","",IFERROR(INDEX(B!$K$2:$K$61,MATCH($J667,B!$E$2:$E$61,0))&amp;"",""))</f>
        <v/>
      </c>
      <c r="T667" s="69">
        <f>IF($J667="","",IFERROR(INDEX(B!$L$2:$L$61,MATCH($J667,B!$E$2:$E$61,0))&amp;"",""))</f>
        <v/>
      </c>
      <c r="U667" s="20" t="n"/>
      <c r="V667" s="70">
        <f>IF($J667="","",IFERROR(INDEX(B!$M$2:$M$61,MATCH($J667,B!$E$2:$E$61,0))&amp;"",""))</f>
        <v/>
      </c>
      <c r="W667" s="71">
        <f>IF(I667="","",IFERROR(MID(I667,FIND("/d/",I667)+3,FIND("/edit",I667)-FIND("/d/",I667)-3),I667))</f>
        <v/>
      </c>
      <c r="X667" s="71">
        <f>IF($J667="","",IFERROR(INDEX(B!$C$2:$C$61,MATCH($J667,B!$E$2:$E$61,0))&amp;"",""))</f>
        <v/>
      </c>
      <c r="Y667" s="20" t="n"/>
      <c r="Z667" s="72">
        <f>IF($J667="",FALSE,ISNUMBER(SEARCH("scout",$K667)))</f>
        <v/>
      </c>
      <c r="AA667" s="72">
        <f>IF($J667="",FALSE,IFERROR(INDEX(B!$N$2:$N$61,MATCH($J667,B!$E$2:$E$61,0))="Sim",FALSE))</f>
        <v/>
      </c>
      <c r="AB667" s="72">
        <f>IF($J667="",FALSE,LEFT($X667,2)="XX")</f>
        <v/>
      </c>
      <c r="AC667" s="72">
        <f>IF($J667="",FALSE,IFERROR(INDEX(B!$P$2:$P$61,MATCH($J667,B!$E$2:$E$61,0))="Sim",FALSE))</f>
        <v/>
      </c>
      <c r="AD667" s="20" t="n"/>
      <c r="AE667" s="52">
        <f>IF(H667="","",HOUR(H667))</f>
        <v/>
      </c>
      <c r="AF667" s="52" t="n"/>
    </row>
    <row r="668" ht="19.5" customHeight="1" s="58">
      <c r="A668" s="62">
        <f>IF(G668="","",IF(G668=G667,"",COUNTIF($G$3:$G$976,G668)))</f>
        <v/>
      </c>
      <c r="B668" s="20" t="n"/>
      <c r="C668" s="63">
        <f>IF(G668="","",DAY(G668))</f>
        <v/>
      </c>
      <c r="D668" s="63">
        <f>IF(G668="","",MONTH(G668))</f>
        <v/>
      </c>
      <c r="E668" s="63">
        <f>IF(G668="","",YEAR(G668))</f>
        <v/>
      </c>
      <c r="F668" s="33">
        <f>IF(G668="","",CHOOSE(MONTH(G668),"Janeiro","Fevereiro","Março","Abril","Maio","Junho","Julho","Agosto","Setembro","Outubro","Novembro","Dezembro"))</f>
        <v/>
      </c>
      <c r="G668" s="64" t="n">
        <v>46074</v>
      </c>
      <c r="H668" s="65" t="n">
        <v>0.02049768518518518</v>
      </c>
      <c r="I668" s="66" t="inlineStr">
        <is>
          <t>https://docs.google.com/spreadsheets/d/1ZiCGoPjLCjuYvujDTXK9Ixbth3tekiLtFBzBrGjPCr4/edit?gid=0#gid=0</t>
        </is>
      </c>
      <c r="J668" s="67" t="inlineStr">
        <is>
          <t>Erro de Gps (Problema Técnico) - [GPS]</t>
        </is>
      </c>
      <c r="K668" s="67" t="inlineStr"/>
      <c r="L668" s="68" t="b">
        <v>1</v>
      </c>
      <c r="M668" s="20" t="n"/>
      <c r="N668" s="69">
        <f>IF($J668="","",IFERROR(INDEX(B!$F$2:$F$61,MATCH($J668,B!$E$2:$E$61,0))&amp;"",""))</f>
        <v/>
      </c>
      <c r="O668" s="69">
        <f>IF($J668="","",IFERROR(INDEX(B!$G$2:$G$61,MATCH($J668,B!$E$2:$E$61,0))&amp;"",""))</f>
        <v/>
      </c>
      <c r="P668" s="69">
        <f>IF($J668="","",IFERROR(INDEX(B!$H$2:$H$61,MATCH($J668,B!$E$2:$E$61,0))&amp;"",""))</f>
        <v/>
      </c>
      <c r="Q668" s="69">
        <f>IF($J668="","",IFERROR(INDEX(B!$I$2:$I$61,MATCH($J668,B!$E$2:$E$61,0))&amp;"",""))</f>
        <v/>
      </c>
      <c r="R668" s="69">
        <f>IF($J668="","",IFERROR(INDEX(B!$J$2:$J$61,MATCH($J668,B!$E$2:$E$61,0))&amp;"",""))</f>
        <v/>
      </c>
      <c r="S668" s="69">
        <f>IF($J668="","",IFERROR(INDEX(B!$K$2:$K$61,MATCH($J668,B!$E$2:$E$61,0))&amp;"",""))</f>
        <v/>
      </c>
      <c r="T668" s="69">
        <f>IF($J668="","",IFERROR(INDEX(B!$L$2:$L$61,MATCH($J668,B!$E$2:$E$61,0))&amp;"",""))</f>
        <v/>
      </c>
      <c r="U668" s="20" t="n"/>
      <c r="V668" s="70">
        <f>IF($J668="","",IFERROR(INDEX(B!$M$2:$M$61,MATCH($J668,B!$E$2:$E$61,0))&amp;"",""))</f>
        <v/>
      </c>
      <c r="W668" s="71">
        <f>IF(I668="","",IFERROR(MID(I668,FIND("/d/",I668)+3,FIND("/edit",I668)-FIND("/d/",I668)-3),I668))</f>
        <v/>
      </c>
      <c r="X668" s="71">
        <f>IF($J668="","",IFERROR(INDEX(B!$C$2:$C$61,MATCH($J668,B!$E$2:$E$61,0))&amp;"",""))</f>
        <v/>
      </c>
      <c r="Y668" s="20" t="n"/>
      <c r="Z668" s="72">
        <f>IF($J668="",FALSE,ISNUMBER(SEARCH("scout",$K668)))</f>
        <v/>
      </c>
      <c r="AA668" s="72">
        <f>IF($J668="",FALSE,IFERROR(INDEX(B!$N$2:$N$61,MATCH($J668,B!$E$2:$E$61,0))="Sim",FALSE))</f>
        <v/>
      </c>
      <c r="AB668" s="72">
        <f>IF($J668="",FALSE,LEFT($X668,2)="XX")</f>
        <v/>
      </c>
      <c r="AC668" s="72">
        <f>IF($J668="",FALSE,IFERROR(INDEX(B!$P$2:$P$61,MATCH($J668,B!$E$2:$E$61,0))="Sim",FALSE))</f>
        <v/>
      </c>
      <c r="AD668" s="20" t="n"/>
      <c r="AE668" s="52">
        <f>IF(H668="","",HOUR(H668))</f>
        <v/>
      </c>
      <c r="AF668" s="52" t="n"/>
    </row>
    <row r="669" ht="19.5" customHeight="1" s="58">
      <c r="A669" s="62">
        <f>IF(G669="","",IF(G669=G668,"",COUNTIF($G$3:$G$976,G669)))</f>
        <v/>
      </c>
      <c r="B669" s="20" t="n"/>
      <c r="C669" s="63">
        <f>IF(G669="","",DAY(G669))</f>
        <v/>
      </c>
      <c r="D669" s="63">
        <f>IF(G669="","",MONTH(G669))</f>
        <v/>
      </c>
      <c r="E669" s="63">
        <f>IF(G669="","",YEAR(G669))</f>
        <v/>
      </c>
      <c r="F669" s="33">
        <f>IF(G669="","",CHOOSE(MONTH(G669),"Janeiro","Fevereiro","Março","Abril","Maio","Junho","Julho","Agosto","Setembro","Outubro","Novembro","Dezembro"))</f>
        <v/>
      </c>
      <c r="G669" s="64" t="n">
        <v>46074</v>
      </c>
      <c r="H669" s="65" t="n">
        <v>0.0212037037037037</v>
      </c>
      <c r="I669" s="66" t="inlineStr">
        <is>
          <t>https://docs.google.com/spreadsheets/d/1ZiCGoPjLCjuYvujDTXK9Ixbth3tekiLtFBzBrGjPCr4/edit?gid=0#gid=0</t>
        </is>
      </c>
      <c r="J669" s="67" t="inlineStr">
        <is>
          <t>Transferência de LOB (Lost Items) - [TILI]</t>
        </is>
      </c>
      <c r="K669" s="67" t="inlineStr">
        <is>
          <t>Scout</t>
        </is>
      </c>
      <c r="L669" s="68" t="b">
        <v>0</v>
      </c>
      <c r="M669" s="20" t="n"/>
      <c r="N669" s="69">
        <f>IF($J669="","",IFERROR(INDEX(B!$F$2:$F$61,MATCH($J669,B!$E$2:$E$61,0))&amp;"",""))</f>
        <v/>
      </c>
      <c r="O669" s="69">
        <f>IF($J669="","",IFERROR(INDEX(B!$G$2:$G$61,MATCH($J669,B!$E$2:$E$61,0))&amp;"",""))</f>
        <v/>
      </c>
      <c r="P669" s="69">
        <f>IF($J669="","",IFERROR(INDEX(B!$H$2:$H$61,MATCH($J669,B!$E$2:$E$61,0))&amp;"",""))</f>
        <v/>
      </c>
      <c r="Q669" s="69">
        <f>IF($J669="","",IFERROR(INDEX(B!$I$2:$I$61,MATCH($J669,B!$E$2:$E$61,0))&amp;"",""))</f>
        <v/>
      </c>
      <c r="R669" s="69">
        <f>IF($J669="","",IFERROR(INDEX(B!$J$2:$J$61,MATCH($J669,B!$E$2:$E$61,0))&amp;"",""))</f>
        <v/>
      </c>
      <c r="S669" s="69">
        <f>IF($J669="","",IFERROR(INDEX(B!$K$2:$K$61,MATCH($J669,B!$E$2:$E$61,0))&amp;"",""))</f>
        <v/>
      </c>
      <c r="T669" s="69">
        <f>IF($J669="","",IFERROR(INDEX(B!$L$2:$L$61,MATCH($J669,B!$E$2:$E$61,0))&amp;"",""))</f>
        <v/>
      </c>
      <c r="U669" s="20" t="n"/>
      <c r="V669" s="70">
        <f>IF($J669="","",IFERROR(INDEX(B!$M$2:$M$61,MATCH($J669,B!$E$2:$E$61,0))&amp;"",""))</f>
        <v/>
      </c>
      <c r="W669" s="71">
        <f>IF(I669="","",IFERROR(MID(I669,FIND("/d/",I669)+3,FIND("/edit",I669)-FIND("/d/",I669)-3),I669))</f>
        <v/>
      </c>
      <c r="X669" s="71">
        <f>IF($J669="","",IFERROR(INDEX(B!$C$2:$C$61,MATCH($J669,B!$E$2:$E$61,0))&amp;"",""))</f>
        <v/>
      </c>
      <c r="Y669" s="20" t="n"/>
      <c r="Z669" s="72">
        <f>IF($J669="",FALSE,ISNUMBER(SEARCH("scout",$K669)))</f>
        <v/>
      </c>
      <c r="AA669" s="72">
        <f>IF($J669="",FALSE,IFERROR(INDEX(B!$N$2:$N$61,MATCH($J669,B!$E$2:$E$61,0))="Sim",FALSE))</f>
        <v/>
      </c>
      <c r="AB669" s="72">
        <f>IF($J669="",FALSE,LEFT($X669,2)="XX")</f>
        <v/>
      </c>
      <c r="AC669" s="72">
        <f>IF($J669="",FALSE,IFERROR(INDEX(B!$P$2:$P$61,MATCH($J669,B!$E$2:$E$61,0))="Sim",FALSE))</f>
        <v/>
      </c>
      <c r="AD669" s="20" t="n"/>
      <c r="AE669" s="52">
        <f>IF(H669="","",HOUR(H669))</f>
        <v/>
      </c>
      <c r="AF669" s="52" t="n"/>
    </row>
    <row r="670" ht="19.5" customHeight="1" s="58">
      <c r="A670" s="62">
        <f>IF(G670="","",IF(G670=G669,"",COUNTIF($G$3:$G$976,G670)))</f>
        <v/>
      </c>
      <c r="B670" s="20" t="n"/>
      <c r="C670" s="63">
        <f>IF(G670="","",DAY(G670))</f>
        <v/>
      </c>
      <c r="D670" s="63">
        <f>IF(G670="","",MONTH(G670))</f>
        <v/>
      </c>
      <c r="E670" s="63">
        <f>IF(G670="","",YEAR(G670))</f>
        <v/>
      </c>
      <c r="F670" s="33">
        <f>IF(G670="","",CHOOSE(MONTH(G670),"Janeiro","Fevereiro","Março","Abril","Maio","Junho","Julho","Agosto","Setembro","Outubro","Novembro","Dezembro"))</f>
        <v/>
      </c>
      <c r="G670" s="64" t="n">
        <v>46074</v>
      </c>
      <c r="H670" s="65" t="n">
        <v>0.02269675925925926</v>
      </c>
      <c r="I670" s="66" t="inlineStr">
        <is>
          <t>https://docs.google.com/spreadsheets/d/1ZiCGoPjLCjuYvujDTXK9Ixbth3tekiLtFBzBrGjPCr4/edit?gid=0#gid=0</t>
        </is>
      </c>
      <c r="J670" s="67" t="inlineStr">
        <is>
          <t>Erro de Gps (Problema Técnico) - [GPS]</t>
        </is>
      </c>
      <c r="K670" s="67" t="inlineStr"/>
      <c r="L670" s="68" t="b">
        <v>1</v>
      </c>
      <c r="M670" s="20" t="n"/>
      <c r="N670" s="69">
        <f>IF($J670="","",IFERROR(INDEX(B!$F$2:$F$61,MATCH($J670,B!$E$2:$E$61,0))&amp;"",""))</f>
        <v/>
      </c>
      <c r="O670" s="69">
        <f>IF($J670="","",IFERROR(INDEX(B!$G$2:$G$61,MATCH($J670,B!$E$2:$E$61,0))&amp;"",""))</f>
        <v/>
      </c>
      <c r="P670" s="69">
        <f>IF($J670="","",IFERROR(INDEX(B!$H$2:$H$61,MATCH($J670,B!$E$2:$E$61,0))&amp;"",""))</f>
        <v/>
      </c>
      <c r="Q670" s="69">
        <f>IF($J670="","",IFERROR(INDEX(B!$I$2:$I$61,MATCH($J670,B!$E$2:$E$61,0))&amp;"",""))</f>
        <v/>
      </c>
      <c r="R670" s="69">
        <f>IF($J670="","",IFERROR(INDEX(B!$J$2:$J$61,MATCH($J670,B!$E$2:$E$61,0))&amp;"",""))</f>
        <v/>
      </c>
      <c r="S670" s="69">
        <f>IF($J670="","",IFERROR(INDEX(B!$K$2:$K$61,MATCH($J670,B!$E$2:$E$61,0))&amp;"",""))</f>
        <v/>
      </c>
      <c r="T670" s="69">
        <f>IF($J670="","",IFERROR(INDEX(B!$L$2:$L$61,MATCH($J670,B!$E$2:$E$61,0))&amp;"",""))</f>
        <v/>
      </c>
      <c r="U670" s="20" t="n"/>
      <c r="V670" s="70">
        <f>IF($J670="","",IFERROR(INDEX(B!$M$2:$M$61,MATCH($J670,B!$E$2:$E$61,0))&amp;"",""))</f>
        <v/>
      </c>
      <c r="W670" s="71">
        <f>IF(I670="","",IFERROR(MID(I670,FIND("/d/",I670)+3,FIND("/edit",I670)-FIND("/d/",I670)-3),I670))</f>
        <v/>
      </c>
      <c r="X670" s="71">
        <f>IF($J670="","",IFERROR(INDEX(B!$C$2:$C$61,MATCH($J670,B!$E$2:$E$61,0))&amp;"",""))</f>
        <v/>
      </c>
      <c r="Y670" s="20" t="n"/>
      <c r="Z670" s="72">
        <f>IF($J670="",FALSE,ISNUMBER(SEARCH("scout",$K670)))</f>
        <v/>
      </c>
      <c r="AA670" s="72">
        <f>IF($J670="",FALSE,IFERROR(INDEX(B!$N$2:$N$61,MATCH($J670,B!$E$2:$E$61,0))="Sim",FALSE))</f>
        <v/>
      </c>
      <c r="AB670" s="72">
        <f>IF($J670="",FALSE,LEFT($X670,2)="XX")</f>
        <v/>
      </c>
      <c r="AC670" s="72">
        <f>IF($J670="",FALSE,IFERROR(INDEX(B!$P$2:$P$61,MATCH($J670,B!$E$2:$E$61,0))="Sim",FALSE))</f>
        <v/>
      </c>
      <c r="AD670" s="20" t="n"/>
      <c r="AE670" s="52">
        <f>IF(H670="","",HOUR(H670))</f>
        <v/>
      </c>
      <c r="AF670" s="52" t="n"/>
    </row>
    <row r="671" ht="19.5" customHeight="1" s="58">
      <c r="A671" s="62">
        <f>IF(G671="","",IF(G671=G670,"",COUNTIF($G$3:$G$976,G671)))</f>
        <v/>
      </c>
      <c r="B671" s="20" t="n"/>
      <c r="C671" s="63">
        <f>IF(G671="","",DAY(G671))</f>
        <v/>
      </c>
      <c r="D671" s="63">
        <f>IF(G671="","",MONTH(G671))</f>
        <v/>
      </c>
      <c r="E671" s="63">
        <f>IF(G671="","",YEAR(G671))</f>
        <v/>
      </c>
      <c r="F671" s="33">
        <f>IF(G671="","",CHOOSE(MONTH(G671),"Janeiro","Fevereiro","Março","Abril","Maio","Junho","Julho","Agosto","Setembro","Outubro","Novembro","Dezembro"))</f>
        <v/>
      </c>
      <c r="G671" s="64" t="n">
        <v>46074</v>
      </c>
      <c r="H671" s="65" t="n">
        <v>0.02502314814814815</v>
      </c>
      <c r="I671" s="66" t="inlineStr">
        <is>
          <t>https://docs.google.com/spreadsheets/d/1ZiCGoPjLCjuYvujDTXK9Ixbth3tekiLtFBzBrGjPCr4/edit?gid=0#gid=0</t>
        </is>
      </c>
      <c r="J671" s="67" t="inlineStr">
        <is>
          <t>Taxa de Limpeza, Sem ajustes - [TXLO]</t>
        </is>
      </c>
      <c r="K671" s="67" t="inlineStr">
        <is>
          <t>Scout</t>
        </is>
      </c>
      <c r="L671" s="68" t="b">
        <v>0</v>
      </c>
      <c r="M671" s="20" t="n"/>
      <c r="N671" s="69">
        <f>IF($J671="","",IFERROR(INDEX(B!$F$2:$F$61,MATCH($J671,B!$E$2:$E$61,0))&amp;"",""))</f>
        <v/>
      </c>
      <c r="O671" s="69">
        <f>IF($J671="","",IFERROR(INDEX(B!$G$2:$G$61,MATCH($J671,B!$E$2:$E$61,0))&amp;"",""))</f>
        <v/>
      </c>
      <c r="P671" s="69">
        <f>IF($J671="","",IFERROR(INDEX(B!$H$2:$H$61,MATCH($J671,B!$E$2:$E$61,0))&amp;"",""))</f>
        <v/>
      </c>
      <c r="Q671" s="69">
        <f>IF($J671="","",IFERROR(INDEX(B!$I$2:$I$61,MATCH($J671,B!$E$2:$E$61,0))&amp;"",""))</f>
        <v/>
      </c>
      <c r="R671" s="69">
        <f>IF($J671="","",IFERROR(INDEX(B!$J$2:$J$61,MATCH($J671,B!$E$2:$E$61,0))&amp;"",""))</f>
        <v/>
      </c>
      <c r="S671" s="69">
        <f>IF($J671="","",IFERROR(INDEX(B!$K$2:$K$61,MATCH($J671,B!$E$2:$E$61,0))&amp;"",""))</f>
        <v/>
      </c>
      <c r="T671" s="69">
        <f>IF($J671="","",IFERROR(INDEX(B!$L$2:$L$61,MATCH($J671,B!$E$2:$E$61,0))&amp;"",""))</f>
        <v/>
      </c>
      <c r="U671" s="20" t="n"/>
      <c r="V671" s="70">
        <f>IF($J671="","",IFERROR(INDEX(B!$M$2:$M$61,MATCH($J671,B!$E$2:$E$61,0))&amp;"",""))</f>
        <v/>
      </c>
      <c r="W671" s="71">
        <f>IF(I671="","",IFERROR(MID(I671,FIND("/d/",I671)+3,FIND("/edit",I671)-FIND("/d/",I671)-3),I671))</f>
        <v/>
      </c>
      <c r="X671" s="71">
        <f>IF($J671="","",IFERROR(INDEX(B!$C$2:$C$61,MATCH($J671,B!$E$2:$E$61,0))&amp;"",""))</f>
        <v/>
      </c>
      <c r="Y671" s="20" t="n"/>
      <c r="Z671" s="72">
        <f>IF($J671="",FALSE,ISNUMBER(SEARCH("scout",$K671)))</f>
        <v/>
      </c>
      <c r="AA671" s="72">
        <f>IF($J671="",FALSE,IFERROR(INDEX(B!$N$2:$N$61,MATCH($J671,B!$E$2:$E$61,0))="Sim",FALSE))</f>
        <v/>
      </c>
      <c r="AB671" s="72">
        <f>IF($J671="",FALSE,LEFT($X671,2)="XX")</f>
        <v/>
      </c>
      <c r="AC671" s="72">
        <f>IF($J671="",FALSE,IFERROR(INDEX(B!$P$2:$P$61,MATCH($J671,B!$E$2:$E$61,0))="Sim",FALSE))</f>
        <v/>
      </c>
      <c r="AD671" s="20" t="n"/>
      <c r="AE671" s="52">
        <f>IF(H671="","",HOUR(H671))</f>
        <v/>
      </c>
      <c r="AF671" s="52" t="n"/>
    </row>
    <row r="672" ht="19.5" customHeight="1" s="58">
      <c r="A672" s="62">
        <f>IF(G672="","",IF(G672=G671,"",COUNTIF($G$3:$G$976,G672)))</f>
        <v/>
      </c>
      <c r="B672" s="20" t="n"/>
      <c r="C672" s="63">
        <f>IF(G672="","",DAY(G672))</f>
        <v/>
      </c>
      <c r="D672" s="63">
        <f>IF(G672="","",MONTH(G672))</f>
        <v/>
      </c>
      <c r="E672" s="63">
        <f>IF(G672="","",YEAR(G672))</f>
        <v/>
      </c>
      <c r="F672" s="33">
        <f>IF(G672="","",CHOOSE(MONTH(G672),"Janeiro","Fevereiro","Março","Abril","Maio","Junho","Julho","Agosto","Setembro","Outubro","Novembro","Dezembro"))</f>
        <v/>
      </c>
      <c r="G672" s="64" t="n">
        <v>46074</v>
      </c>
      <c r="H672" s="65" t="n">
        <v>0.0253587962962963</v>
      </c>
      <c r="I672" s="66" t="inlineStr">
        <is>
          <t>https://docs.google.com/spreadsheets/d/1ZiCGoPjLCjuYvujDTXK9Ixbth3tekiLtFBzBrGjPCr4/edit?gid=0#gid=0</t>
        </is>
      </c>
      <c r="J672" s="67" t="inlineStr">
        <is>
          <t>Outros Valores Retidos (Pedágio, Cartão, Taxa de Cancelamento...) - [OTV]</t>
        </is>
      </c>
      <c r="K672" s="67" t="inlineStr"/>
      <c r="L672" s="68" t="b">
        <v>0</v>
      </c>
      <c r="M672" s="20" t="n"/>
      <c r="N672" s="69">
        <f>IF($J672="","",IFERROR(INDEX(B!$F$2:$F$61,MATCH($J672,B!$E$2:$E$61,0))&amp;"",""))</f>
        <v/>
      </c>
      <c r="O672" s="69">
        <f>IF($J672="","",IFERROR(INDEX(B!$G$2:$G$61,MATCH($J672,B!$E$2:$E$61,0))&amp;"",""))</f>
        <v/>
      </c>
      <c r="P672" s="69">
        <f>IF($J672="","",IFERROR(INDEX(B!$H$2:$H$61,MATCH($J672,B!$E$2:$E$61,0))&amp;"",""))</f>
        <v/>
      </c>
      <c r="Q672" s="69">
        <f>IF($J672="","",IFERROR(INDEX(B!$I$2:$I$61,MATCH($J672,B!$E$2:$E$61,0))&amp;"",""))</f>
        <v/>
      </c>
      <c r="R672" s="69">
        <f>IF($J672="","",IFERROR(INDEX(B!$J$2:$J$61,MATCH($J672,B!$E$2:$E$61,0))&amp;"",""))</f>
        <v/>
      </c>
      <c r="S672" s="69">
        <f>IF($J672="","",IFERROR(INDEX(B!$K$2:$K$61,MATCH($J672,B!$E$2:$E$61,0))&amp;"",""))</f>
        <v/>
      </c>
      <c r="T672" s="69">
        <f>IF($J672="","",IFERROR(INDEX(B!$L$2:$L$61,MATCH($J672,B!$E$2:$E$61,0))&amp;"",""))</f>
        <v/>
      </c>
      <c r="U672" s="20" t="n"/>
      <c r="V672" s="70">
        <f>IF($J672="","",IFERROR(INDEX(B!$M$2:$M$61,MATCH($J672,B!$E$2:$E$61,0))&amp;"",""))</f>
        <v/>
      </c>
      <c r="W672" s="71">
        <f>IF(I672="","",IFERROR(MID(I672,FIND("/d/",I672)+3,FIND("/edit",I672)-FIND("/d/",I672)-3),I672))</f>
        <v/>
      </c>
      <c r="X672" s="71">
        <f>IF($J672="","",IFERROR(INDEX(B!$C$2:$C$61,MATCH($J672,B!$E$2:$E$61,0))&amp;"",""))</f>
        <v/>
      </c>
      <c r="Y672" s="20" t="n"/>
      <c r="Z672" s="72">
        <f>IF($J672="",FALSE,ISNUMBER(SEARCH("scout",$K672)))</f>
        <v/>
      </c>
      <c r="AA672" s="72">
        <f>IF($J672="",FALSE,IFERROR(INDEX(B!$N$2:$N$61,MATCH($J672,B!$E$2:$E$61,0))="Sim",FALSE))</f>
        <v/>
      </c>
      <c r="AB672" s="72">
        <f>IF($J672="",FALSE,LEFT($X672,2)="XX")</f>
        <v/>
      </c>
      <c r="AC672" s="72">
        <f>IF($J672="",FALSE,IFERROR(INDEX(B!$P$2:$P$61,MATCH($J672,B!$E$2:$E$61,0))="Sim",FALSE))</f>
        <v/>
      </c>
      <c r="AD672" s="20" t="n"/>
      <c r="AE672" s="52">
        <f>IF(H672="","",HOUR(H672))</f>
        <v/>
      </c>
      <c r="AF672" s="52" t="n"/>
    </row>
    <row r="673" ht="19.5" customHeight="1" s="58">
      <c r="A673" s="62">
        <f>IF(G673="","",IF(G673=G672,"",COUNTIF($G$3:$G$976,G673)))</f>
        <v/>
      </c>
      <c r="B673" s="20" t="n"/>
      <c r="C673" s="63">
        <f>IF(G673="","",DAY(G673))</f>
        <v/>
      </c>
      <c r="D673" s="63">
        <f>IF(G673="","",MONTH(G673))</f>
        <v/>
      </c>
      <c r="E673" s="63">
        <f>IF(G673="","",YEAR(G673))</f>
        <v/>
      </c>
      <c r="F673" s="33">
        <f>IF(G673="","",CHOOSE(MONTH(G673),"Janeiro","Fevereiro","Março","Abril","Maio","Junho","Julho","Agosto","Setembro","Outubro","Novembro","Dezembro"))</f>
        <v/>
      </c>
      <c r="G673" s="64" t="n">
        <v>46074</v>
      </c>
      <c r="H673" s="65" t="n">
        <v>0.036875</v>
      </c>
      <c r="I673" s="66" t="inlineStr">
        <is>
          <t>https://docs.google.com/spreadsheets/d/1ZiCGoPjLCjuYvujDTXK9Ixbth3tekiLtFBzBrGjPCr4/edit?gid=0#gid=0</t>
        </is>
      </c>
      <c r="J673" s="67" t="inlineStr">
        <is>
          <t>Overpaid, Não excede o limite, Com comprovante - [OPNC]</t>
        </is>
      </c>
      <c r="K673" s="67" t="inlineStr">
        <is>
          <t>Scout</t>
        </is>
      </c>
      <c r="L673" s="68" t="b">
        <v>0</v>
      </c>
      <c r="M673" s="20" t="n"/>
      <c r="N673" s="69">
        <f>IF($J673="","",IFERROR(INDEX(B!$F$2:$F$61,MATCH($J673,B!$E$2:$E$61,0))&amp;"",""))</f>
        <v/>
      </c>
      <c r="O673" s="69">
        <f>IF($J673="","",IFERROR(INDEX(B!$G$2:$G$61,MATCH($J673,B!$E$2:$E$61,0))&amp;"",""))</f>
        <v/>
      </c>
      <c r="P673" s="69">
        <f>IF($J673="","",IFERROR(INDEX(B!$H$2:$H$61,MATCH($J673,B!$E$2:$E$61,0))&amp;"",""))</f>
        <v/>
      </c>
      <c r="Q673" s="69">
        <f>IF($J673="","",IFERROR(INDEX(B!$I$2:$I$61,MATCH($J673,B!$E$2:$E$61,0))&amp;"",""))</f>
        <v/>
      </c>
      <c r="R673" s="69">
        <f>IF($J673="","",IFERROR(INDEX(B!$J$2:$J$61,MATCH($J673,B!$E$2:$E$61,0))&amp;"",""))</f>
        <v/>
      </c>
      <c r="S673" s="69">
        <f>IF($J673="","",IFERROR(INDEX(B!$K$2:$K$61,MATCH($J673,B!$E$2:$E$61,0))&amp;"",""))</f>
        <v/>
      </c>
      <c r="T673" s="69">
        <f>IF($J673="","",IFERROR(INDEX(B!$L$2:$L$61,MATCH($J673,B!$E$2:$E$61,0))&amp;"",""))</f>
        <v/>
      </c>
      <c r="U673" s="20" t="n"/>
      <c r="V673" s="70">
        <f>IF($J673="","",IFERROR(INDEX(B!$M$2:$M$61,MATCH($J673,B!$E$2:$E$61,0))&amp;"",""))</f>
        <v/>
      </c>
      <c r="W673" s="71">
        <f>IF(I673="","",IFERROR(MID(I673,FIND("/d/",I673)+3,FIND("/edit",I673)-FIND("/d/",I673)-3),I673))</f>
        <v/>
      </c>
      <c r="X673" s="71">
        <f>IF($J673="","",IFERROR(INDEX(B!$C$2:$C$61,MATCH($J673,B!$E$2:$E$61,0))&amp;"",""))</f>
        <v/>
      </c>
      <c r="Y673" s="20" t="n"/>
      <c r="Z673" s="72">
        <f>IF($J673="",FALSE,ISNUMBER(SEARCH("scout",$K673)))</f>
        <v/>
      </c>
      <c r="AA673" s="72">
        <f>IF($J673="",FALSE,IFERROR(INDEX(B!$N$2:$N$61,MATCH($J673,B!$E$2:$E$61,0))="Sim",FALSE))</f>
        <v/>
      </c>
      <c r="AB673" s="72">
        <f>IF($J673="",FALSE,LEFT($X673,2)="XX")</f>
        <v/>
      </c>
      <c r="AC673" s="72">
        <f>IF($J673="",FALSE,IFERROR(INDEX(B!$P$2:$P$61,MATCH($J673,B!$E$2:$E$61,0))="Sim",FALSE))</f>
        <v/>
      </c>
      <c r="AD673" s="20" t="n"/>
      <c r="AE673" s="52">
        <f>IF(H673="","",HOUR(H673))</f>
        <v/>
      </c>
      <c r="AF673" s="52" t="n"/>
    </row>
    <row r="674" ht="19.5" customHeight="1" s="58">
      <c r="A674" s="62">
        <f>IF(G674="","",IF(G674=G673,"",COUNTIF($G$3:$G$976,G674)))</f>
        <v/>
      </c>
      <c r="B674" s="20" t="n"/>
      <c r="C674" s="63">
        <f>IF(G674="","",DAY(G674))</f>
        <v/>
      </c>
      <c r="D674" s="63">
        <f>IF(G674="","",MONTH(G674))</f>
        <v/>
      </c>
      <c r="E674" s="63">
        <f>IF(G674="","",YEAR(G674))</f>
        <v/>
      </c>
      <c r="F674" s="33">
        <f>IF(G674="","",CHOOSE(MONTH(G674),"Janeiro","Fevereiro","Março","Abril","Maio","Junho","Julho","Agosto","Setembro","Outubro","Novembro","Dezembro"))</f>
        <v/>
      </c>
      <c r="G674" s="64" t="n">
        <v>46074</v>
      </c>
      <c r="H674" s="65" t="n">
        <v>0.03881944444444444</v>
      </c>
      <c r="I674" s="66" t="inlineStr">
        <is>
          <t>https://docs.google.com/spreadsheets/d/1ZiCGoPjLCjuYvujDTXK9Ixbth3tekiLtFBzBrGjPCr4/edit?gid=0#gid=0</t>
        </is>
      </c>
      <c r="J674" s="67" t="inlineStr">
        <is>
          <t>Overpaid, Não excede o limite, Sem comprovante - [OPNN]</t>
        </is>
      </c>
      <c r="K674" s="67" t="inlineStr"/>
      <c r="L674" s="68" t="b">
        <v>0</v>
      </c>
      <c r="M674" s="20" t="n"/>
      <c r="N674" s="69">
        <f>IF($J674="","",IFERROR(INDEX(B!$F$2:$F$61,MATCH($J674,B!$E$2:$E$61,0))&amp;"",""))</f>
        <v/>
      </c>
      <c r="O674" s="69">
        <f>IF($J674="","",IFERROR(INDEX(B!$G$2:$G$61,MATCH($J674,B!$E$2:$E$61,0))&amp;"",""))</f>
        <v/>
      </c>
      <c r="P674" s="69">
        <f>IF($J674="","",IFERROR(INDEX(B!$H$2:$H$61,MATCH($J674,B!$E$2:$E$61,0))&amp;"",""))</f>
        <v/>
      </c>
      <c r="Q674" s="69">
        <f>IF($J674="","",IFERROR(INDEX(B!$I$2:$I$61,MATCH($J674,B!$E$2:$E$61,0))&amp;"",""))</f>
        <v/>
      </c>
      <c r="R674" s="69">
        <f>IF($J674="","",IFERROR(INDEX(B!$J$2:$J$61,MATCH($J674,B!$E$2:$E$61,0))&amp;"",""))</f>
        <v/>
      </c>
      <c r="S674" s="69">
        <f>IF($J674="","",IFERROR(INDEX(B!$K$2:$K$61,MATCH($J674,B!$E$2:$E$61,0))&amp;"",""))</f>
        <v/>
      </c>
      <c r="T674" s="69">
        <f>IF($J674="","",IFERROR(INDEX(B!$L$2:$L$61,MATCH($J674,B!$E$2:$E$61,0))&amp;"",""))</f>
        <v/>
      </c>
      <c r="U674" s="20" t="n"/>
      <c r="V674" s="70">
        <f>IF($J674="","",IFERROR(INDEX(B!$M$2:$M$61,MATCH($J674,B!$E$2:$E$61,0))&amp;"",""))</f>
        <v/>
      </c>
      <c r="W674" s="71">
        <f>IF(I674="","",IFERROR(MID(I674,FIND("/d/",I674)+3,FIND("/edit",I674)-FIND("/d/",I674)-3),I674))</f>
        <v/>
      </c>
      <c r="X674" s="71">
        <f>IF($J674="","",IFERROR(INDEX(B!$C$2:$C$61,MATCH($J674,B!$E$2:$E$61,0))&amp;"",""))</f>
        <v/>
      </c>
      <c r="Y674" s="20" t="n"/>
      <c r="Z674" s="72">
        <f>IF($J674="",FALSE,ISNUMBER(SEARCH("scout",$K674)))</f>
        <v/>
      </c>
      <c r="AA674" s="72">
        <f>IF($J674="",FALSE,IFERROR(INDEX(B!$N$2:$N$61,MATCH($J674,B!$E$2:$E$61,0))="Sim",FALSE))</f>
        <v/>
      </c>
      <c r="AB674" s="72">
        <f>IF($J674="",FALSE,LEFT($X674,2)="XX")</f>
        <v/>
      </c>
      <c r="AC674" s="72">
        <f>IF($J674="",FALSE,IFERROR(INDEX(B!$P$2:$P$61,MATCH($J674,B!$E$2:$E$61,0))="Sim",FALSE))</f>
        <v/>
      </c>
      <c r="AD674" s="20" t="n"/>
      <c r="AE674" s="52">
        <f>IF(H674="","",HOUR(H674))</f>
        <v/>
      </c>
      <c r="AF674" s="52" t="n"/>
    </row>
    <row r="675" ht="19.5" customHeight="1" s="58">
      <c r="A675" s="62">
        <f>IF(G675="","",IF(G675=G674,"",COUNTIF($G$3:$G$976,G675)))</f>
        <v/>
      </c>
      <c r="B675" s="20" t="n"/>
      <c r="C675" s="63">
        <f>IF(G675="","",DAY(G675))</f>
        <v/>
      </c>
      <c r="D675" s="63">
        <f>IF(G675="","",MONTH(G675))</f>
        <v/>
      </c>
      <c r="E675" s="63">
        <f>IF(G675="","",YEAR(G675))</f>
        <v/>
      </c>
      <c r="F675" s="33">
        <f>IF(G675="","",CHOOSE(MONTH(G675),"Janeiro","Fevereiro","Março","Abril","Maio","Junho","Julho","Agosto","Setembro","Outubro","Novembro","Dezembro"))</f>
        <v/>
      </c>
      <c r="G675" s="64" t="n">
        <v>46075</v>
      </c>
      <c r="H675" s="65" t="n">
        <v>0.002974537037037037</v>
      </c>
      <c r="I675" s="66" t="inlineStr">
        <is>
          <t>https://docs.google.com/spreadsheets/d/1ZiCGoPjLCjuYvujDTXK9Ixbth3tekiLtFBzBrGjPCr4/edit?gid=0#gid=0</t>
        </is>
      </c>
      <c r="J675" s="67" t="inlineStr">
        <is>
          <t>Não houve Taxa de Cancelamento - [NTX]</t>
        </is>
      </c>
      <c r="K675" s="67" t="inlineStr"/>
      <c r="L675" s="68" t="b">
        <v>0</v>
      </c>
      <c r="M675" s="20" t="n"/>
      <c r="N675" s="69">
        <f>IF($J675="","",IFERROR(INDEX(B!$F$2:$F$61,MATCH($J675,B!$E$2:$E$61,0))&amp;"",""))</f>
        <v/>
      </c>
      <c r="O675" s="69">
        <f>IF($J675="","",IFERROR(INDEX(B!$G$2:$G$61,MATCH($J675,B!$E$2:$E$61,0))&amp;"",""))</f>
        <v/>
      </c>
      <c r="P675" s="69">
        <f>IF($J675="","",IFERROR(INDEX(B!$H$2:$H$61,MATCH($J675,B!$E$2:$E$61,0))&amp;"",""))</f>
        <v/>
      </c>
      <c r="Q675" s="69">
        <f>IF($J675="","",IFERROR(INDEX(B!$I$2:$I$61,MATCH($J675,B!$E$2:$E$61,0))&amp;"",""))</f>
        <v/>
      </c>
      <c r="R675" s="69">
        <f>IF($J675="","",IFERROR(INDEX(B!$J$2:$J$61,MATCH($J675,B!$E$2:$E$61,0))&amp;"",""))</f>
        <v/>
      </c>
      <c r="S675" s="69">
        <f>IF($J675="","",IFERROR(INDEX(B!$K$2:$K$61,MATCH($J675,B!$E$2:$E$61,0))&amp;"",""))</f>
        <v/>
      </c>
      <c r="T675" s="69">
        <f>IF($J675="","",IFERROR(INDEX(B!$L$2:$L$61,MATCH($J675,B!$E$2:$E$61,0))&amp;"",""))</f>
        <v/>
      </c>
      <c r="U675" s="20" t="n"/>
      <c r="V675" s="70">
        <f>IF($J675="","",IFERROR(INDEX(B!$M$2:$M$61,MATCH($J675,B!$E$2:$E$61,0))&amp;"",""))</f>
        <v/>
      </c>
      <c r="W675" s="71">
        <f>IF(I675="","",IFERROR(MID(I675,FIND("/d/",I675)+3,FIND("/edit",I675)-FIND("/d/",I675)-3),I675))</f>
        <v/>
      </c>
      <c r="X675" s="71">
        <f>IF($J675="","",IFERROR(INDEX(B!$C$2:$C$61,MATCH($J675,B!$E$2:$E$61,0))&amp;"",""))</f>
        <v/>
      </c>
      <c r="Y675" s="20" t="n"/>
      <c r="Z675" s="72">
        <f>IF($J675="",FALSE,ISNUMBER(SEARCH("scout",$K675)))</f>
        <v/>
      </c>
      <c r="AA675" s="72">
        <f>IF($J675="",FALSE,IFERROR(INDEX(B!$N$2:$N$61,MATCH($J675,B!$E$2:$E$61,0))="Sim",FALSE))</f>
        <v/>
      </c>
      <c r="AB675" s="72">
        <f>IF($J675="",FALSE,LEFT($X675,2)="XX")</f>
        <v/>
      </c>
      <c r="AC675" s="72">
        <f>IF($J675="",FALSE,IFERROR(INDEX(B!$P$2:$P$61,MATCH($J675,B!$E$2:$E$61,0))="Sim",FALSE))</f>
        <v/>
      </c>
      <c r="AD675" s="20" t="n"/>
      <c r="AE675" s="52">
        <f>IF(H675="","",HOUR(H675))</f>
        <v/>
      </c>
      <c r="AF675" s="52" t="n"/>
    </row>
    <row r="676" ht="19.5" customHeight="1" s="58">
      <c r="A676" s="62">
        <f>IF(G676="","",IF(G676=G675,"",COUNTIF($G$3:$G$976,G676)))</f>
        <v/>
      </c>
      <c r="B676" s="20" t="n"/>
      <c r="C676" s="63">
        <f>IF(G676="","",DAY(G676))</f>
        <v/>
      </c>
      <c r="D676" s="63">
        <f>IF(G676="","",MONTH(G676))</f>
        <v/>
      </c>
      <c r="E676" s="63">
        <f>IF(G676="","",YEAR(G676))</f>
        <v/>
      </c>
      <c r="F676" s="33">
        <f>IF(G676="","",CHOOSE(MONTH(G676),"Janeiro","Fevereiro","Março","Abril","Maio","Junho","Julho","Agosto","Setembro","Outubro","Novembro","Dezembro"))</f>
        <v/>
      </c>
      <c r="G676" s="64" t="n">
        <v>46075</v>
      </c>
      <c r="H676" s="65" t="n">
        <v>0.01042824074074074</v>
      </c>
      <c r="I676" s="66" t="inlineStr">
        <is>
          <t>https://docs.google.com/spreadsheets/d/1ZiCGoPjLCjuYvujDTXK9Ixbth3tekiLtFBzBrGjPCr4/edit?gid=0#gid=0</t>
        </is>
      </c>
      <c r="J676" s="67" t="inlineStr">
        <is>
          <t>Viagem Calculada Incorretamente - [VCI]</t>
        </is>
      </c>
      <c r="K676" s="67" t="inlineStr"/>
      <c r="L676" s="68" t="b">
        <v>0</v>
      </c>
      <c r="M676" s="20" t="n"/>
      <c r="N676" s="69">
        <f>IF($J676="","",IFERROR(INDEX(B!$F$2:$F$61,MATCH($J676,B!$E$2:$E$61,0))&amp;"",""))</f>
        <v/>
      </c>
      <c r="O676" s="69">
        <f>IF($J676="","",IFERROR(INDEX(B!$G$2:$G$61,MATCH($J676,B!$E$2:$E$61,0))&amp;"",""))</f>
        <v/>
      </c>
      <c r="P676" s="69">
        <f>IF($J676="","",IFERROR(INDEX(B!$H$2:$H$61,MATCH($J676,B!$E$2:$E$61,0))&amp;"",""))</f>
        <v/>
      </c>
      <c r="Q676" s="69">
        <f>IF($J676="","",IFERROR(INDEX(B!$I$2:$I$61,MATCH($J676,B!$E$2:$E$61,0))&amp;"",""))</f>
        <v/>
      </c>
      <c r="R676" s="69">
        <f>IF($J676="","",IFERROR(INDEX(B!$J$2:$J$61,MATCH($J676,B!$E$2:$E$61,0))&amp;"",""))</f>
        <v/>
      </c>
      <c r="S676" s="69">
        <f>IF($J676="","",IFERROR(INDEX(B!$K$2:$K$61,MATCH($J676,B!$E$2:$E$61,0))&amp;"",""))</f>
        <v/>
      </c>
      <c r="T676" s="69">
        <f>IF($J676="","",IFERROR(INDEX(B!$L$2:$L$61,MATCH($J676,B!$E$2:$E$61,0))&amp;"",""))</f>
        <v/>
      </c>
      <c r="U676" s="20" t="n"/>
      <c r="V676" s="70">
        <f>IF($J676="","",IFERROR(INDEX(B!$M$2:$M$61,MATCH($J676,B!$E$2:$E$61,0))&amp;"",""))</f>
        <v/>
      </c>
      <c r="W676" s="71">
        <f>IF(I676="","",IFERROR(MID(I676,FIND("/d/",I676)+3,FIND("/edit",I676)-FIND("/d/",I676)-3),I676))</f>
        <v/>
      </c>
      <c r="X676" s="71">
        <f>IF($J676="","",IFERROR(INDEX(B!$C$2:$C$61,MATCH($J676,B!$E$2:$E$61,0))&amp;"",""))</f>
        <v/>
      </c>
      <c r="Y676" s="20" t="n"/>
      <c r="Z676" s="72">
        <f>IF($J676="",FALSE,ISNUMBER(SEARCH("scout",$K676)))</f>
        <v/>
      </c>
      <c r="AA676" s="72">
        <f>IF($J676="",FALSE,IFERROR(INDEX(B!$N$2:$N$61,MATCH($J676,B!$E$2:$E$61,0))="Sim",FALSE))</f>
        <v/>
      </c>
      <c r="AB676" s="72">
        <f>IF($J676="",FALSE,LEFT($X676,2)="XX")</f>
        <v/>
      </c>
      <c r="AC676" s="72">
        <f>IF($J676="",FALSE,IFERROR(INDEX(B!$P$2:$P$61,MATCH($J676,B!$E$2:$E$61,0))="Sim",FALSE))</f>
        <v/>
      </c>
      <c r="AD676" s="20" t="n"/>
      <c r="AE676" s="52">
        <f>IF(H676="","",HOUR(H676))</f>
        <v/>
      </c>
      <c r="AF676" s="52" t="n"/>
    </row>
    <row r="677" ht="19.5" customHeight="1" s="58">
      <c r="A677" s="62">
        <f>IF(G677="","",IF(G677=G676,"",COUNTIF($G$3:$G$976,G677)))</f>
        <v/>
      </c>
      <c r="B677" s="20" t="n"/>
      <c r="C677" s="63">
        <f>IF(G677="","",DAY(G677))</f>
        <v/>
      </c>
      <c r="D677" s="63">
        <f>IF(G677="","",MONTH(G677))</f>
        <v/>
      </c>
      <c r="E677" s="63">
        <f>IF(G677="","",YEAR(G677))</f>
        <v/>
      </c>
      <c r="F677" s="33">
        <f>IF(G677="","",CHOOSE(MONTH(G677),"Janeiro","Fevereiro","Março","Abril","Maio","Junho","Julho","Agosto","Setembro","Outubro","Novembro","Dezembro"))</f>
        <v/>
      </c>
      <c r="G677" s="64" t="n">
        <v>46075</v>
      </c>
      <c r="H677" s="65" t="n">
        <v>0.01289351851851852</v>
      </c>
      <c r="I677" s="66" t="inlineStr">
        <is>
          <t>https://docs.google.com/spreadsheets/d/1ZiCGoPjLCjuYvujDTXK9Ixbth3tekiLtFBzBrGjPCr4/edit?gid=0#gid=0</t>
        </is>
      </c>
      <c r="J677" s="67" t="inlineStr">
        <is>
          <t>Outros Valores Retidos (Pedágio, Cartão, Taxa de Cancelamento...) - [OTV]</t>
        </is>
      </c>
      <c r="K677" s="67" t="inlineStr"/>
      <c r="L677" s="68" t="b">
        <v>0</v>
      </c>
      <c r="M677" s="20" t="n"/>
      <c r="N677" s="69">
        <f>IF($J677="","",IFERROR(INDEX(B!$F$2:$F$61,MATCH($J677,B!$E$2:$E$61,0))&amp;"",""))</f>
        <v/>
      </c>
      <c r="O677" s="69">
        <f>IF($J677="","",IFERROR(INDEX(B!$G$2:$G$61,MATCH($J677,B!$E$2:$E$61,0))&amp;"",""))</f>
        <v/>
      </c>
      <c r="P677" s="69">
        <f>IF($J677="","",IFERROR(INDEX(B!$H$2:$H$61,MATCH($J677,B!$E$2:$E$61,0))&amp;"",""))</f>
        <v/>
      </c>
      <c r="Q677" s="69">
        <f>IF($J677="","",IFERROR(INDEX(B!$I$2:$I$61,MATCH($J677,B!$E$2:$E$61,0))&amp;"",""))</f>
        <v/>
      </c>
      <c r="R677" s="69">
        <f>IF($J677="","",IFERROR(INDEX(B!$J$2:$J$61,MATCH($J677,B!$E$2:$E$61,0))&amp;"",""))</f>
        <v/>
      </c>
      <c r="S677" s="69">
        <f>IF($J677="","",IFERROR(INDEX(B!$K$2:$K$61,MATCH($J677,B!$E$2:$E$61,0))&amp;"",""))</f>
        <v/>
      </c>
      <c r="T677" s="69">
        <f>IF($J677="","",IFERROR(INDEX(B!$L$2:$L$61,MATCH($J677,B!$E$2:$E$61,0))&amp;"",""))</f>
        <v/>
      </c>
      <c r="U677" s="20" t="n"/>
      <c r="V677" s="70">
        <f>IF($J677="","",IFERROR(INDEX(B!$M$2:$M$61,MATCH($J677,B!$E$2:$E$61,0))&amp;"",""))</f>
        <v/>
      </c>
      <c r="W677" s="71">
        <f>IF(I677="","",IFERROR(MID(I677,FIND("/d/",I677)+3,FIND("/edit",I677)-FIND("/d/",I677)-3),I677))</f>
        <v/>
      </c>
      <c r="X677" s="71">
        <f>IF($J677="","",IFERROR(INDEX(B!$C$2:$C$61,MATCH($J677,B!$E$2:$E$61,0))&amp;"",""))</f>
        <v/>
      </c>
      <c r="Y677" s="20" t="n"/>
      <c r="Z677" s="72">
        <f>IF($J677="",FALSE,ISNUMBER(SEARCH("scout",$K677)))</f>
        <v/>
      </c>
      <c r="AA677" s="72">
        <f>IF($J677="",FALSE,IFERROR(INDEX(B!$N$2:$N$61,MATCH($J677,B!$E$2:$E$61,0))="Sim",FALSE))</f>
        <v/>
      </c>
      <c r="AB677" s="72">
        <f>IF($J677="",FALSE,LEFT($X677,2)="XX")</f>
        <v/>
      </c>
      <c r="AC677" s="72">
        <f>IF($J677="",FALSE,IFERROR(INDEX(B!$P$2:$P$61,MATCH($J677,B!$E$2:$E$61,0))="Sim",FALSE))</f>
        <v/>
      </c>
      <c r="AD677" s="20" t="n"/>
      <c r="AE677" s="52">
        <f>IF(H677="","",HOUR(H677))</f>
        <v/>
      </c>
      <c r="AF677" s="52" t="n"/>
    </row>
    <row r="678" ht="19.5" customHeight="1" s="58">
      <c r="A678" s="62">
        <f>IF(G678="","",IF(G678=G677,"",COUNTIF($G$3:$G$976,G678)))</f>
        <v/>
      </c>
      <c r="B678" s="20" t="n"/>
      <c r="C678" s="63">
        <f>IF(G678="","",DAY(G678))</f>
        <v/>
      </c>
      <c r="D678" s="63">
        <f>IF(G678="","",MONTH(G678))</f>
        <v/>
      </c>
      <c r="E678" s="63">
        <f>IF(G678="","",YEAR(G678))</f>
        <v/>
      </c>
      <c r="F678" s="33">
        <f>IF(G678="","",CHOOSE(MONTH(G678),"Janeiro","Fevereiro","Março","Abril","Maio","Junho","Julho","Agosto","Setembro","Outubro","Novembro","Dezembro"))</f>
        <v/>
      </c>
      <c r="G678" s="64" t="n">
        <v>46075</v>
      </c>
      <c r="H678" s="65" t="n">
        <v>0.01324074074074074</v>
      </c>
      <c r="I678" s="66" t="inlineStr">
        <is>
          <t>https://docs.google.com/spreadsheets/d/1ZiCGoPjLCjuYvujDTXK9Ixbth3tekiLtFBzBrGjPCr4/edit?gid=0#gid=0</t>
        </is>
      </c>
      <c r="J678" s="67" t="inlineStr">
        <is>
          <t>No Need Response (Não precisa de resposta) - [NRN]</t>
        </is>
      </c>
      <c r="K678" s="67" t="inlineStr">
        <is>
          <t>Scout</t>
        </is>
      </c>
      <c r="L678" s="68" t="b">
        <v>1</v>
      </c>
      <c r="M678" s="20" t="n"/>
      <c r="N678" s="69">
        <f>IF($J678="","",IFERROR(INDEX(B!$F$2:$F$61,MATCH($J678,B!$E$2:$E$61,0))&amp;"",""))</f>
        <v/>
      </c>
      <c r="O678" s="69">
        <f>IF($J678="","",IFERROR(INDEX(B!$G$2:$G$61,MATCH($J678,B!$E$2:$E$61,0))&amp;"",""))</f>
        <v/>
      </c>
      <c r="P678" s="69">
        <f>IF($J678="","",IFERROR(INDEX(B!$H$2:$H$61,MATCH($J678,B!$E$2:$E$61,0))&amp;"",""))</f>
        <v/>
      </c>
      <c r="Q678" s="69">
        <f>IF($J678="","",IFERROR(INDEX(B!$I$2:$I$61,MATCH($J678,B!$E$2:$E$61,0))&amp;"",""))</f>
        <v/>
      </c>
      <c r="R678" s="69">
        <f>IF($J678="","",IFERROR(INDEX(B!$J$2:$J$61,MATCH($J678,B!$E$2:$E$61,0))&amp;"",""))</f>
        <v/>
      </c>
      <c r="S678" s="69">
        <f>IF($J678="","",IFERROR(INDEX(B!$K$2:$K$61,MATCH($J678,B!$E$2:$E$61,0))&amp;"",""))</f>
        <v/>
      </c>
      <c r="T678" s="69">
        <f>IF($J678="","",IFERROR(INDEX(B!$L$2:$L$61,MATCH($J678,B!$E$2:$E$61,0))&amp;"",""))</f>
        <v/>
      </c>
      <c r="U678" s="20" t="n"/>
      <c r="V678" s="70">
        <f>IF($J678="","",IFERROR(INDEX(B!$M$2:$M$61,MATCH($J678,B!$E$2:$E$61,0))&amp;"",""))</f>
        <v/>
      </c>
      <c r="W678" s="71">
        <f>IF(I678="","",IFERROR(MID(I678,FIND("/d/",I678)+3,FIND("/edit",I678)-FIND("/d/",I678)-3),I678))</f>
        <v/>
      </c>
      <c r="X678" s="71">
        <f>IF($J678="","",IFERROR(INDEX(B!$C$2:$C$61,MATCH($J678,B!$E$2:$E$61,0))&amp;"",""))</f>
        <v/>
      </c>
      <c r="Y678" s="20" t="n"/>
      <c r="Z678" s="72">
        <f>IF($J678="",FALSE,ISNUMBER(SEARCH("scout",$K678)))</f>
        <v/>
      </c>
      <c r="AA678" s="72">
        <f>IF($J678="",FALSE,IFERROR(INDEX(B!$N$2:$N$61,MATCH($J678,B!$E$2:$E$61,0))="Sim",FALSE))</f>
        <v/>
      </c>
      <c r="AB678" s="72">
        <f>IF($J678="",FALSE,LEFT($X678,2)="XX")</f>
        <v/>
      </c>
      <c r="AC678" s="72">
        <f>IF($J678="",FALSE,IFERROR(INDEX(B!$P$2:$P$61,MATCH($J678,B!$E$2:$E$61,0))="Sim",FALSE))</f>
        <v/>
      </c>
      <c r="AD678" s="20" t="n"/>
      <c r="AE678" s="52">
        <f>IF(H678="","",HOUR(H678))</f>
        <v/>
      </c>
      <c r="AF678" s="52" t="n"/>
    </row>
    <row r="679" ht="19.5" customHeight="1" s="58">
      <c r="A679" s="62">
        <f>IF(G679="","",IF(G679=G678,"",COUNTIF($G$3:$G$976,G679)))</f>
        <v/>
      </c>
      <c r="B679" s="20" t="n"/>
      <c r="C679" s="63">
        <f>IF(G679="","",DAY(G679))</f>
        <v/>
      </c>
      <c r="D679" s="63">
        <f>IF(G679="","",MONTH(G679))</f>
        <v/>
      </c>
      <c r="E679" s="63">
        <f>IF(G679="","",YEAR(G679))</f>
        <v/>
      </c>
      <c r="F679" s="33">
        <f>IF(G679="","",CHOOSE(MONTH(G679),"Janeiro","Fevereiro","Março","Abril","Maio","Junho","Julho","Agosto","Setembro","Outubro","Novembro","Dezembro"))</f>
        <v/>
      </c>
      <c r="G679" s="64" t="n">
        <v>46075</v>
      </c>
      <c r="H679" s="65" t="n">
        <v>0.03621527777777778</v>
      </c>
      <c r="I679" s="66" t="inlineStr">
        <is>
          <t>https://docs.google.com/spreadsheets/d/1ZiCGoPjLCjuYvujDTXK9Ixbth3tekiLtFBzBrGjPCr4/edit?gid=0#gid=0</t>
        </is>
      </c>
      <c r="J679" s="67" t="inlineStr">
        <is>
          <t>Não houve Taxa de Cancelamento - [NTX]</t>
        </is>
      </c>
      <c r="K679" s="67" t="inlineStr"/>
      <c r="L679" s="68" t="b">
        <v>0</v>
      </c>
      <c r="M679" s="20" t="n"/>
      <c r="N679" s="69">
        <f>IF($J679="","",IFERROR(INDEX(B!$F$2:$F$61,MATCH($J679,B!$E$2:$E$61,0))&amp;"",""))</f>
        <v/>
      </c>
      <c r="O679" s="69">
        <f>IF($J679="","",IFERROR(INDEX(B!$G$2:$G$61,MATCH($J679,B!$E$2:$E$61,0))&amp;"",""))</f>
        <v/>
      </c>
      <c r="P679" s="69">
        <f>IF($J679="","",IFERROR(INDEX(B!$H$2:$H$61,MATCH($J679,B!$E$2:$E$61,0))&amp;"",""))</f>
        <v/>
      </c>
      <c r="Q679" s="69">
        <f>IF($J679="","",IFERROR(INDEX(B!$I$2:$I$61,MATCH($J679,B!$E$2:$E$61,0))&amp;"",""))</f>
        <v/>
      </c>
      <c r="R679" s="69">
        <f>IF($J679="","",IFERROR(INDEX(B!$J$2:$J$61,MATCH($J679,B!$E$2:$E$61,0))&amp;"",""))</f>
        <v/>
      </c>
      <c r="S679" s="69">
        <f>IF($J679="","",IFERROR(INDEX(B!$K$2:$K$61,MATCH($J679,B!$E$2:$E$61,0))&amp;"",""))</f>
        <v/>
      </c>
      <c r="T679" s="69">
        <f>IF($J679="","",IFERROR(INDEX(B!$L$2:$L$61,MATCH($J679,B!$E$2:$E$61,0))&amp;"",""))</f>
        <v/>
      </c>
      <c r="U679" s="20" t="n"/>
      <c r="V679" s="70">
        <f>IF($J679="","",IFERROR(INDEX(B!$M$2:$M$61,MATCH($J679,B!$E$2:$E$61,0))&amp;"",""))</f>
        <v/>
      </c>
      <c r="W679" s="71">
        <f>IF(I679="","",IFERROR(MID(I679,FIND("/d/",I679)+3,FIND("/edit",I679)-FIND("/d/",I679)-3),I679))</f>
        <v/>
      </c>
      <c r="X679" s="71">
        <f>IF($J679="","",IFERROR(INDEX(B!$C$2:$C$61,MATCH($J679,B!$E$2:$E$61,0))&amp;"",""))</f>
        <v/>
      </c>
      <c r="Y679" s="20" t="n"/>
      <c r="Z679" s="72">
        <f>IF($J679="",FALSE,ISNUMBER(SEARCH("scout",$K679)))</f>
        <v/>
      </c>
      <c r="AA679" s="72">
        <f>IF($J679="",FALSE,IFERROR(INDEX(B!$N$2:$N$61,MATCH($J679,B!$E$2:$E$61,0))="Sim",FALSE))</f>
        <v/>
      </c>
      <c r="AB679" s="72">
        <f>IF($J679="",FALSE,LEFT($X679,2)="XX")</f>
        <v/>
      </c>
      <c r="AC679" s="72">
        <f>IF($J679="",FALSE,IFERROR(INDEX(B!$P$2:$P$61,MATCH($J679,B!$E$2:$E$61,0))="Sim",FALSE))</f>
        <v/>
      </c>
      <c r="AD679" s="20" t="n"/>
      <c r="AE679" s="52">
        <f>IF(H679="","",HOUR(H679))</f>
        <v/>
      </c>
      <c r="AF679" s="52" t="n"/>
    </row>
    <row r="680" ht="19.5" customHeight="1" s="58">
      <c r="A680" s="62">
        <f>IF(G680="","",IF(G680=G679,"",COUNTIF($G$3:$G$976,G680)))</f>
        <v/>
      </c>
      <c r="B680" s="20" t="n"/>
      <c r="C680" s="63">
        <f>IF(G680="","",DAY(G680))</f>
        <v/>
      </c>
      <c r="D680" s="63">
        <f>IF(G680="","",MONTH(G680))</f>
        <v/>
      </c>
      <c r="E680" s="63">
        <f>IF(G680="","",YEAR(G680))</f>
        <v/>
      </c>
      <c r="F680" s="33">
        <f>IF(G680="","",CHOOSE(MONTH(G680),"Janeiro","Fevereiro","Março","Abril","Maio","Junho","Julho","Agosto","Setembro","Outubro","Novembro","Dezembro"))</f>
        <v/>
      </c>
      <c r="G680" s="64" t="n">
        <v>46075</v>
      </c>
      <c r="H680" s="65" t="n">
        <v>0.03923611111111111</v>
      </c>
      <c r="I680" s="66" t="inlineStr">
        <is>
          <t>https://docs.google.com/spreadsheets/d/1ZiCGoPjLCjuYvujDTXK9Ixbth3tekiLtFBzBrGjPCr4/edit?gid=0#gid=0</t>
        </is>
      </c>
      <c r="J680" s="67" t="inlineStr">
        <is>
          <t>Viagem Calculada Incorretamente - [VCI]</t>
        </is>
      </c>
      <c r="K680" s="67" t="inlineStr">
        <is>
          <t>Scout</t>
        </is>
      </c>
      <c r="L680" s="68" t="b">
        <v>0</v>
      </c>
      <c r="M680" s="20" t="n"/>
      <c r="N680" s="69">
        <f>IF($J680="","",IFERROR(INDEX(B!$F$2:$F$61,MATCH($J680,B!$E$2:$E$61,0))&amp;"",""))</f>
        <v/>
      </c>
      <c r="O680" s="69">
        <f>IF($J680="","",IFERROR(INDEX(B!$G$2:$G$61,MATCH($J680,B!$E$2:$E$61,0))&amp;"",""))</f>
        <v/>
      </c>
      <c r="P680" s="69">
        <f>IF($J680="","",IFERROR(INDEX(B!$H$2:$H$61,MATCH($J680,B!$E$2:$E$61,0))&amp;"",""))</f>
        <v/>
      </c>
      <c r="Q680" s="69">
        <f>IF($J680="","",IFERROR(INDEX(B!$I$2:$I$61,MATCH($J680,B!$E$2:$E$61,0))&amp;"",""))</f>
        <v/>
      </c>
      <c r="R680" s="69">
        <f>IF($J680="","",IFERROR(INDEX(B!$J$2:$J$61,MATCH($J680,B!$E$2:$E$61,0))&amp;"",""))</f>
        <v/>
      </c>
      <c r="S680" s="69">
        <f>IF($J680="","",IFERROR(INDEX(B!$K$2:$K$61,MATCH($J680,B!$E$2:$E$61,0))&amp;"",""))</f>
        <v/>
      </c>
      <c r="T680" s="69">
        <f>IF($J680="","",IFERROR(INDEX(B!$L$2:$L$61,MATCH($J680,B!$E$2:$E$61,0))&amp;"",""))</f>
        <v/>
      </c>
      <c r="U680" s="20" t="n"/>
      <c r="V680" s="70">
        <f>IF($J680="","",IFERROR(INDEX(B!$M$2:$M$61,MATCH($J680,B!$E$2:$E$61,0))&amp;"",""))</f>
        <v/>
      </c>
      <c r="W680" s="71">
        <f>IF(I680="","",IFERROR(MID(I680,FIND("/d/",I680)+3,FIND("/edit",I680)-FIND("/d/",I680)-3),I680))</f>
        <v/>
      </c>
      <c r="X680" s="71">
        <f>IF($J680="","",IFERROR(INDEX(B!$C$2:$C$61,MATCH($J680,B!$E$2:$E$61,0))&amp;"",""))</f>
        <v/>
      </c>
      <c r="Y680" s="20" t="n"/>
      <c r="Z680" s="72">
        <f>IF($J680="",FALSE,ISNUMBER(SEARCH("scout",$K680)))</f>
        <v/>
      </c>
      <c r="AA680" s="72">
        <f>IF($J680="",FALSE,IFERROR(INDEX(B!$N$2:$N$61,MATCH($J680,B!$E$2:$E$61,0))="Sim",FALSE))</f>
        <v/>
      </c>
      <c r="AB680" s="72">
        <f>IF($J680="",FALSE,LEFT($X680,2)="XX")</f>
        <v/>
      </c>
      <c r="AC680" s="72">
        <f>IF($J680="",FALSE,IFERROR(INDEX(B!$P$2:$P$61,MATCH($J680,B!$E$2:$E$61,0))="Sim",FALSE))</f>
        <v/>
      </c>
      <c r="AD680" s="20" t="n"/>
      <c r="AE680" s="52">
        <f>IF(H680="","",HOUR(H680))</f>
        <v/>
      </c>
      <c r="AF680" s="52" t="n"/>
    </row>
    <row r="681" ht="19.5" customHeight="1" s="58">
      <c r="A681" s="62">
        <f>IF(G681="","",IF(G681=G680,"",COUNTIF($G$3:$G$976,G681)))</f>
        <v/>
      </c>
      <c r="B681" s="20" t="n"/>
      <c r="C681" s="63">
        <f>IF(G681="","",DAY(G681))</f>
        <v/>
      </c>
      <c r="D681" s="63">
        <f>IF(G681="","",MONTH(G681))</f>
        <v/>
      </c>
      <c r="E681" s="63">
        <f>IF(G681="","",YEAR(G681))</f>
        <v/>
      </c>
      <c r="F681" s="33">
        <f>IF(G681="","",CHOOSE(MONTH(G681),"Janeiro","Fevereiro","Março","Abril","Maio","Junho","Julho","Agosto","Setembro","Outubro","Novembro","Dezembro"))</f>
        <v/>
      </c>
      <c r="G681" s="64" t="n">
        <v>46075</v>
      </c>
      <c r="H681" s="65" t="n">
        <v>0.04143518518518519</v>
      </c>
      <c r="I681" s="66" t="inlineStr">
        <is>
          <t>https://docs.google.com/spreadsheets/d/1ZiCGoPjLCjuYvujDTXK9Ixbth3tekiLtFBzBrGjPCr4/edit?gid=0#gid=0</t>
        </is>
      </c>
      <c r="J681" s="67" t="inlineStr">
        <is>
          <t>Erro de Gps (Problema Técnico) - [GPS]</t>
        </is>
      </c>
      <c r="K681" s="67" t="inlineStr"/>
      <c r="L681" s="68" t="b">
        <v>0</v>
      </c>
      <c r="M681" s="20" t="n"/>
      <c r="N681" s="69">
        <f>IF($J681="","",IFERROR(INDEX(B!$F$2:$F$61,MATCH($J681,B!$E$2:$E$61,0))&amp;"",""))</f>
        <v/>
      </c>
      <c r="O681" s="69">
        <f>IF($J681="","",IFERROR(INDEX(B!$G$2:$G$61,MATCH($J681,B!$E$2:$E$61,0))&amp;"",""))</f>
        <v/>
      </c>
      <c r="P681" s="69">
        <f>IF($J681="","",IFERROR(INDEX(B!$H$2:$H$61,MATCH($J681,B!$E$2:$E$61,0))&amp;"",""))</f>
        <v/>
      </c>
      <c r="Q681" s="69">
        <f>IF($J681="","",IFERROR(INDEX(B!$I$2:$I$61,MATCH($J681,B!$E$2:$E$61,0))&amp;"",""))</f>
        <v/>
      </c>
      <c r="R681" s="69">
        <f>IF($J681="","",IFERROR(INDEX(B!$J$2:$J$61,MATCH($J681,B!$E$2:$E$61,0))&amp;"",""))</f>
        <v/>
      </c>
      <c r="S681" s="69">
        <f>IF($J681="","",IFERROR(INDEX(B!$K$2:$K$61,MATCH($J681,B!$E$2:$E$61,0))&amp;"",""))</f>
        <v/>
      </c>
      <c r="T681" s="69">
        <f>IF($J681="","",IFERROR(INDEX(B!$L$2:$L$61,MATCH($J681,B!$E$2:$E$61,0))&amp;"",""))</f>
        <v/>
      </c>
      <c r="U681" s="20" t="n"/>
      <c r="V681" s="70">
        <f>IF($J681="","",IFERROR(INDEX(B!$M$2:$M$61,MATCH($J681,B!$E$2:$E$61,0))&amp;"",""))</f>
        <v/>
      </c>
      <c r="W681" s="71">
        <f>IF(I681="","",IFERROR(MID(I681,FIND("/d/",I681)+3,FIND("/edit",I681)-FIND("/d/",I681)-3),I681))</f>
        <v/>
      </c>
      <c r="X681" s="71">
        <f>IF($J681="","",IFERROR(INDEX(B!$C$2:$C$61,MATCH($J681,B!$E$2:$E$61,0))&amp;"",""))</f>
        <v/>
      </c>
      <c r="Y681" s="20" t="n"/>
      <c r="Z681" s="72">
        <f>IF($J681="",FALSE,ISNUMBER(SEARCH("scout",$K681)))</f>
        <v/>
      </c>
      <c r="AA681" s="72">
        <f>IF($J681="",FALSE,IFERROR(INDEX(B!$N$2:$N$61,MATCH($J681,B!$E$2:$E$61,0))="Sim",FALSE))</f>
        <v/>
      </c>
      <c r="AB681" s="72">
        <f>IF($J681="",FALSE,LEFT($X681,2)="XX")</f>
        <v/>
      </c>
      <c r="AC681" s="72">
        <f>IF($J681="",FALSE,IFERROR(INDEX(B!$P$2:$P$61,MATCH($J681,B!$E$2:$E$61,0))="Sim",FALSE))</f>
        <v/>
      </c>
      <c r="AD681" s="20" t="n"/>
      <c r="AE681" s="52">
        <f>IF(H681="","",HOUR(H681))</f>
        <v/>
      </c>
      <c r="AF681" s="52" t="n"/>
    </row>
    <row r="682" ht="19.5" customHeight="1" s="58">
      <c r="A682" s="62">
        <f>IF(G682="","",IF(G682=G681,"",COUNTIF($G$3:$G$976,G682)))</f>
        <v/>
      </c>
      <c r="B682" s="20" t="n"/>
      <c r="C682" s="63">
        <f>IF(G682="","",DAY(G682))</f>
        <v/>
      </c>
      <c r="D682" s="63">
        <f>IF(G682="","",MONTH(G682))</f>
        <v/>
      </c>
      <c r="E682" s="63">
        <f>IF(G682="","",YEAR(G682))</f>
        <v/>
      </c>
      <c r="F682" s="33">
        <f>IF(G682="","",CHOOSE(MONTH(G682),"Janeiro","Fevereiro","Março","Abril","Maio","Junho","Julho","Agosto","Setembro","Outubro","Novembro","Dezembro"))</f>
        <v/>
      </c>
      <c r="G682" s="64" t="n">
        <v>46075</v>
      </c>
      <c r="H682" s="65" t="n">
        <v>0.05180555555555556</v>
      </c>
      <c r="I682" s="66" t="inlineStr">
        <is>
          <t>https://docs.google.com/spreadsheets/d/1ZiCGoPjLCjuYvujDTXK9Ixbth3tekiLtFBzBrGjPCr4/edit?gid=0#gid=0</t>
        </is>
      </c>
      <c r="J682" s="67" t="inlineStr">
        <is>
          <t>Taxa de Limpeza, Sem ajustes - [TXLO]</t>
        </is>
      </c>
      <c r="K682" s="67" t="inlineStr">
        <is>
          <t>Scout</t>
        </is>
      </c>
      <c r="L682" s="68" t="b">
        <v>0</v>
      </c>
      <c r="M682" s="20" t="n"/>
      <c r="N682" s="69">
        <f>IF($J682="","",IFERROR(INDEX(B!$F$2:$F$61,MATCH($J682,B!$E$2:$E$61,0))&amp;"",""))</f>
        <v/>
      </c>
      <c r="O682" s="69">
        <f>IF($J682="","",IFERROR(INDEX(B!$G$2:$G$61,MATCH($J682,B!$E$2:$E$61,0))&amp;"",""))</f>
        <v/>
      </c>
      <c r="P682" s="69">
        <f>IF($J682="","",IFERROR(INDEX(B!$H$2:$H$61,MATCH($J682,B!$E$2:$E$61,0))&amp;"",""))</f>
        <v/>
      </c>
      <c r="Q682" s="69">
        <f>IF($J682="","",IFERROR(INDEX(B!$I$2:$I$61,MATCH($J682,B!$E$2:$E$61,0))&amp;"",""))</f>
        <v/>
      </c>
      <c r="R682" s="69">
        <f>IF($J682="","",IFERROR(INDEX(B!$J$2:$J$61,MATCH($J682,B!$E$2:$E$61,0))&amp;"",""))</f>
        <v/>
      </c>
      <c r="S682" s="69">
        <f>IF($J682="","",IFERROR(INDEX(B!$K$2:$K$61,MATCH($J682,B!$E$2:$E$61,0))&amp;"",""))</f>
        <v/>
      </c>
      <c r="T682" s="69">
        <f>IF($J682="","",IFERROR(INDEX(B!$L$2:$L$61,MATCH($J682,B!$E$2:$E$61,0))&amp;"",""))</f>
        <v/>
      </c>
      <c r="U682" s="20" t="n"/>
      <c r="V682" s="70">
        <f>IF($J682="","",IFERROR(INDEX(B!$M$2:$M$61,MATCH($J682,B!$E$2:$E$61,0))&amp;"",""))</f>
        <v/>
      </c>
      <c r="W682" s="71">
        <f>IF(I682="","",IFERROR(MID(I682,FIND("/d/",I682)+3,FIND("/edit",I682)-FIND("/d/",I682)-3),I682))</f>
        <v/>
      </c>
      <c r="X682" s="71">
        <f>IF($J682="","",IFERROR(INDEX(B!$C$2:$C$61,MATCH($J682,B!$E$2:$E$61,0))&amp;"",""))</f>
        <v/>
      </c>
      <c r="Y682" s="20" t="n"/>
      <c r="Z682" s="72">
        <f>IF($J682="",FALSE,ISNUMBER(SEARCH("scout",$K682)))</f>
        <v/>
      </c>
      <c r="AA682" s="72">
        <f>IF($J682="",FALSE,IFERROR(INDEX(B!$N$2:$N$61,MATCH($J682,B!$E$2:$E$61,0))="Sim",FALSE))</f>
        <v/>
      </c>
      <c r="AB682" s="72">
        <f>IF($J682="",FALSE,LEFT($X682,2)="XX")</f>
        <v/>
      </c>
      <c r="AC682" s="72">
        <f>IF($J682="",FALSE,IFERROR(INDEX(B!$P$2:$P$61,MATCH($J682,B!$E$2:$E$61,0))="Sim",FALSE))</f>
        <v/>
      </c>
      <c r="AD682" s="20" t="n"/>
      <c r="AE682" s="52">
        <f>IF(H682="","",HOUR(H682))</f>
        <v/>
      </c>
      <c r="AF682" s="52" t="n"/>
    </row>
    <row r="683" ht="19.5" customHeight="1" s="58">
      <c r="A683" s="62">
        <f>IF(G683="","",IF(G683=G682,"",COUNTIF($G$3:$G$976,G683)))</f>
        <v/>
      </c>
      <c r="B683" s="20" t="n"/>
      <c r="C683" s="63">
        <f>IF(G683="","",DAY(G683))</f>
        <v/>
      </c>
      <c r="D683" s="63">
        <f>IF(G683="","",MONTH(G683))</f>
        <v/>
      </c>
      <c r="E683" s="63">
        <f>IF(G683="","",YEAR(G683))</f>
        <v/>
      </c>
      <c r="F683" s="33">
        <f>IF(G683="","",CHOOSE(MONTH(G683),"Janeiro","Fevereiro","Março","Abril","Maio","Junho","Julho","Agosto","Setembro","Outubro","Novembro","Dezembro"))</f>
        <v/>
      </c>
      <c r="G683" s="64" t="n">
        <v>46075</v>
      </c>
      <c r="H683" s="65" t="n">
        <v>0.05273148148148148</v>
      </c>
      <c r="I683" s="66" t="inlineStr">
        <is>
          <t>https://docs.google.com/spreadsheets/d/1ZiCGoPjLCjuYvujDTXK9Ixbth3tekiLtFBzBrGjPCr4/edit?gid=0#gid=0</t>
        </is>
      </c>
      <c r="J683" s="67" t="inlineStr">
        <is>
          <t>Pushback (Agradecimento) - [XXA]</t>
        </is>
      </c>
      <c r="K683" s="67" t="inlineStr">
        <is>
          <t>Scout</t>
        </is>
      </c>
      <c r="L683" s="68" t="b">
        <v>0</v>
      </c>
      <c r="M683" s="20" t="n"/>
      <c r="N683" s="69">
        <f>IF($J683="","",IFERROR(INDEX(B!$F$2:$F$61,MATCH($J683,B!$E$2:$E$61,0))&amp;"",""))</f>
        <v/>
      </c>
      <c r="O683" s="69">
        <f>IF($J683="","",IFERROR(INDEX(B!$G$2:$G$61,MATCH($J683,B!$E$2:$E$61,0))&amp;"",""))</f>
        <v/>
      </c>
      <c r="P683" s="69">
        <f>IF($J683="","",IFERROR(INDEX(B!$H$2:$H$61,MATCH($J683,B!$E$2:$E$61,0))&amp;"",""))</f>
        <v/>
      </c>
      <c r="Q683" s="69">
        <f>IF($J683="","",IFERROR(INDEX(B!$I$2:$I$61,MATCH($J683,B!$E$2:$E$61,0))&amp;"",""))</f>
        <v/>
      </c>
      <c r="R683" s="69">
        <f>IF($J683="","",IFERROR(INDEX(B!$J$2:$J$61,MATCH($J683,B!$E$2:$E$61,0))&amp;"",""))</f>
        <v/>
      </c>
      <c r="S683" s="69">
        <f>IF($J683="","",IFERROR(INDEX(B!$K$2:$K$61,MATCH($J683,B!$E$2:$E$61,0))&amp;"",""))</f>
        <v/>
      </c>
      <c r="T683" s="69">
        <f>IF($J683="","",IFERROR(INDEX(B!$L$2:$L$61,MATCH($J683,B!$E$2:$E$61,0))&amp;"",""))</f>
        <v/>
      </c>
      <c r="U683" s="20" t="n"/>
      <c r="V683" s="70">
        <f>IF($J683="","",IFERROR(INDEX(B!$M$2:$M$61,MATCH($J683,B!$E$2:$E$61,0))&amp;"",""))</f>
        <v/>
      </c>
      <c r="W683" s="71">
        <f>IF(I683="","",IFERROR(MID(I683,FIND("/d/",I683)+3,FIND("/edit",I683)-FIND("/d/",I683)-3),I683))</f>
        <v/>
      </c>
      <c r="X683" s="71">
        <f>IF($J683="","",IFERROR(INDEX(B!$C$2:$C$61,MATCH($J683,B!$E$2:$E$61,0))&amp;"",""))</f>
        <v/>
      </c>
      <c r="Y683" s="20" t="n"/>
      <c r="Z683" s="72">
        <f>IF($J683="",FALSE,ISNUMBER(SEARCH("scout",$K683)))</f>
        <v/>
      </c>
      <c r="AA683" s="72">
        <f>IF($J683="",FALSE,IFERROR(INDEX(B!$N$2:$N$61,MATCH($J683,B!$E$2:$E$61,0))="Sim",FALSE))</f>
        <v/>
      </c>
      <c r="AB683" s="72">
        <f>IF($J683="",FALSE,LEFT($X683,2)="XX")</f>
        <v/>
      </c>
      <c r="AC683" s="72">
        <f>IF($J683="",FALSE,IFERROR(INDEX(B!$P$2:$P$61,MATCH($J683,B!$E$2:$E$61,0))="Sim",FALSE))</f>
        <v/>
      </c>
      <c r="AD683" s="20" t="n"/>
      <c r="AE683" s="52">
        <f>IF(H683="","",HOUR(H683))</f>
        <v/>
      </c>
      <c r="AF683" s="52" t="n"/>
    </row>
    <row r="684" ht="19.5" customHeight="1" s="58">
      <c r="A684" s="62">
        <f>IF(G684="","",IF(G684=G683,"",COUNTIF($G$3:$G$976,G684)))</f>
        <v/>
      </c>
      <c r="B684" s="20" t="n"/>
      <c r="C684" s="63">
        <f>IF(G684="","",DAY(G684))</f>
        <v/>
      </c>
      <c r="D684" s="63">
        <f>IF(G684="","",MONTH(G684))</f>
        <v/>
      </c>
      <c r="E684" s="63">
        <f>IF(G684="","",YEAR(G684))</f>
        <v/>
      </c>
      <c r="F684" s="33">
        <f>IF(G684="","",CHOOSE(MONTH(G684),"Janeiro","Fevereiro","Março","Abril","Maio","Junho","Julho","Agosto","Setembro","Outubro","Novembro","Dezembro"))</f>
        <v/>
      </c>
      <c r="G684" s="64" t="n">
        <v>46075</v>
      </c>
      <c r="H684" s="65" t="n">
        <v>0.05458333333333333</v>
      </c>
      <c r="I684" s="66" t="inlineStr">
        <is>
          <t>https://docs.google.com/spreadsheets/d/1ZiCGoPjLCjuYvujDTXK9Ixbth3tekiLtFBzBrGjPCr4/edit?gid=0#gid=0</t>
        </is>
      </c>
      <c r="J684" s="67" t="inlineStr">
        <is>
          <t>Overpaid, Não excede o limite, Sem comprovante - [OPNN]</t>
        </is>
      </c>
      <c r="K684" s="67" t="inlineStr"/>
      <c r="L684" s="68" t="b">
        <v>1</v>
      </c>
      <c r="M684" s="20" t="n"/>
      <c r="N684" s="69">
        <f>IF($J684="","",IFERROR(INDEX(B!$F$2:$F$61,MATCH($J684,B!$E$2:$E$61,0))&amp;"",""))</f>
        <v/>
      </c>
      <c r="O684" s="69">
        <f>IF($J684="","",IFERROR(INDEX(B!$G$2:$G$61,MATCH($J684,B!$E$2:$E$61,0))&amp;"",""))</f>
        <v/>
      </c>
      <c r="P684" s="69">
        <f>IF($J684="","",IFERROR(INDEX(B!$H$2:$H$61,MATCH($J684,B!$E$2:$E$61,0))&amp;"",""))</f>
        <v/>
      </c>
      <c r="Q684" s="69">
        <f>IF($J684="","",IFERROR(INDEX(B!$I$2:$I$61,MATCH($J684,B!$E$2:$E$61,0))&amp;"",""))</f>
        <v/>
      </c>
      <c r="R684" s="69">
        <f>IF($J684="","",IFERROR(INDEX(B!$J$2:$J$61,MATCH($J684,B!$E$2:$E$61,0))&amp;"",""))</f>
        <v/>
      </c>
      <c r="S684" s="69">
        <f>IF($J684="","",IFERROR(INDEX(B!$K$2:$K$61,MATCH($J684,B!$E$2:$E$61,0))&amp;"",""))</f>
        <v/>
      </c>
      <c r="T684" s="69">
        <f>IF($J684="","",IFERROR(INDEX(B!$L$2:$L$61,MATCH($J684,B!$E$2:$E$61,0))&amp;"",""))</f>
        <v/>
      </c>
      <c r="U684" s="20" t="n"/>
      <c r="V684" s="70">
        <f>IF($J684="","",IFERROR(INDEX(B!$M$2:$M$61,MATCH($J684,B!$E$2:$E$61,0))&amp;"",""))</f>
        <v/>
      </c>
      <c r="W684" s="71">
        <f>IF(I684="","",IFERROR(MID(I684,FIND("/d/",I684)+3,FIND("/edit",I684)-FIND("/d/",I684)-3),I684))</f>
        <v/>
      </c>
      <c r="X684" s="71">
        <f>IF($J684="","",IFERROR(INDEX(B!$C$2:$C$61,MATCH($J684,B!$E$2:$E$61,0))&amp;"",""))</f>
        <v/>
      </c>
      <c r="Y684" s="20" t="n"/>
      <c r="Z684" s="72">
        <f>IF($J684="",FALSE,ISNUMBER(SEARCH("scout",$K684)))</f>
        <v/>
      </c>
      <c r="AA684" s="72">
        <f>IF($J684="",FALSE,IFERROR(INDEX(B!$N$2:$N$61,MATCH($J684,B!$E$2:$E$61,0))="Sim",FALSE))</f>
        <v/>
      </c>
      <c r="AB684" s="72">
        <f>IF($J684="",FALSE,LEFT($X684,2)="XX")</f>
        <v/>
      </c>
      <c r="AC684" s="72">
        <f>IF($J684="",FALSE,IFERROR(INDEX(B!$P$2:$P$61,MATCH($J684,B!$E$2:$E$61,0))="Sim",FALSE))</f>
        <v/>
      </c>
      <c r="AD684" s="20" t="n"/>
      <c r="AE684" s="52">
        <f>IF(H684="","",HOUR(H684))</f>
        <v/>
      </c>
      <c r="AF684" s="52" t="n"/>
    </row>
    <row r="685" ht="19.5" customHeight="1" s="58">
      <c r="A685" s="62">
        <f>IF(G685="","",IF(G685=G684,"",COUNTIF($G$3:$G$976,G685)))</f>
        <v/>
      </c>
      <c r="B685" s="20" t="n"/>
      <c r="C685" s="63">
        <f>IF(G685="","",DAY(G685))</f>
        <v/>
      </c>
      <c r="D685" s="63">
        <f>IF(G685="","",MONTH(G685))</f>
        <v/>
      </c>
      <c r="E685" s="63">
        <f>IF(G685="","",YEAR(G685))</f>
        <v/>
      </c>
      <c r="F685" s="33">
        <f>IF(G685="","",CHOOSE(MONTH(G685),"Janeiro","Fevereiro","Março","Abril","Maio","Junho","Julho","Agosto","Setembro","Outubro","Novembro","Dezembro"))</f>
        <v/>
      </c>
      <c r="G685" s="64" t="n">
        <v>46075</v>
      </c>
      <c r="H685" s="65" t="n">
        <v>0.06048611111111111</v>
      </c>
      <c r="I685" s="66" t="inlineStr">
        <is>
          <t>https://docs.google.com/spreadsheets/d/1ZiCGoPjLCjuYvujDTXK9Ixbth3tekiLtFBzBrGjPCr4/edit?gid=0#gid=0</t>
        </is>
      </c>
      <c r="J685" s="67" t="inlineStr">
        <is>
          <t>Overpaid, Excede o limite, Sem comprovante - [OPEN]</t>
        </is>
      </c>
      <c r="K685" s="67" t="inlineStr"/>
      <c r="L685" s="68" t="b">
        <v>0</v>
      </c>
      <c r="M685" s="20" t="n"/>
      <c r="N685" s="69">
        <f>IF($J685="","",IFERROR(INDEX(B!$F$2:$F$61,MATCH($J685,B!$E$2:$E$61,0))&amp;"",""))</f>
        <v/>
      </c>
      <c r="O685" s="69">
        <f>IF($J685="","",IFERROR(INDEX(B!$G$2:$G$61,MATCH($J685,B!$E$2:$E$61,0))&amp;"",""))</f>
        <v/>
      </c>
      <c r="P685" s="69">
        <f>IF($J685="","",IFERROR(INDEX(B!$H$2:$H$61,MATCH($J685,B!$E$2:$E$61,0))&amp;"",""))</f>
        <v/>
      </c>
      <c r="Q685" s="69">
        <f>IF($J685="","",IFERROR(INDEX(B!$I$2:$I$61,MATCH($J685,B!$E$2:$E$61,0))&amp;"",""))</f>
        <v/>
      </c>
      <c r="R685" s="69">
        <f>IF($J685="","",IFERROR(INDEX(B!$J$2:$J$61,MATCH($J685,B!$E$2:$E$61,0))&amp;"",""))</f>
        <v/>
      </c>
      <c r="S685" s="69">
        <f>IF($J685="","",IFERROR(INDEX(B!$K$2:$K$61,MATCH($J685,B!$E$2:$E$61,0))&amp;"",""))</f>
        <v/>
      </c>
      <c r="T685" s="69">
        <f>IF($J685="","",IFERROR(INDEX(B!$L$2:$L$61,MATCH($J685,B!$E$2:$E$61,0))&amp;"",""))</f>
        <v/>
      </c>
      <c r="U685" s="20" t="n"/>
      <c r="V685" s="70">
        <f>IF($J685="","",IFERROR(INDEX(B!$M$2:$M$61,MATCH($J685,B!$E$2:$E$61,0))&amp;"",""))</f>
        <v/>
      </c>
      <c r="W685" s="71">
        <f>IF(I685="","",IFERROR(MID(I685,FIND("/d/",I685)+3,FIND("/edit",I685)-FIND("/d/",I685)-3),I685))</f>
        <v/>
      </c>
      <c r="X685" s="71">
        <f>IF($J685="","",IFERROR(INDEX(B!$C$2:$C$61,MATCH($J685,B!$E$2:$E$61,0))&amp;"",""))</f>
        <v/>
      </c>
      <c r="Y685" s="20" t="n"/>
      <c r="Z685" s="72">
        <f>IF($J685="",FALSE,ISNUMBER(SEARCH("scout",$K685)))</f>
        <v/>
      </c>
      <c r="AA685" s="72">
        <f>IF($J685="",FALSE,IFERROR(INDEX(B!$N$2:$N$61,MATCH($J685,B!$E$2:$E$61,0))="Sim",FALSE))</f>
        <v/>
      </c>
      <c r="AB685" s="72">
        <f>IF($J685="",FALSE,LEFT($X685,2)="XX")</f>
        <v/>
      </c>
      <c r="AC685" s="72">
        <f>IF($J685="",FALSE,IFERROR(INDEX(B!$P$2:$P$61,MATCH($J685,B!$E$2:$E$61,0))="Sim",FALSE))</f>
        <v/>
      </c>
      <c r="AD685" s="20" t="n"/>
      <c r="AE685" s="52">
        <f>IF(H685="","",HOUR(H685))</f>
        <v/>
      </c>
      <c r="AF685" s="52" t="n"/>
    </row>
    <row r="686" ht="19.5" customHeight="1" s="58">
      <c r="A686" s="62">
        <f>IF(G686="","",IF(G686=G685,"",COUNTIF($G$3:$G$976,G686)))</f>
        <v/>
      </c>
      <c r="B686" s="20" t="n"/>
      <c r="C686" s="63">
        <f>IF(G686="","",DAY(G686))</f>
        <v/>
      </c>
      <c r="D686" s="63">
        <f>IF(G686="","",MONTH(G686))</f>
        <v/>
      </c>
      <c r="E686" s="63">
        <f>IF(G686="","",YEAR(G686))</f>
        <v/>
      </c>
      <c r="F686" s="33">
        <f>IF(G686="","",CHOOSE(MONTH(G686),"Janeiro","Fevereiro","Março","Abril","Maio","Junho","Julho","Agosto","Setembro","Outubro","Novembro","Dezembro"))</f>
        <v/>
      </c>
      <c r="G686" s="64" t="n">
        <v>46075</v>
      </c>
      <c r="H686" s="65" t="n">
        <v>0.06082175925925926</v>
      </c>
      <c r="I686" s="66" t="inlineStr">
        <is>
          <t>https://docs.google.com/spreadsheets/d/1ZiCGoPjLCjuYvujDTXK9Ixbth3tekiLtFBzBrGjPCr4/edit?gid=0#gid=0</t>
        </is>
      </c>
      <c r="J686" s="67" t="inlineStr">
        <is>
          <t>Taxa de Limpeza, Sem ajustes - [TXLO]</t>
        </is>
      </c>
      <c r="K686" s="67" t="inlineStr"/>
      <c r="L686" s="68" t="b">
        <v>0</v>
      </c>
      <c r="M686" s="20" t="n"/>
      <c r="N686" s="69">
        <f>IF($J686="","",IFERROR(INDEX(B!$F$2:$F$61,MATCH($J686,B!$E$2:$E$61,0))&amp;"",""))</f>
        <v/>
      </c>
      <c r="O686" s="69">
        <f>IF($J686="","",IFERROR(INDEX(B!$G$2:$G$61,MATCH($J686,B!$E$2:$E$61,0))&amp;"",""))</f>
        <v/>
      </c>
      <c r="P686" s="69">
        <f>IF($J686="","",IFERROR(INDEX(B!$H$2:$H$61,MATCH($J686,B!$E$2:$E$61,0))&amp;"",""))</f>
        <v/>
      </c>
      <c r="Q686" s="69">
        <f>IF($J686="","",IFERROR(INDEX(B!$I$2:$I$61,MATCH($J686,B!$E$2:$E$61,0))&amp;"",""))</f>
        <v/>
      </c>
      <c r="R686" s="69">
        <f>IF($J686="","",IFERROR(INDEX(B!$J$2:$J$61,MATCH($J686,B!$E$2:$E$61,0))&amp;"",""))</f>
        <v/>
      </c>
      <c r="S686" s="69">
        <f>IF($J686="","",IFERROR(INDEX(B!$K$2:$K$61,MATCH($J686,B!$E$2:$E$61,0))&amp;"",""))</f>
        <v/>
      </c>
      <c r="T686" s="69">
        <f>IF($J686="","",IFERROR(INDEX(B!$L$2:$L$61,MATCH($J686,B!$E$2:$E$61,0))&amp;"",""))</f>
        <v/>
      </c>
      <c r="U686" s="20" t="n"/>
      <c r="V686" s="70">
        <f>IF($J686="","",IFERROR(INDEX(B!$M$2:$M$61,MATCH($J686,B!$E$2:$E$61,0))&amp;"",""))</f>
        <v/>
      </c>
      <c r="W686" s="71">
        <f>IF(I686="","",IFERROR(MID(I686,FIND("/d/",I686)+3,FIND("/edit",I686)-FIND("/d/",I686)-3),I686))</f>
        <v/>
      </c>
      <c r="X686" s="71">
        <f>IF($J686="","",IFERROR(INDEX(B!$C$2:$C$61,MATCH($J686,B!$E$2:$E$61,0))&amp;"",""))</f>
        <v/>
      </c>
      <c r="Y686" s="20" t="n"/>
      <c r="Z686" s="72">
        <f>IF($J686="",FALSE,ISNUMBER(SEARCH("scout",$K686)))</f>
        <v/>
      </c>
      <c r="AA686" s="72">
        <f>IF($J686="",FALSE,IFERROR(INDEX(B!$N$2:$N$61,MATCH($J686,B!$E$2:$E$61,0))="Sim",FALSE))</f>
        <v/>
      </c>
      <c r="AB686" s="72">
        <f>IF($J686="",FALSE,LEFT($X686,2)="XX")</f>
        <v/>
      </c>
      <c r="AC686" s="72">
        <f>IF($J686="",FALSE,IFERROR(INDEX(B!$P$2:$P$61,MATCH($J686,B!$E$2:$E$61,0))="Sim",FALSE))</f>
        <v/>
      </c>
      <c r="AD686" s="20" t="n"/>
      <c r="AE686" s="52">
        <f>IF(H686="","",HOUR(H686))</f>
        <v/>
      </c>
      <c r="AF686" s="52" t="n"/>
    </row>
    <row r="687" ht="19.5" customHeight="1" s="58">
      <c r="A687" s="62">
        <f>IF(G687="","",IF(G687=G686,"",COUNTIF($G$3:$G$976,G687)))</f>
        <v/>
      </c>
      <c r="B687" s="20" t="n"/>
      <c r="C687" s="63">
        <f>IF(G687="","",DAY(G687))</f>
        <v/>
      </c>
      <c r="D687" s="63">
        <f>IF(G687="","",MONTH(G687))</f>
        <v/>
      </c>
      <c r="E687" s="63">
        <f>IF(G687="","",YEAR(G687))</f>
        <v/>
      </c>
      <c r="F687" s="33">
        <f>IF(G687="","",CHOOSE(MONTH(G687),"Janeiro","Fevereiro","Março","Abril","Maio","Junho","Julho","Agosto","Setembro","Outubro","Novembro","Dezembro"))</f>
        <v/>
      </c>
      <c r="G687" s="64" t="n">
        <v>46075</v>
      </c>
      <c r="H687" s="65" t="n">
        <v>0.06479166666666666</v>
      </c>
      <c r="I687" s="66" t="inlineStr">
        <is>
          <t>https://docs.google.com/spreadsheets/d/1ZiCGoPjLCjuYvujDTXK9Ixbth3tekiLtFBzBrGjPCr4/edit?gid=0#gid=0</t>
        </is>
      </c>
      <c r="J687" s="67" t="inlineStr">
        <is>
          <t>Transferência de LOB (Safety) - [TIST]</t>
        </is>
      </c>
      <c r="K687" s="67" t="inlineStr"/>
      <c r="L687" s="68" t="b">
        <v>0</v>
      </c>
      <c r="M687" s="20" t="n"/>
      <c r="N687" s="69">
        <f>IF($J687="","",IFERROR(INDEX(B!$F$2:$F$61,MATCH($J687,B!$E$2:$E$61,0))&amp;"",""))</f>
        <v/>
      </c>
      <c r="O687" s="69">
        <f>IF($J687="","",IFERROR(INDEX(B!$G$2:$G$61,MATCH($J687,B!$E$2:$E$61,0))&amp;"",""))</f>
        <v/>
      </c>
      <c r="P687" s="69">
        <f>IF($J687="","",IFERROR(INDEX(B!$H$2:$H$61,MATCH($J687,B!$E$2:$E$61,0))&amp;"",""))</f>
        <v/>
      </c>
      <c r="Q687" s="69">
        <f>IF($J687="","",IFERROR(INDEX(B!$I$2:$I$61,MATCH($J687,B!$E$2:$E$61,0))&amp;"",""))</f>
        <v/>
      </c>
      <c r="R687" s="69">
        <f>IF($J687="","",IFERROR(INDEX(B!$J$2:$J$61,MATCH($J687,B!$E$2:$E$61,0))&amp;"",""))</f>
        <v/>
      </c>
      <c r="S687" s="69">
        <f>IF($J687="","",IFERROR(INDEX(B!$K$2:$K$61,MATCH($J687,B!$E$2:$E$61,0))&amp;"",""))</f>
        <v/>
      </c>
      <c r="T687" s="69">
        <f>IF($J687="","",IFERROR(INDEX(B!$L$2:$L$61,MATCH($J687,B!$E$2:$E$61,0))&amp;"",""))</f>
        <v/>
      </c>
      <c r="U687" s="20" t="n"/>
      <c r="V687" s="70">
        <f>IF($J687="","",IFERROR(INDEX(B!$M$2:$M$61,MATCH($J687,B!$E$2:$E$61,0))&amp;"",""))</f>
        <v/>
      </c>
      <c r="W687" s="71">
        <f>IF(I687="","",IFERROR(MID(I687,FIND("/d/",I687)+3,FIND("/edit",I687)-FIND("/d/",I687)-3),I687))</f>
        <v/>
      </c>
      <c r="X687" s="71">
        <f>IF($J687="","",IFERROR(INDEX(B!$C$2:$C$61,MATCH($J687,B!$E$2:$E$61,0))&amp;"",""))</f>
        <v/>
      </c>
      <c r="Y687" s="20" t="n"/>
      <c r="Z687" s="72">
        <f>IF($J687="",FALSE,ISNUMBER(SEARCH("scout",$K687)))</f>
        <v/>
      </c>
      <c r="AA687" s="72">
        <f>IF($J687="",FALSE,IFERROR(INDEX(B!$N$2:$N$61,MATCH($J687,B!$E$2:$E$61,0))="Sim",FALSE))</f>
        <v/>
      </c>
      <c r="AB687" s="72">
        <f>IF($J687="",FALSE,LEFT($X687,2)="XX")</f>
        <v/>
      </c>
      <c r="AC687" s="72">
        <f>IF($J687="",FALSE,IFERROR(INDEX(B!$P$2:$P$61,MATCH($J687,B!$E$2:$E$61,0))="Sim",FALSE))</f>
        <v/>
      </c>
      <c r="AD687" s="20" t="n"/>
      <c r="AE687" s="52">
        <f>IF(H687="","",HOUR(H687))</f>
        <v/>
      </c>
      <c r="AF687" s="52" t="n"/>
    </row>
    <row r="688" ht="19.5" customHeight="1" s="58">
      <c r="A688" s="62">
        <f>IF(G688="","",IF(G688=G687,"",COUNTIF($G$3:$G$976,G688)))</f>
        <v/>
      </c>
      <c r="B688" s="20" t="n"/>
      <c r="C688" s="63">
        <f>IF(G688="","",DAY(G688))</f>
        <v/>
      </c>
      <c r="D688" s="63">
        <f>IF(G688="","",MONTH(G688))</f>
        <v/>
      </c>
      <c r="E688" s="63">
        <f>IF(G688="","",YEAR(G688))</f>
        <v/>
      </c>
      <c r="F688" s="33">
        <f>IF(G688="","",CHOOSE(MONTH(G688),"Janeiro","Fevereiro","Março","Abril","Maio","Junho","Julho","Agosto","Setembro","Outubro","Novembro","Dezembro"))</f>
        <v/>
      </c>
      <c r="G688" s="64" t="n">
        <v>46075</v>
      </c>
      <c r="H688" s="65" t="n">
        <v>0.06824074074074074</v>
      </c>
      <c r="I688" s="66" t="inlineStr">
        <is>
          <t>https://docs.google.com/spreadsheets/d/1ZiCGoPjLCjuYvujDTXK9Ixbth3tekiLtFBzBrGjPCr4/edit?gid=0#gid=0</t>
        </is>
      </c>
      <c r="J688" s="67" t="inlineStr">
        <is>
          <t>Transferência de LOB (Accounts) - [TIAC]</t>
        </is>
      </c>
      <c r="K688" s="67" t="inlineStr"/>
      <c r="L688" s="68" t="b">
        <v>1</v>
      </c>
      <c r="M688" s="20" t="n"/>
      <c r="N688" s="69">
        <f>IF($J688="","",IFERROR(INDEX(B!$F$2:$F$61,MATCH($J688,B!$E$2:$E$61,0))&amp;"",""))</f>
        <v/>
      </c>
      <c r="O688" s="69">
        <f>IF($J688="","",IFERROR(INDEX(B!$G$2:$G$61,MATCH($J688,B!$E$2:$E$61,0))&amp;"",""))</f>
        <v/>
      </c>
      <c r="P688" s="69">
        <f>IF($J688="","",IFERROR(INDEX(B!$H$2:$H$61,MATCH($J688,B!$E$2:$E$61,0))&amp;"",""))</f>
        <v/>
      </c>
      <c r="Q688" s="69">
        <f>IF($J688="","",IFERROR(INDEX(B!$I$2:$I$61,MATCH($J688,B!$E$2:$E$61,0))&amp;"",""))</f>
        <v/>
      </c>
      <c r="R688" s="69">
        <f>IF($J688="","",IFERROR(INDEX(B!$J$2:$J$61,MATCH($J688,B!$E$2:$E$61,0))&amp;"",""))</f>
        <v/>
      </c>
      <c r="S688" s="69">
        <f>IF($J688="","",IFERROR(INDEX(B!$K$2:$K$61,MATCH($J688,B!$E$2:$E$61,0))&amp;"",""))</f>
        <v/>
      </c>
      <c r="T688" s="69">
        <f>IF($J688="","",IFERROR(INDEX(B!$L$2:$L$61,MATCH($J688,B!$E$2:$E$61,0))&amp;"",""))</f>
        <v/>
      </c>
      <c r="U688" s="20" t="n"/>
      <c r="V688" s="70">
        <f>IF($J688="","",IFERROR(INDEX(B!$M$2:$M$61,MATCH($J688,B!$E$2:$E$61,0))&amp;"",""))</f>
        <v/>
      </c>
      <c r="W688" s="71">
        <f>IF(I688="","",IFERROR(MID(I688,FIND("/d/",I688)+3,FIND("/edit",I688)-FIND("/d/",I688)-3),I688))</f>
        <v/>
      </c>
      <c r="X688" s="71">
        <f>IF($J688="","",IFERROR(INDEX(B!$C$2:$C$61,MATCH($J688,B!$E$2:$E$61,0))&amp;"",""))</f>
        <v/>
      </c>
      <c r="Y688" s="20" t="n"/>
      <c r="Z688" s="72">
        <f>IF($J688="",FALSE,ISNUMBER(SEARCH("scout",$K688)))</f>
        <v/>
      </c>
      <c r="AA688" s="72">
        <f>IF($J688="",FALSE,IFERROR(INDEX(B!$N$2:$N$61,MATCH($J688,B!$E$2:$E$61,0))="Sim",FALSE))</f>
        <v/>
      </c>
      <c r="AB688" s="72">
        <f>IF($J688="",FALSE,LEFT($X688,2)="XX")</f>
        <v/>
      </c>
      <c r="AC688" s="72">
        <f>IF($J688="",FALSE,IFERROR(INDEX(B!$P$2:$P$61,MATCH($J688,B!$E$2:$E$61,0))="Sim",FALSE))</f>
        <v/>
      </c>
      <c r="AD688" s="20" t="n"/>
      <c r="AE688" s="52">
        <f>IF(H688="","",HOUR(H688))</f>
        <v/>
      </c>
      <c r="AF688" s="52" t="n"/>
    </row>
    <row r="689" ht="19.5" customHeight="1" s="58">
      <c r="A689" s="62">
        <f>IF(G689="","",IF(G689=G688,"",COUNTIF($G$3:$G$976,G689)))</f>
        <v/>
      </c>
      <c r="B689" s="20" t="n"/>
      <c r="C689" s="63">
        <f>IF(G689="","",DAY(G689))</f>
        <v/>
      </c>
      <c r="D689" s="63">
        <f>IF(G689="","",MONTH(G689))</f>
        <v/>
      </c>
      <c r="E689" s="63">
        <f>IF(G689="","",YEAR(G689))</f>
        <v/>
      </c>
      <c r="F689" s="33">
        <f>IF(G689="","",CHOOSE(MONTH(G689),"Janeiro","Fevereiro","Março","Abril","Maio","Junho","Julho","Agosto","Setembro","Outubro","Novembro","Dezembro"))</f>
        <v/>
      </c>
      <c r="G689" s="64" t="n">
        <v>46075</v>
      </c>
      <c r="H689" s="65" t="n">
        <v>0.07168981481481482</v>
      </c>
      <c r="I689" s="66" t="inlineStr">
        <is>
          <t>https://docs.google.com/spreadsheets/d/1ZiCGoPjLCjuYvujDTXK9Ixbth3tekiLtFBzBrGjPCr4/edit?gid=0#gid=0</t>
        </is>
      </c>
      <c r="J689" s="67" t="inlineStr">
        <is>
          <t>Overpaid, Excede o limite Com comprovante - [OPEC]</t>
        </is>
      </c>
      <c r="K689" s="67" t="inlineStr"/>
      <c r="L689" s="68" t="b">
        <v>0</v>
      </c>
      <c r="M689" s="20" t="n"/>
      <c r="N689" s="69">
        <f>IF($J689="","",IFERROR(INDEX(B!$F$2:$F$61,MATCH($J689,B!$E$2:$E$61,0))&amp;"",""))</f>
        <v/>
      </c>
      <c r="O689" s="69">
        <f>IF($J689="","",IFERROR(INDEX(B!$G$2:$G$61,MATCH($J689,B!$E$2:$E$61,0))&amp;"",""))</f>
        <v/>
      </c>
      <c r="P689" s="69">
        <f>IF($J689="","",IFERROR(INDEX(B!$H$2:$H$61,MATCH($J689,B!$E$2:$E$61,0))&amp;"",""))</f>
        <v/>
      </c>
      <c r="Q689" s="69">
        <f>IF($J689="","",IFERROR(INDEX(B!$I$2:$I$61,MATCH($J689,B!$E$2:$E$61,0))&amp;"",""))</f>
        <v/>
      </c>
      <c r="R689" s="69">
        <f>IF($J689="","",IFERROR(INDEX(B!$J$2:$J$61,MATCH($J689,B!$E$2:$E$61,0))&amp;"",""))</f>
        <v/>
      </c>
      <c r="S689" s="69">
        <f>IF($J689="","",IFERROR(INDEX(B!$K$2:$K$61,MATCH($J689,B!$E$2:$E$61,0))&amp;"",""))</f>
        <v/>
      </c>
      <c r="T689" s="69">
        <f>IF($J689="","",IFERROR(INDEX(B!$L$2:$L$61,MATCH($J689,B!$E$2:$E$61,0))&amp;"",""))</f>
        <v/>
      </c>
      <c r="U689" s="20" t="n"/>
      <c r="V689" s="70">
        <f>IF($J689="","",IFERROR(INDEX(B!$M$2:$M$61,MATCH($J689,B!$E$2:$E$61,0))&amp;"",""))</f>
        <v/>
      </c>
      <c r="W689" s="71">
        <f>IF(I689="","",IFERROR(MID(I689,FIND("/d/",I689)+3,FIND("/edit",I689)-FIND("/d/",I689)-3),I689))</f>
        <v/>
      </c>
      <c r="X689" s="71">
        <f>IF($J689="","",IFERROR(INDEX(B!$C$2:$C$61,MATCH($J689,B!$E$2:$E$61,0))&amp;"",""))</f>
        <v/>
      </c>
      <c r="Y689" s="20" t="n"/>
      <c r="Z689" s="72">
        <f>IF($J689="",FALSE,ISNUMBER(SEARCH("scout",$K689)))</f>
        <v/>
      </c>
      <c r="AA689" s="72">
        <f>IF($J689="",FALSE,IFERROR(INDEX(B!$N$2:$N$61,MATCH($J689,B!$E$2:$E$61,0))="Sim",FALSE))</f>
        <v/>
      </c>
      <c r="AB689" s="72">
        <f>IF($J689="",FALSE,LEFT($X689,2)="XX")</f>
        <v/>
      </c>
      <c r="AC689" s="72">
        <f>IF($J689="",FALSE,IFERROR(INDEX(B!$P$2:$P$61,MATCH($J689,B!$E$2:$E$61,0))="Sim",FALSE))</f>
        <v/>
      </c>
      <c r="AD689" s="20" t="n"/>
      <c r="AE689" s="52">
        <f>IF(H689="","",HOUR(H689))</f>
        <v/>
      </c>
      <c r="AF689" s="52" t="n"/>
    </row>
    <row r="690" ht="19.5" customHeight="1" s="58">
      <c r="A690" s="62">
        <f>IF(G690="","",IF(G690=G689,"",COUNTIF($G$3:$G$976,G690)))</f>
        <v/>
      </c>
      <c r="B690" s="20" t="n"/>
      <c r="C690" s="63">
        <f>IF(G690="","",DAY(G690))</f>
        <v/>
      </c>
      <c r="D690" s="63">
        <f>IF(G690="","",MONTH(G690))</f>
        <v/>
      </c>
      <c r="E690" s="63">
        <f>IF(G690="","",YEAR(G690))</f>
        <v/>
      </c>
      <c r="F690" s="33">
        <f>IF(G690="","",CHOOSE(MONTH(G690),"Janeiro","Fevereiro","Março","Abril","Maio","Junho","Julho","Agosto","Setembro","Outubro","Novembro","Dezembro"))</f>
        <v/>
      </c>
      <c r="G690" s="64" t="n">
        <v>46075</v>
      </c>
      <c r="H690" s="65" t="n">
        <v>0.07585648148148148</v>
      </c>
      <c r="I690" s="66" t="inlineStr">
        <is>
          <t>https://docs.google.com/spreadsheets/d/1ZiCGoPjLCjuYvujDTXK9Ixbth3tekiLtFBzBrGjPCr4/edit?gid=0#gid=0</t>
        </is>
      </c>
      <c r="J690" s="67" t="inlineStr">
        <is>
          <t>Viagem Calculada Incorretamente - [VCI]</t>
        </is>
      </c>
      <c r="K690" s="67" t="inlineStr"/>
      <c r="L690" s="68" t="b">
        <v>0</v>
      </c>
      <c r="M690" s="20" t="n"/>
      <c r="N690" s="69">
        <f>IF($J690="","",IFERROR(INDEX(B!$F$2:$F$61,MATCH($J690,B!$E$2:$E$61,0))&amp;"",""))</f>
        <v/>
      </c>
      <c r="O690" s="69">
        <f>IF($J690="","",IFERROR(INDEX(B!$G$2:$G$61,MATCH($J690,B!$E$2:$E$61,0))&amp;"",""))</f>
        <v/>
      </c>
      <c r="P690" s="69">
        <f>IF($J690="","",IFERROR(INDEX(B!$H$2:$H$61,MATCH($J690,B!$E$2:$E$61,0))&amp;"",""))</f>
        <v/>
      </c>
      <c r="Q690" s="69">
        <f>IF($J690="","",IFERROR(INDEX(B!$I$2:$I$61,MATCH($J690,B!$E$2:$E$61,0))&amp;"",""))</f>
        <v/>
      </c>
      <c r="R690" s="69">
        <f>IF($J690="","",IFERROR(INDEX(B!$J$2:$J$61,MATCH($J690,B!$E$2:$E$61,0))&amp;"",""))</f>
        <v/>
      </c>
      <c r="S690" s="69">
        <f>IF($J690="","",IFERROR(INDEX(B!$K$2:$K$61,MATCH($J690,B!$E$2:$E$61,0))&amp;"",""))</f>
        <v/>
      </c>
      <c r="T690" s="69">
        <f>IF($J690="","",IFERROR(INDEX(B!$L$2:$L$61,MATCH($J690,B!$E$2:$E$61,0))&amp;"",""))</f>
        <v/>
      </c>
      <c r="U690" s="20" t="n"/>
      <c r="V690" s="70">
        <f>IF($J690="","",IFERROR(INDEX(B!$M$2:$M$61,MATCH($J690,B!$E$2:$E$61,0))&amp;"",""))</f>
        <v/>
      </c>
      <c r="W690" s="71">
        <f>IF(I690="","",IFERROR(MID(I690,FIND("/d/",I690)+3,FIND("/edit",I690)-FIND("/d/",I690)-3),I690))</f>
        <v/>
      </c>
      <c r="X690" s="71">
        <f>IF($J690="","",IFERROR(INDEX(B!$C$2:$C$61,MATCH($J690,B!$E$2:$E$61,0))&amp;"",""))</f>
        <v/>
      </c>
      <c r="Y690" s="20" t="n"/>
      <c r="Z690" s="72">
        <f>IF($J690="",FALSE,ISNUMBER(SEARCH("scout",$K690)))</f>
        <v/>
      </c>
      <c r="AA690" s="72">
        <f>IF($J690="",FALSE,IFERROR(INDEX(B!$N$2:$N$61,MATCH($J690,B!$E$2:$E$61,0))="Sim",FALSE))</f>
        <v/>
      </c>
      <c r="AB690" s="72">
        <f>IF($J690="",FALSE,LEFT($X690,2)="XX")</f>
        <v/>
      </c>
      <c r="AC690" s="72">
        <f>IF($J690="",FALSE,IFERROR(INDEX(B!$P$2:$P$61,MATCH($J690,B!$E$2:$E$61,0))="Sim",FALSE))</f>
        <v/>
      </c>
      <c r="AD690" s="20" t="n"/>
      <c r="AE690" s="52">
        <f>IF(H690="","",HOUR(H690))</f>
        <v/>
      </c>
      <c r="AF690" s="52" t="n"/>
    </row>
    <row r="691" ht="19.5" customHeight="1" s="58">
      <c r="A691" s="62">
        <f>IF(G691="","",IF(G691=G690,"",COUNTIF($G$3:$G$976,G691)))</f>
        <v/>
      </c>
      <c r="B691" s="20" t="n"/>
      <c r="C691" s="63">
        <f>IF(G691="","",DAY(G691))</f>
        <v/>
      </c>
      <c r="D691" s="63">
        <f>IF(G691="","",MONTH(G691))</f>
        <v/>
      </c>
      <c r="E691" s="63">
        <f>IF(G691="","",YEAR(G691))</f>
        <v/>
      </c>
      <c r="F691" s="33">
        <f>IF(G691="","",CHOOSE(MONTH(G691),"Janeiro","Fevereiro","Março","Abril","Maio","Junho","Julho","Agosto","Setembro","Outubro","Novembro","Dezembro"))</f>
        <v/>
      </c>
      <c r="G691" s="64" t="n">
        <v>46075</v>
      </c>
      <c r="H691" s="65" t="n">
        <v>0.07611111111111112</v>
      </c>
      <c r="I691" s="66" t="inlineStr">
        <is>
          <t>https://docs.google.com/spreadsheets/d/1ZiCGoPjLCjuYvujDTXK9Ixbth3tekiLtFBzBrGjPCr4/edit?gid=0#gid=0</t>
        </is>
      </c>
      <c r="J691" s="67" t="inlineStr">
        <is>
          <t>Transferência de LOB (Profissionalismo) - [TIPR]</t>
        </is>
      </c>
      <c r="K691" s="67" t="inlineStr"/>
      <c r="L691" s="68" t="b">
        <v>0</v>
      </c>
      <c r="M691" s="20" t="n"/>
      <c r="N691" s="69">
        <f>IF($J691="","",IFERROR(INDEX(B!$F$2:$F$61,MATCH($J691,B!$E$2:$E$61,0))&amp;"",""))</f>
        <v/>
      </c>
      <c r="O691" s="69">
        <f>IF($J691="","",IFERROR(INDEX(B!$G$2:$G$61,MATCH($J691,B!$E$2:$E$61,0))&amp;"",""))</f>
        <v/>
      </c>
      <c r="P691" s="69">
        <f>IF($J691="","",IFERROR(INDEX(B!$H$2:$H$61,MATCH($J691,B!$E$2:$E$61,0))&amp;"",""))</f>
        <v/>
      </c>
      <c r="Q691" s="69">
        <f>IF($J691="","",IFERROR(INDEX(B!$I$2:$I$61,MATCH($J691,B!$E$2:$E$61,0))&amp;"",""))</f>
        <v/>
      </c>
      <c r="R691" s="69">
        <f>IF($J691="","",IFERROR(INDEX(B!$J$2:$J$61,MATCH($J691,B!$E$2:$E$61,0))&amp;"",""))</f>
        <v/>
      </c>
      <c r="S691" s="69">
        <f>IF($J691="","",IFERROR(INDEX(B!$K$2:$K$61,MATCH($J691,B!$E$2:$E$61,0))&amp;"",""))</f>
        <v/>
      </c>
      <c r="T691" s="69">
        <f>IF($J691="","",IFERROR(INDEX(B!$L$2:$L$61,MATCH($J691,B!$E$2:$E$61,0))&amp;"",""))</f>
        <v/>
      </c>
      <c r="U691" s="20" t="n"/>
      <c r="V691" s="70">
        <f>IF($J691="","",IFERROR(INDEX(B!$M$2:$M$61,MATCH($J691,B!$E$2:$E$61,0))&amp;"",""))</f>
        <v/>
      </c>
      <c r="W691" s="71">
        <f>IF(I691="","",IFERROR(MID(I691,FIND("/d/",I691)+3,FIND("/edit",I691)-FIND("/d/",I691)-3),I691))</f>
        <v/>
      </c>
      <c r="X691" s="71">
        <f>IF($J691="","",IFERROR(INDEX(B!$C$2:$C$61,MATCH($J691,B!$E$2:$E$61,0))&amp;"",""))</f>
        <v/>
      </c>
      <c r="Y691" s="20" t="n"/>
      <c r="Z691" s="72">
        <f>IF($J691="",FALSE,ISNUMBER(SEARCH("scout",$K691)))</f>
        <v/>
      </c>
      <c r="AA691" s="72">
        <f>IF($J691="",FALSE,IFERROR(INDEX(B!$N$2:$N$61,MATCH($J691,B!$E$2:$E$61,0))="Sim",FALSE))</f>
        <v/>
      </c>
      <c r="AB691" s="72">
        <f>IF($J691="",FALSE,LEFT($X691,2)="XX")</f>
        <v/>
      </c>
      <c r="AC691" s="72">
        <f>IF($J691="",FALSE,IFERROR(INDEX(B!$P$2:$P$61,MATCH($J691,B!$E$2:$E$61,0))="Sim",FALSE))</f>
        <v/>
      </c>
      <c r="AD691" s="20" t="n"/>
      <c r="AE691" s="52">
        <f>IF(H691="","",HOUR(H691))</f>
        <v/>
      </c>
      <c r="AF691" s="52" t="n"/>
    </row>
    <row r="692" ht="19.5" customHeight="1" s="58">
      <c r="A692" s="62">
        <f>IF(G692="","",IF(G692=G691,"",COUNTIF($G$3:$G$976,G692)))</f>
        <v/>
      </c>
      <c r="B692" s="20" t="n"/>
      <c r="C692" s="63">
        <f>IF(G692="","",DAY(G692))</f>
        <v/>
      </c>
      <c r="D692" s="63">
        <f>IF(G692="","",MONTH(G692))</f>
        <v/>
      </c>
      <c r="E692" s="63">
        <f>IF(G692="","",YEAR(G692))</f>
        <v/>
      </c>
      <c r="F692" s="33">
        <f>IF(G692="","",CHOOSE(MONTH(G692),"Janeiro","Fevereiro","Março","Abril","Maio","Junho","Julho","Agosto","Setembro","Outubro","Novembro","Dezembro"))</f>
        <v/>
      </c>
      <c r="G692" s="64" t="n">
        <v>46075</v>
      </c>
      <c r="H692" s="65" t="n">
        <v>0.07988425925925927</v>
      </c>
      <c r="I692" s="66" t="inlineStr">
        <is>
          <t>https://docs.google.com/spreadsheets/d/1ZiCGoPjLCjuYvujDTXK9Ixbth3tekiLtFBzBrGjPCr4/edit?gid=0#gid=0</t>
        </is>
      </c>
      <c r="J692" s="67" t="inlineStr">
        <is>
          <t>Overpaid, Não excede o limite, Com comprovante - [OPNC]</t>
        </is>
      </c>
      <c r="K692" s="67" t="inlineStr"/>
      <c r="L692" s="68" t="b">
        <v>0</v>
      </c>
      <c r="M692" s="20" t="n"/>
      <c r="N692" s="69">
        <f>IF($J692="","",IFERROR(INDEX(B!$F$2:$F$61,MATCH($J692,B!$E$2:$E$61,0))&amp;"",""))</f>
        <v/>
      </c>
      <c r="O692" s="69">
        <f>IF($J692="","",IFERROR(INDEX(B!$G$2:$G$61,MATCH($J692,B!$E$2:$E$61,0))&amp;"",""))</f>
        <v/>
      </c>
      <c r="P692" s="69">
        <f>IF($J692="","",IFERROR(INDEX(B!$H$2:$H$61,MATCH($J692,B!$E$2:$E$61,0))&amp;"",""))</f>
        <v/>
      </c>
      <c r="Q692" s="69">
        <f>IF($J692="","",IFERROR(INDEX(B!$I$2:$I$61,MATCH($J692,B!$E$2:$E$61,0))&amp;"",""))</f>
        <v/>
      </c>
      <c r="R692" s="69">
        <f>IF($J692="","",IFERROR(INDEX(B!$J$2:$J$61,MATCH($J692,B!$E$2:$E$61,0))&amp;"",""))</f>
        <v/>
      </c>
      <c r="S692" s="69">
        <f>IF($J692="","",IFERROR(INDEX(B!$K$2:$K$61,MATCH($J692,B!$E$2:$E$61,0))&amp;"",""))</f>
        <v/>
      </c>
      <c r="T692" s="69">
        <f>IF($J692="","",IFERROR(INDEX(B!$L$2:$L$61,MATCH($J692,B!$E$2:$E$61,0))&amp;"",""))</f>
        <v/>
      </c>
      <c r="U692" s="20" t="n"/>
      <c r="V692" s="70">
        <f>IF($J692="","",IFERROR(INDEX(B!$M$2:$M$61,MATCH($J692,B!$E$2:$E$61,0))&amp;"",""))</f>
        <v/>
      </c>
      <c r="W692" s="71">
        <f>IF(I692="","",IFERROR(MID(I692,FIND("/d/",I692)+3,FIND("/edit",I692)-FIND("/d/",I692)-3),I692))</f>
        <v/>
      </c>
      <c r="X692" s="71">
        <f>IF($J692="","",IFERROR(INDEX(B!$C$2:$C$61,MATCH($J692,B!$E$2:$E$61,0))&amp;"",""))</f>
        <v/>
      </c>
      <c r="Y692" s="20" t="n"/>
      <c r="Z692" s="72">
        <f>IF($J692="",FALSE,ISNUMBER(SEARCH("scout",$K692)))</f>
        <v/>
      </c>
      <c r="AA692" s="72">
        <f>IF($J692="",FALSE,IFERROR(INDEX(B!$N$2:$N$61,MATCH($J692,B!$E$2:$E$61,0))="Sim",FALSE))</f>
        <v/>
      </c>
      <c r="AB692" s="72">
        <f>IF($J692="",FALSE,LEFT($X692,2)="XX")</f>
        <v/>
      </c>
      <c r="AC692" s="72">
        <f>IF($J692="",FALSE,IFERROR(INDEX(B!$P$2:$P$61,MATCH($J692,B!$E$2:$E$61,0))="Sim",FALSE))</f>
        <v/>
      </c>
      <c r="AD692" s="20" t="n"/>
      <c r="AE692" s="52">
        <f>IF(H692="","",HOUR(H692))</f>
        <v/>
      </c>
      <c r="AF692" s="52" t="n"/>
    </row>
    <row r="693" ht="19.5" customHeight="1" s="58">
      <c r="A693" s="62">
        <f>IF(G693="","",IF(G693=G692,"",COUNTIF($G$3:$G$976,G693)))</f>
        <v/>
      </c>
      <c r="B693" s="20" t="n"/>
      <c r="C693" s="63">
        <f>IF(G693="","",DAY(G693))</f>
        <v/>
      </c>
      <c r="D693" s="63">
        <f>IF(G693="","",MONTH(G693))</f>
        <v/>
      </c>
      <c r="E693" s="63">
        <f>IF(G693="","",YEAR(G693))</f>
        <v/>
      </c>
      <c r="F693" s="33">
        <f>IF(G693="","",CHOOSE(MONTH(G693),"Janeiro","Fevereiro","Março","Abril","Maio","Junho","Julho","Agosto","Setembro","Outubro","Novembro","Dezembro"))</f>
        <v/>
      </c>
      <c r="G693" s="64" t="n">
        <v>46075</v>
      </c>
      <c r="H693" s="65" t="n">
        <v>0.09138888888888889</v>
      </c>
      <c r="I693" s="66" t="inlineStr">
        <is>
          <t>https://docs.google.com/spreadsheets/d/1ZiCGoPjLCjuYvujDTXK9Ixbth3tekiLtFBzBrGjPCr4/edit?gid=0#gid=0</t>
        </is>
      </c>
      <c r="J693" s="67" t="inlineStr">
        <is>
          <t>Outros Valores Retidos (Pedágio, Cartão, Taxa de Cancelamento...) - [OTV]</t>
        </is>
      </c>
      <c r="K693" s="67" t="inlineStr">
        <is>
          <t>Scout</t>
        </is>
      </c>
      <c r="L693" s="68" t="b">
        <v>0</v>
      </c>
      <c r="M693" s="20" t="n"/>
      <c r="N693" s="69">
        <f>IF($J693="","",IFERROR(INDEX(B!$F$2:$F$61,MATCH($J693,B!$E$2:$E$61,0))&amp;"",""))</f>
        <v/>
      </c>
      <c r="O693" s="69">
        <f>IF($J693="","",IFERROR(INDEX(B!$G$2:$G$61,MATCH($J693,B!$E$2:$E$61,0))&amp;"",""))</f>
        <v/>
      </c>
      <c r="P693" s="69">
        <f>IF($J693="","",IFERROR(INDEX(B!$H$2:$H$61,MATCH($J693,B!$E$2:$E$61,0))&amp;"",""))</f>
        <v/>
      </c>
      <c r="Q693" s="69">
        <f>IF($J693="","",IFERROR(INDEX(B!$I$2:$I$61,MATCH($J693,B!$E$2:$E$61,0))&amp;"",""))</f>
        <v/>
      </c>
      <c r="R693" s="69">
        <f>IF($J693="","",IFERROR(INDEX(B!$J$2:$J$61,MATCH($J693,B!$E$2:$E$61,0))&amp;"",""))</f>
        <v/>
      </c>
      <c r="S693" s="69">
        <f>IF($J693="","",IFERROR(INDEX(B!$K$2:$K$61,MATCH($J693,B!$E$2:$E$61,0))&amp;"",""))</f>
        <v/>
      </c>
      <c r="T693" s="69">
        <f>IF($J693="","",IFERROR(INDEX(B!$L$2:$L$61,MATCH($J693,B!$E$2:$E$61,0))&amp;"",""))</f>
        <v/>
      </c>
      <c r="U693" s="20" t="n"/>
      <c r="V693" s="70">
        <f>IF($J693="","",IFERROR(INDEX(B!$M$2:$M$61,MATCH($J693,B!$E$2:$E$61,0))&amp;"",""))</f>
        <v/>
      </c>
      <c r="W693" s="71">
        <f>IF(I693="","",IFERROR(MID(I693,FIND("/d/",I693)+3,FIND("/edit",I693)-FIND("/d/",I693)-3),I693))</f>
        <v/>
      </c>
      <c r="X693" s="71">
        <f>IF($J693="","",IFERROR(INDEX(B!$C$2:$C$61,MATCH($J693,B!$E$2:$E$61,0))&amp;"",""))</f>
        <v/>
      </c>
      <c r="Y693" s="20" t="n"/>
      <c r="Z693" s="72">
        <f>IF($J693="",FALSE,ISNUMBER(SEARCH("scout",$K693)))</f>
        <v/>
      </c>
      <c r="AA693" s="72">
        <f>IF($J693="",FALSE,IFERROR(INDEX(B!$N$2:$N$61,MATCH($J693,B!$E$2:$E$61,0))="Sim",FALSE))</f>
        <v/>
      </c>
      <c r="AB693" s="72">
        <f>IF($J693="",FALSE,LEFT($X693,2)="XX")</f>
        <v/>
      </c>
      <c r="AC693" s="72">
        <f>IF($J693="",FALSE,IFERROR(INDEX(B!$P$2:$P$61,MATCH($J693,B!$E$2:$E$61,0))="Sim",FALSE))</f>
        <v/>
      </c>
      <c r="AD693" s="20" t="n"/>
      <c r="AE693" s="52">
        <f>IF(H693="","",HOUR(H693))</f>
        <v/>
      </c>
      <c r="AF693" s="52" t="n"/>
    </row>
    <row r="694" ht="19.5" customHeight="1" s="58">
      <c r="A694" s="62">
        <f>IF(G694="","",IF(G694=G693,"",COUNTIF($G$3:$G$976,G694)))</f>
        <v/>
      </c>
      <c r="B694" s="20" t="n"/>
      <c r="C694" s="63">
        <f>IF(G694="","",DAY(G694))</f>
        <v/>
      </c>
      <c r="D694" s="63">
        <f>IF(G694="","",MONTH(G694))</f>
        <v/>
      </c>
      <c r="E694" s="63">
        <f>IF(G694="","",YEAR(G694))</f>
        <v/>
      </c>
      <c r="F694" s="33">
        <f>IF(G694="","",CHOOSE(MONTH(G694),"Janeiro","Fevereiro","Março","Abril","Maio","Junho","Julho","Agosto","Setembro","Outubro","Novembro","Dezembro"))</f>
        <v/>
      </c>
      <c r="G694" s="64" t="n">
        <v>46075</v>
      </c>
      <c r="H694" s="65" t="n">
        <v>0.0999074074074074</v>
      </c>
      <c r="I694" s="66" t="inlineStr">
        <is>
          <t>https://docs.google.com/spreadsheets/d/1ZiCGoPjLCjuYvujDTXK9Ixbth3tekiLtFBzBrGjPCr4/edit?gid=0#gid=0</t>
        </is>
      </c>
      <c r="J694" s="67" t="inlineStr">
        <is>
          <t>Transferência de LOB (Lost Items) - [TILI]</t>
        </is>
      </c>
      <c r="K694" s="67" t="inlineStr"/>
      <c r="L694" s="68" t="b">
        <v>0</v>
      </c>
      <c r="M694" s="20" t="n"/>
      <c r="N694" s="69">
        <f>IF($J694="","",IFERROR(INDEX(B!$F$2:$F$61,MATCH($J694,B!$E$2:$E$61,0))&amp;"",""))</f>
        <v/>
      </c>
      <c r="O694" s="69">
        <f>IF($J694="","",IFERROR(INDEX(B!$G$2:$G$61,MATCH($J694,B!$E$2:$E$61,0))&amp;"",""))</f>
        <v/>
      </c>
      <c r="P694" s="69">
        <f>IF($J694="","",IFERROR(INDEX(B!$H$2:$H$61,MATCH($J694,B!$E$2:$E$61,0))&amp;"",""))</f>
        <v/>
      </c>
      <c r="Q694" s="69">
        <f>IF($J694="","",IFERROR(INDEX(B!$I$2:$I$61,MATCH($J694,B!$E$2:$E$61,0))&amp;"",""))</f>
        <v/>
      </c>
      <c r="R694" s="69">
        <f>IF($J694="","",IFERROR(INDEX(B!$J$2:$J$61,MATCH($J694,B!$E$2:$E$61,0))&amp;"",""))</f>
        <v/>
      </c>
      <c r="S694" s="69">
        <f>IF($J694="","",IFERROR(INDEX(B!$K$2:$K$61,MATCH($J694,B!$E$2:$E$61,0))&amp;"",""))</f>
        <v/>
      </c>
      <c r="T694" s="69">
        <f>IF($J694="","",IFERROR(INDEX(B!$L$2:$L$61,MATCH($J694,B!$E$2:$E$61,0))&amp;"",""))</f>
        <v/>
      </c>
      <c r="U694" s="20" t="n"/>
      <c r="V694" s="70">
        <f>IF($J694="","",IFERROR(INDEX(B!$M$2:$M$61,MATCH($J694,B!$E$2:$E$61,0))&amp;"",""))</f>
        <v/>
      </c>
      <c r="W694" s="71">
        <f>IF(I694="","",IFERROR(MID(I694,FIND("/d/",I694)+3,FIND("/edit",I694)-FIND("/d/",I694)-3),I694))</f>
        <v/>
      </c>
      <c r="X694" s="71">
        <f>IF($J694="","",IFERROR(INDEX(B!$C$2:$C$61,MATCH($J694,B!$E$2:$E$61,0))&amp;"",""))</f>
        <v/>
      </c>
      <c r="Y694" s="20" t="n"/>
      <c r="Z694" s="72">
        <f>IF($J694="",FALSE,ISNUMBER(SEARCH("scout",$K694)))</f>
        <v/>
      </c>
      <c r="AA694" s="72">
        <f>IF($J694="",FALSE,IFERROR(INDEX(B!$N$2:$N$61,MATCH($J694,B!$E$2:$E$61,0))="Sim",FALSE))</f>
        <v/>
      </c>
      <c r="AB694" s="72">
        <f>IF($J694="",FALSE,LEFT($X694,2)="XX")</f>
        <v/>
      </c>
      <c r="AC694" s="72">
        <f>IF($J694="",FALSE,IFERROR(INDEX(B!$P$2:$P$61,MATCH($J694,B!$E$2:$E$61,0))="Sim",FALSE))</f>
        <v/>
      </c>
      <c r="AD694" s="20" t="n"/>
      <c r="AE694" s="52">
        <f>IF(H694="","",HOUR(H694))</f>
        <v/>
      </c>
      <c r="AF694" s="52" t="n"/>
    </row>
    <row r="695" ht="19.5" customHeight="1" s="58">
      <c r="A695" s="62">
        <f>IF(G695="","",IF(G695=G694,"",COUNTIF($G$3:$G$976,G695)))</f>
        <v/>
      </c>
      <c r="B695" s="20" t="n"/>
      <c r="C695" s="63">
        <f>IF(G695="","",DAY(G695))</f>
        <v/>
      </c>
      <c r="D695" s="63">
        <f>IF(G695="","",MONTH(G695))</f>
        <v/>
      </c>
      <c r="E695" s="63">
        <f>IF(G695="","",YEAR(G695))</f>
        <v/>
      </c>
      <c r="F695" s="33">
        <f>IF(G695="","",CHOOSE(MONTH(G695),"Janeiro","Fevereiro","Março","Abril","Maio","Junho","Julho","Agosto","Setembro","Outubro","Novembro","Dezembro"))</f>
        <v/>
      </c>
      <c r="G695" s="64" t="n">
        <v>46075</v>
      </c>
      <c r="H695" s="65" t="n">
        <v>0.1002199074074074</v>
      </c>
      <c r="I695" s="66" t="inlineStr">
        <is>
          <t>https://docs.google.com/spreadsheets/d/1ZiCGoPjLCjuYvujDTXK9Ixbth3tekiLtFBzBrGjPCr4/edit?gid=0#gid=0</t>
        </is>
      </c>
      <c r="J695" s="67" t="inlineStr">
        <is>
          <t>Transferência de LOB (Safety) - [TIST]</t>
        </is>
      </c>
      <c r="K695" s="67" t="inlineStr"/>
      <c r="L695" s="68" t="b">
        <v>0</v>
      </c>
      <c r="M695" s="20" t="n"/>
      <c r="N695" s="69">
        <f>IF($J695="","",IFERROR(INDEX(B!$F$2:$F$61,MATCH($J695,B!$E$2:$E$61,0))&amp;"",""))</f>
        <v/>
      </c>
      <c r="O695" s="69">
        <f>IF($J695="","",IFERROR(INDEX(B!$G$2:$G$61,MATCH($J695,B!$E$2:$E$61,0))&amp;"",""))</f>
        <v/>
      </c>
      <c r="P695" s="69">
        <f>IF($J695="","",IFERROR(INDEX(B!$H$2:$H$61,MATCH($J695,B!$E$2:$E$61,0))&amp;"",""))</f>
        <v/>
      </c>
      <c r="Q695" s="69">
        <f>IF($J695="","",IFERROR(INDEX(B!$I$2:$I$61,MATCH($J695,B!$E$2:$E$61,0))&amp;"",""))</f>
        <v/>
      </c>
      <c r="R695" s="69">
        <f>IF($J695="","",IFERROR(INDEX(B!$J$2:$J$61,MATCH($J695,B!$E$2:$E$61,0))&amp;"",""))</f>
        <v/>
      </c>
      <c r="S695" s="69">
        <f>IF($J695="","",IFERROR(INDEX(B!$K$2:$K$61,MATCH($J695,B!$E$2:$E$61,0))&amp;"",""))</f>
        <v/>
      </c>
      <c r="T695" s="69">
        <f>IF($J695="","",IFERROR(INDEX(B!$L$2:$L$61,MATCH($J695,B!$E$2:$E$61,0))&amp;"",""))</f>
        <v/>
      </c>
      <c r="U695" s="20" t="n"/>
      <c r="V695" s="70">
        <f>IF($J695="","",IFERROR(INDEX(B!$M$2:$M$61,MATCH($J695,B!$E$2:$E$61,0))&amp;"",""))</f>
        <v/>
      </c>
      <c r="W695" s="71">
        <f>IF(I695="","",IFERROR(MID(I695,FIND("/d/",I695)+3,FIND("/edit",I695)-FIND("/d/",I695)-3),I695))</f>
        <v/>
      </c>
      <c r="X695" s="71">
        <f>IF($J695="","",IFERROR(INDEX(B!$C$2:$C$61,MATCH($J695,B!$E$2:$E$61,0))&amp;"",""))</f>
        <v/>
      </c>
      <c r="Y695" s="20" t="n"/>
      <c r="Z695" s="72">
        <f>IF($J695="",FALSE,ISNUMBER(SEARCH("scout",$K695)))</f>
        <v/>
      </c>
      <c r="AA695" s="72">
        <f>IF($J695="",FALSE,IFERROR(INDEX(B!$N$2:$N$61,MATCH($J695,B!$E$2:$E$61,0))="Sim",FALSE))</f>
        <v/>
      </c>
      <c r="AB695" s="72">
        <f>IF($J695="",FALSE,LEFT($X695,2)="XX")</f>
        <v/>
      </c>
      <c r="AC695" s="72">
        <f>IF($J695="",FALSE,IFERROR(INDEX(B!$P$2:$P$61,MATCH($J695,B!$E$2:$E$61,0))="Sim",FALSE))</f>
        <v/>
      </c>
      <c r="AD695" s="20" t="n"/>
      <c r="AE695" s="52">
        <f>IF(H695="","",HOUR(H695))</f>
        <v/>
      </c>
      <c r="AF695" s="52" t="n"/>
    </row>
    <row r="696" ht="19.5" customHeight="1" s="58">
      <c r="A696" s="62">
        <f>IF(G696="","",IF(G696=G695,"",COUNTIF($G$3:$G$976,G696)))</f>
        <v/>
      </c>
      <c r="B696" s="20" t="n"/>
      <c r="C696" s="63">
        <f>IF(G696="","",DAY(G696))</f>
        <v/>
      </c>
      <c r="D696" s="63">
        <f>IF(G696="","",MONTH(G696))</f>
        <v/>
      </c>
      <c r="E696" s="63">
        <f>IF(G696="","",YEAR(G696))</f>
        <v/>
      </c>
      <c r="F696" s="33">
        <f>IF(G696="","",CHOOSE(MONTH(G696),"Janeiro","Fevereiro","Março","Abril","Maio","Junho","Julho","Agosto","Setembro","Outubro","Novembro","Dezembro"))</f>
        <v/>
      </c>
      <c r="G696" s="64" t="n">
        <v>46075</v>
      </c>
      <c r="H696" s="65" t="n">
        <v>0.1015046296296296</v>
      </c>
      <c r="I696" s="66" t="inlineStr">
        <is>
          <t>https://docs.google.com/spreadsheets/d/1ZiCGoPjLCjuYvujDTXK9Ixbth3tekiLtFBzBrGjPCr4/edit?gid=0#gid=0</t>
        </is>
      </c>
      <c r="J696" s="67" t="inlineStr">
        <is>
          <t>Taxa de Limpeza - [TXL]</t>
        </is>
      </c>
      <c r="K696" s="67" t="inlineStr"/>
      <c r="L696" s="68" t="b">
        <v>0</v>
      </c>
      <c r="M696" s="20" t="n"/>
      <c r="N696" s="69">
        <f>IF($J696="","",IFERROR(INDEX(B!$F$2:$F$61,MATCH($J696,B!$E$2:$E$61,0))&amp;"",""))</f>
        <v/>
      </c>
      <c r="O696" s="69">
        <f>IF($J696="","",IFERROR(INDEX(B!$G$2:$G$61,MATCH($J696,B!$E$2:$E$61,0))&amp;"",""))</f>
        <v/>
      </c>
      <c r="P696" s="69">
        <f>IF($J696="","",IFERROR(INDEX(B!$H$2:$H$61,MATCH($J696,B!$E$2:$E$61,0))&amp;"",""))</f>
        <v/>
      </c>
      <c r="Q696" s="69">
        <f>IF($J696="","",IFERROR(INDEX(B!$I$2:$I$61,MATCH($J696,B!$E$2:$E$61,0))&amp;"",""))</f>
        <v/>
      </c>
      <c r="R696" s="69">
        <f>IF($J696="","",IFERROR(INDEX(B!$J$2:$J$61,MATCH($J696,B!$E$2:$E$61,0))&amp;"",""))</f>
        <v/>
      </c>
      <c r="S696" s="69">
        <f>IF($J696="","",IFERROR(INDEX(B!$K$2:$K$61,MATCH($J696,B!$E$2:$E$61,0))&amp;"",""))</f>
        <v/>
      </c>
      <c r="T696" s="69">
        <f>IF($J696="","",IFERROR(INDEX(B!$L$2:$L$61,MATCH($J696,B!$E$2:$E$61,0))&amp;"",""))</f>
        <v/>
      </c>
      <c r="U696" s="20" t="n"/>
      <c r="V696" s="70">
        <f>IF($J696="","",IFERROR(INDEX(B!$M$2:$M$61,MATCH($J696,B!$E$2:$E$61,0))&amp;"",""))</f>
        <v/>
      </c>
      <c r="W696" s="71">
        <f>IF(I696="","",IFERROR(MID(I696,FIND("/d/",I696)+3,FIND("/edit",I696)-FIND("/d/",I696)-3),I696))</f>
        <v/>
      </c>
      <c r="X696" s="71">
        <f>IF($J696="","",IFERROR(INDEX(B!$C$2:$C$61,MATCH($J696,B!$E$2:$E$61,0))&amp;"",""))</f>
        <v/>
      </c>
      <c r="Y696" s="20" t="n"/>
      <c r="Z696" s="72">
        <f>IF($J696="",FALSE,ISNUMBER(SEARCH("scout",$K696)))</f>
        <v/>
      </c>
      <c r="AA696" s="72">
        <f>IF($J696="",FALSE,IFERROR(INDEX(B!$N$2:$N$61,MATCH($J696,B!$E$2:$E$61,0))="Sim",FALSE))</f>
        <v/>
      </c>
      <c r="AB696" s="72">
        <f>IF($J696="",FALSE,LEFT($X696,2)="XX")</f>
        <v/>
      </c>
      <c r="AC696" s="72">
        <f>IF($J696="",FALSE,IFERROR(INDEX(B!$P$2:$P$61,MATCH($J696,B!$E$2:$E$61,0))="Sim",FALSE))</f>
        <v/>
      </c>
      <c r="AD696" s="20" t="n"/>
      <c r="AE696" s="52">
        <f>IF(H696="","",HOUR(H696))</f>
        <v/>
      </c>
      <c r="AF696" s="52" t="n"/>
    </row>
    <row r="697" ht="19.5" customHeight="1" s="58">
      <c r="A697" s="62">
        <f>IF(G697="","",IF(G697=G696,"",COUNTIF($G$3:$G$976,G697)))</f>
        <v/>
      </c>
      <c r="B697" s="20" t="n"/>
      <c r="C697" s="63">
        <f>IF(G697="","",DAY(G697))</f>
        <v/>
      </c>
      <c r="D697" s="63">
        <f>IF(G697="","",MONTH(G697))</f>
        <v/>
      </c>
      <c r="E697" s="63">
        <f>IF(G697="","",YEAR(G697))</f>
        <v/>
      </c>
      <c r="F697" s="33">
        <f>IF(G697="","",CHOOSE(MONTH(G697),"Janeiro","Fevereiro","Março","Abril","Maio","Junho","Julho","Agosto","Setembro","Outubro","Novembro","Dezembro"))</f>
        <v/>
      </c>
      <c r="G697" s="64" t="n">
        <v>46075</v>
      </c>
      <c r="H697" s="65" t="n">
        <v>0.1046296296296296</v>
      </c>
      <c r="I697" s="66" t="inlineStr">
        <is>
          <t>https://docs.google.com/spreadsheets/d/1ZiCGoPjLCjuYvujDTXK9Ixbth3tekiLtFBzBrGjPCr4/edit?gid=0#gid=0</t>
        </is>
      </c>
      <c r="J697" s="67" t="inlineStr">
        <is>
          <t>Transferência de LOB (Safety) - [TIST]</t>
        </is>
      </c>
      <c r="K697" s="67" t="inlineStr">
        <is>
          <t>Scout</t>
        </is>
      </c>
      <c r="L697" s="68" t="b">
        <v>0</v>
      </c>
      <c r="M697" s="20" t="n"/>
      <c r="N697" s="69">
        <f>IF($J697="","",IFERROR(INDEX(B!$F$2:$F$61,MATCH($J697,B!$E$2:$E$61,0))&amp;"",""))</f>
        <v/>
      </c>
      <c r="O697" s="69">
        <f>IF($J697="","",IFERROR(INDEX(B!$G$2:$G$61,MATCH($J697,B!$E$2:$E$61,0))&amp;"",""))</f>
        <v/>
      </c>
      <c r="P697" s="69">
        <f>IF($J697="","",IFERROR(INDEX(B!$H$2:$H$61,MATCH($J697,B!$E$2:$E$61,0))&amp;"",""))</f>
        <v/>
      </c>
      <c r="Q697" s="69">
        <f>IF($J697="","",IFERROR(INDEX(B!$I$2:$I$61,MATCH($J697,B!$E$2:$E$61,0))&amp;"",""))</f>
        <v/>
      </c>
      <c r="R697" s="69">
        <f>IF($J697="","",IFERROR(INDEX(B!$J$2:$J$61,MATCH($J697,B!$E$2:$E$61,0))&amp;"",""))</f>
        <v/>
      </c>
      <c r="S697" s="69">
        <f>IF($J697="","",IFERROR(INDEX(B!$K$2:$K$61,MATCH($J697,B!$E$2:$E$61,0))&amp;"",""))</f>
        <v/>
      </c>
      <c r="T697" s="69">
        <f>IF($J697="","",IFERROR(INDEX(B!$L$2:$L$61,MATCH($J697,B!$E$2:$E$61,0))&amp;"",""))</f>
        <v/>
      </c>
      <c r="U697" s="20" t="n"/>
      <c r="V697" s="70">
        <f>IF($J697="","",IFERROR(INDEX(B!$M$2:$M$61,MATCH($J697,B!$E$2:$E$61,0))&amp;"",""))</f>
        <v/>
      </c>
      <c r="W697" s="71">
        <f>IF(I697="","",IFERROR(MID(I697,FIND("/d/",I697)+3,FIND("/edit",I697)-FIND("/d/",I697)-3),I697))</f>
        <v/>
      </c>
      <c r="X697" s="71">
        <f>IF($J697="","",IFERROR(INDEX(B!$C$2:$C$61,MATCH($J697,B!$E$2:$E$61,0))&amp;"",""))</f>
        <v/>
      </c>
      <c r="Y697" s="20" t="n"/>
      <c r="Z697" s="72">
        <f>IF($J697="",FALSE,ISNUMBER(SEARCH("scout",$K697)))</f>
        <v/>
      </c>
      <c r="AA697" s="72">
        <f>IF($J697="",FALSE,IFERROR(INDEX(B!$N$2:$N$61,MATCH($J697,B!$E$2:$E$61,0))="Sim",FALSE))</f>
        <v/>
      </c>
      <c r="AB697" s="72">
        <f>IF($J697="",FALSE,LEFT($X697,2)="XX")</f>
        <v/>
      </c>
      <c r="AC697" s="72">
        <f>IF($J697="",FALSE,IFERROR(INDEX(B!$P$2:$P$61,MATCH($J697,B!$E$2:$E$61,0))="Sim",FALSE))</f>
        <v/>
      </c>
      <c r="AD697" s="20" t="n"/>
      <c r="AE697" s="52">
        <f>IF(H697="","",HOUR(H697))</f>
        <v/>
      </c>
      <c r="AF697" s="52" t="n"/>
    </row>
    <row r="698" ht="19.5" customHeight="1" s="58">
      <c r="A698" s="62">
        <f>IF(G698="","",IF(G698=G697,"",COUNTIF($G$3:$G$976,G698)))</f>
        <v/>
      </c>
      <c r="B698" s="20" t="n"/>
      <c r="C698" s="63">
        <f>IF(G698="","",DAY(G698))</f>
        <v/>
      </c>
      <c r="D698" s="63">
        <f>IF(G698="","",MONTH(G698))</f>
        <v/>
      </c>
      <c r="E698" s="63">
        <f>IF(G698="","",YEAR(G698))</f>
        <v/>
      </c>
      <c r="F698" s="33">
        <f>IF(G698="","",CHOOSE(MONTH(G698),"Janeiro","Fevereiro","Março","Abril","Maio","Junho","Julho","Agosto","Setembro","Outubro","Novembro","Dezembro"))</f>
        <v/>
      </c>
      <c r="G698" s="64" t="n">
        <v>46075</v>
      </c>
      <c r="H698" s="65" t="n">
        <v>0.1138194444444444</v>
      </c>
      <c r="I698" s="66" t="inlineStr">
        <is>
          <t>https://docs.google.com/spreadsheets/d/1ZiCGoPjLCjuYvujDTXK9Ixbth3tekiLtFBzBrGjPCr4/edit?gid=0#gid=0</t>
        </is>
      </c>
      <c r="J698" s="67" t="inlineStr">
        <is>
          <t>Transferência de LOB (Safety) - [TIST]</t>
        </is>
      </c>
      <c r="K698" s="67" t="inlineStr"/>
      <c r="L698" s="68" t="b">
        <v>0</v>
      </c>
      <c r="M698" s="20" t="n"/>
      <c r="N698" s="69">
        <f>IF($J698="","",IFERROR(INDEX(B!$F$2:$F$61,MATCH($J698,B!$E$2:$E$61,0))&amp;"",""))</f>
        <v/>
      </c>
      <c r="O698" s="69">
        <f>IF($J698="","",IFERROR(INDEX(B!$G$2:$G$61,MATCH($J698,B!$E$2:$E$61,0))&amp;"",""))</f>
        <v/>
      </c>
      <c r="P698" s="69">
        <f>IF($J698="","",IFERROR(INDEX(B!$H$2:$H$61,MATCH($J698,B!$E$2:$E$61,0))&amp;"",""))</f>
        <v/>
      </c>
      <c r="Q698" s="69">
        <f>IF($J698="","",IFERROR(INDEX(B!$I$2:$I$61,MATCH($J698,B!$E$2:$E$61,0))&amp;"",""))</f>
        <v/>
      </c>
      <c r="R698" s="69">
        <f>IF($J698="","",IFERROR(INDEX(B!$J$2:$J$61,MATCH($J698,B!$E$2:$E$61,0))&amp;"",""))</f>
        <v/>
      </c>
      <c r="S698" s="69">
        <f>IF($J698="","",IFERROR(INDEX(B!$K$2:$K$61,MATCH($J698,B!$E$2:$E$61,0))&amp;"",""))</f>
        <v/>
      </c>
      <c r="T698" s="69">
        <f>IF($J698="","",IFERROR(INDEX(B!$L$2:$L$61,MATCH($J698,B!$E$2:$E$61,0))&amp;"",""))</f>
        <v/>
      </c>
      <c r="U698" s="20" t="n"/>
      <c r="V698" s="70">
        <f>IF($J698="","",IFERROR(INDEX(B!$M$2:$M$61,MATCH($J698,B!$E$2:$E$61,0))&amp;"",""))</f>
        <v/>
      </c>
      <c r="W698" s="71">
        <f>IF(I698="","",IFERROR(MID(I698,FIND("/d/",I698)+3,FIND("/edit",I698)-FIND("/d/",I698)-3),I698))</f>
        <v/>
      </c>
      <c r="X698" s="71">
        <f>IF($J698="","",IFERROR(INDEX(B!$C$2:$C$61,MATCH($J698,B!$E$2:$E$61,0))&amp;"",""))</f>
        <v/>
      </c>
      <c r="Y698" s="20" t="n"/>
      <c r="Z698" s="72">
        <f>IF($J698="",FALSE,ISNUMBER(SEARCH("scout",$K698)))</f>
        <v/>
      </c>
      <c r="AA698" s="72">
        <f>IF($J698="",FALSE,IFERROR(INDEX(B!$N$2:$N$61,MATCH($J698,B!$E$2:$E$61,0))="Sim",FALSE))</f>
        <v/>
      </c>
      <c r="AB698" s="72">
        <f>IF($J698="",FALSE,LEFT($X698,2)="XX")</f>
        <v/>
      </c>
      <c r="AC698" s="72">
        <f>IF($J698="",FALSE,IFERROR(INDEX(B!$P$2:$P$61,MATCH($J698,B!$E$2:$E$61,0))="Sim",FALSE))</f>
        <v/>
      </c>
      <c r="AD698" s="20" t="n"/>
      <c r="AE698" s="52">
        <f>IF(H698="","",HOUR(H698))</f>
        <v/>
      </c>
      <c r="AF698" s="52" t="n"/>
    </row>
    <row r="699" ht="19.5" customHeight="1" s="58">
      <c r="A699" s="62">
        <f>IF(G699="","",IF(G699=G698,"",COUNTIF($G$3:$G$976,G699)))</f>
        <v/>
      </c>
      <c r="B699" s="20" t="n"/>
      <c r="C699" s="63">
        <f>IF(G699="","",DAY(G699))</f>
        <v/>
      </c>
      <c r="D699" s="63">
        <f>IF(G699="","",MONTH(G699))</f>
        <v/>
      </c>
      <c r="E699" s="63">
        <f>IF(G699="","",YEAR(G699))</f>
        <v/>
      </c>
      <c r="F699" s="33">
        <f>IF(G699="","",CHOOSE(MONTH(G699),"Janeiro","Fevereiro","Março","Abril","Maio","Junho","Julho","Agosto","Setembro","Outubro","Novembro","Dezembro"))</f>
        <v/>
      </c>
      <c r="G699" s="64" t="n">
        <v>46075</v>
      </c>
      <c r="H699" s="65" t="n">
        <v>0.1138541666666667</v>
      </c>
      <c r="I699" s="66" t="inlineStr">
        <is>
          <t>https://docs.google.com/spreadsheets/d/1ZiCGoPjLCjuYvujDTXK9Ixbth3tekiLtFBzBrGjPCr4/edit?gid=0#gid=0</t>
        </is>
      </c>
      <c r="J699" s="67" t="inlineStr">
        <is>
          <t>Transferência de LOB (Driver) - [TIDV]</t>
        </is>
      </c>
      <c r="K699" s="67" t="inlineStr">
        <is>
          <t>Scout</t>
        </is>
      </c>
      <c r="L699" s="68" t="b">
        <v>0</v>
      </c>
      <c r="M699" s="20" t="n"/>
      <c r="N699" s="69">
        <f>IF($J699="","",IFERROR(INDEX(B!$F$2:$F$61,MATCH($J699,B!$E$2:$E$61,0))&amp;"",""))</f>
        <v/>
      </c>
      <c r="O699" s="69">
        <f>IF($J699="","",IFERROR(INDEX(B!$G$2:$G$61,MATCH($J699,B!$E$2:$E$61,0))&amp;"",""))</f>
        <v/>
      </c>
      <c r="P699" s="69">
        <f>IF($J699="","",IFERROR(INDEX(B!$H$2:$H$61,MATCH($J699,B!$E$2:$E$61,0))&amp;"",""))</f>
        <v/>
      </c>
      <c r="Q699" s="69">
        <f>IF($J699="","",IFERROR(INDEX(B!$I$2:$I$61,MATCH($J699,B!$E$2:$E$61,0))&amp;"",""))</f>
        <v/>
      </c>
      <c r="R699" s="69">
        <f>IF($J699="","",IFERROR(INDEX(B!$J$2:$J$61,MATCH($J699,B!$E$2:$E$61,0))&amp;"",""))</f>
        <v/>
      </c>
      <c r="S699" s="69">
        <f>IF($J699="","",IFERROR(INDEX(B!$K$2:$K$61,MATCH($J699,B!$E$2:$E$61,0))&amp;"",""))</f>
        <v/>
      </c>
      <c r="T699" s="69">
        <f>IF($J699="","",IFERROR(INDEX(B!$L$2:$L$61,MATCH($J699,B!$E$2:$E$61,0))&amp;"",""))</f>
        <v/>
      </c>
      <c r="U699" s="20" t="n"/>
      <c r="V699" s="70">
        <f>IF($J699="","",IFERROR(INDEX(B!$M$2:$M$61,MATCH($J699,B!$E$2:$E$61,0))&amp;"",""))</f>
        <v/>
      </c>
      <c r="W699" s="71">
        <f>IF(I699="","",IFERROR(MID(I699,FIND("/d/",I699)+3,FIND("/edit",I699)-FIND("/d/",I699)-3),I699))</f>
        <v/>
      </c>
      <c r="X699" s="71">
        <f>IF($J699="","",IFERROR(INDEX(B!$C$2:$C$61,MATCH($J699,B!$E$2:$E$61,0))&amp;"",""))</f>
        <v/>
      </c>
      <c r="Y699" s="20" t="n"/>
      <c r="Z699" s="72">
        <f>IF($J699="",FALSE,ISNUMBER(SEARCH("scout",$K699)))</f>
        <v/>
      </c>
      <c r="AA699" s="72">
        <f>IF($J699="",FALSE,IFERROR(INDEX(B!$N$2:$N$61,MATCH($J699,B!$E$2:$E$61,0))="Sim",FALSE))</f>
        <v/>
      </c>
      <c r="AB699" s="72">
        <f>IF($J699="",FALSE,LEFT($X699,2)="XX")</f>
        <v/>
      </c>
      <c r="AC699" s="72">
        <f>IF($J699="",FALSE,IFERROR(INDEX(B!$P$2:$P$61,MATCH($J699,B!$E$2:$E$61,0))="Sim",FALSE))</f>
        <v/>
      </c>
      <c r="AD699" s="20" t="n"/>
      <c r="AE699" s="52">
        <f>IF(H699="","",HOUR(H699))</f>
        <v/>
      </c>
      <c r="AF699" s="52" t="n"/>
    </row>
    <row r="700" ht="19.5" customHeight="1" s="58">
      <c r="A700" s="62">
        <f>IF(G700="","",IF(G700=G699,"",COUNTIF($G$3:$G$976,G700)))</f>
        <v/>
      </c>
      <c r="B700" s="20" t="n"/>
      <c r="C700" s="63">
        <f>IF(G700="","",DAY(G700))</f>
        <v/>
      </c>
      <c r="D700" s="63">
        <f>IF(G700="","",MONTH(G700))</f>
        <v/>
      </c>
      <c r="E700" s="63">
        <f>IF(G700="","",YEAR(G700))</f>
        <v/>
      </c>
      <c r="F700" s="33">
        <f>IF(G700="","",CHOOSE(MONTH(G700),"Janeiro","Fevereiro","Março","Abril","Maio","Junho","Julho","Agosto","Setembro","Outubro","Novembro","Dezembro"))</f>
        <v/>
      </c>
      <c r="G700" s="64" t="n">
        <v>46075</v>
      </c>
      <c r="H700" s="65" t="n">
        <v>0.1190393518518519</v>
      </c>
      <c r="I700" s="66" t="inlineStr">
        <is>
          <t>https://docs.google.com/spreadsheets/d/1ZiCGoPjLCjuYvujDTXK9Ixbth3tekiLtFBzBrGjPCr4/edit?gid=0#gid=0</t>
        </is>
      </c>
      <c r="J700" s="67" t="inlineStr">
        <is>
          <t>Mais informações (Quanto Pagou?) - [AAV]</t>
        </is>
      </c>
      <c r="K700" s="67" t="inlineStr">
        <is>
          <t>Scout</t>
        </is>
      </c>
      <c r="L700" s="68" t="b">
        <v>0</v>
      </c>
      <c r="M700" s="20" t="n"/>
      <c r="N700" s="69">
        <f>IF($J700="","",IFERROR(INDEX(B!$F$2:$F$61,MATCH($J700,B!$E$2:$E$61,0))&amp;"",""))</f>
        <v/>
      </c>
      <c r="O700" s="69">
        <f>IF($J700="","",IFERROR(INDEX(B!$G$2:$G$61,MATCH($J700,B!$E$2:$E$61,0))&amp;"",""))</f>
        <v/>
      </c>
      <c r="P700" s="69">
        <f>IF($J700="","",IFERROR(INDEX(B!$H$2:$H$61,MATCH($J700,B!$E$2:$E$61,0))&amp;"",""))</f>
        <v/>
      </c>
      <c r="Q700" s="69">
        <f>IF($J700="","",IFERROR(INDEX(B!$I$2:$I$61,MATCH($J700,B!$E$2:$E$61,0))&amp;"",""))</f>
        <v/>
      </c>
      <c r="R700" s="69">
        <f>IF($J700="","",IFERROR(INDEX(B!$J$2:$J$61,MATCH($J700,B!$E$2:$E$61,0))&amp;"",""))</f>
        <v/>
      </c>
      <c r="S700" s="69">
        <f>IF($J700="","",IFERROR(INDEX(B!$K$2:$K$61,MATCH($J700,B!$E$2:$E$61,0))&amp;"",""))</f>
        <v/>
      </c>
      <c r="T700" s="69">
        <f>IF($J700="","",IFERROR(INDEX(B!$L$2:$L$61,MATCH($J700,B!$E$2:$E$61,0))&amp;"",""))</f>
        <v/>
      </c>
      <c r="U700" s="20" t="n"/>
      <c r="V700" s="70">
        <f>IF($J700="","",IFERROR(INDEX(B!$M$2:$M$61,MATCH($J700,B!$E$2:$E$61,0))&amp;"",""))</f>
        <v/>
      </c>
      <c r="W700" s="71">
        <f>IF(I700="","",IFERROR(MID(I700,FIND("/d/",I700)+3,FIND("/edit",I700)-FIND("/d/",I700)-3),I700))</f>
        <v/>
      </c>
      <c r="X700" s="71">
        <f>IF($J700="","",IFERROR(INDEX(B!$C$2:$C$61,MATCH($J700,B!$E$2:$E$61,0))&amp;"",""))</f>
        <v/>
      </c>
      <c r="Y700" s="20" t="n"/>
      <c r="Z700" s="72">
        <f>IF($J700="",FALSE,ISNUMBER(SEARCH("scout",$K700)))</f>
        <v/>
      </c>
      <c r="AA700" s="72">
        <f>IF($J700="",FALSE,IFERROR(INDEX(B!$N$2:$N$61,MATCH($J700,B!$E$2:$E$61,0))="Sim",FALSE))</f>
        <v/>
      </c>
      <c r="AB700" s="72">
        <f>IF($J700="",FALSE,LEFT($X700,2)="XX")</f>
        <v/>
      </c>
      <c r="AC700" s="72">
        <f>IF($J700="",FALSE,IFERROR(INDEX(B!$P$2:$P$61,MATCH($J700,B!$E$2:$E$61,0))="Sim",FALSE))</f>
        <v/>
      </c>
      <c r="AD700" s="20" t="n"/>
      <c r="AE700" s="52">
        <f>IF(H700="","",HOUR(H700))</f>
        <v/>
      </c>
      <c r="AF700" s="52" t="n"/>
    </row>
    <row r="701" ht="19.5" customHeight="1" s="58">
      <c r="A701" s="62">
        <f>IF(G701="","",IF(G701=G700,"",COUNTIF($G$3:$G$976,G701)))</f>
        <v/>
      </c>
      <c r="B701" s="20" t="n"/>
      <c r="C701" s="63">
        <f>IF(G701="","",DAY(G701))</f>
        <v/>
      </c>
      <c r="D701" s="63">
        <f>IF(G701="","",MONTH(G701))</f>
        <v/>
      </c>
      <c r="E701" s="63">
        <f>IF(G701="","",YEAR(G701))</f>
        <v/>
      </c>
      <c r="F701" s="33">
        <f>IF(G701="","",CHOOSE(MONTH(G701),"Janeiro","Fevereiro","Março","Abril","Maio","Junho","Julho","Agosto","Setembro","Outubro","Novembro","Dezembro"))</f>
        <v/>
      </c>
      <c r="G701" s="64" t="n">
        <v>46075</v>
      </c>
      <c r="H701" s="65" t="n">
        <v>0.1334837962962963</v>
      </c>
      <c r="I701" s="66" t="inlineStr">
        <is>
          <t>https://docs.google.com/spreadsheets/d/1ZiCGoPjLCjuYvujDTXK9Ixbth3tekiLtFBzBrGjPCr4/edit?gid=0#gid=0</t>
        </is>
      </c>
      <c r="J701" s="67" t="inlineStr">
        <is>
          <t>Taxa de Cancelamento Cobrada Corretamente - [TXCO]</t>
        </is>
      </c>
      <c r="K701" s="67" t="inlineStr">
        <is>
          <t>Scout</t>
        </is>
      </c>
      <c r="L701" s="68" t="b">
        <v>0</v>
      </c>
      <c r="M701" s="20" t="n"/>
      <c r="N701" s="69">
        <f>IF($J701="","",IFERROR(INDEX(B!$F$2:$F$61,MATCH($J701,B!$E$2:$E$61,0))&amp;"",""))</f>
        <v/>
      </c>
      <c r="O701" s="69">
        <f>IF($J701="","",IFERROR(INDEX(B!$G$2:$G$61,MATCH($J701,B!$E$2:$E$61,0))&amp;"",""))</f>
        <v/>
      </c>
      <c r="P701" s="69">
        <f>IF($J701="","",IFERROR(INDEX(B!$H$2:$H$61,MATCH($J701,B!$E$2:$E$61,0))&amp;"",""))</f>
        <v/>
      </c>
      <c r="Q701" s="69">
        <f>IF($J701="","",IFERROR(INDEX(B!$I$2:$I$61,MATCH($J701,B!$E$2:$E$61,0))&amp;"",""))</f>
        <v/>
      </c>
      <c r="R701" s="69">
        <f>IF($J701="","",IFERROR(INDEX(B!$J$2:$J$61,MATCH($J701,B!$E$2:$E$61,0))&amp;"",""))</f>
        <v/>
      </c>
      <c r="S701" s="69">
        <f>IF($J701="","",IFERROR(INDEX(B!$K$2:$K$61,MATCH($J701,B!$E$2:$E$61,0))&amp;"",""))</f>
        <v/>
      </c>
      <c r="T701" s="69">
        <f>IF($J701="","",IFERROR(INDEX(B!$L$2:$L$61,MATCH($J701,B!$E$2:$E$61,0))&amp;"",""))</f>
        <v/>
      </c>
      <c r="U701" s="20" t="n"/>
      <c r="V701" s="70">
        <f>IF($J701="","",IFERROR(INDEX(B!$M$2:$M$61,MATCH($J701,B!$E$2:$E$61,0))&amp;"",""))</f>
        <v/>
      </c>
      <c r="W701" s="71">
        <f>IF(I701="","",IFERROR(MID(I701,FIND("/d/",I701)+3,FIND("/edit",I701)-FIND("/d/",I701)-3),I701))</f>
        <v/>
      </c>
      <c r="X701" s="71">
        <f>IF($J701="","",IFERROR(INDEX(B!$C$2:$C$61,MATCH($J701,B!$E$2:$E$61,0))&amp;"",""))</f>
        <v/>
      </c>
      <c r="Y701" s="20" t="n"/>
      <c r="Z701" s="72">
        <f>IF($J701="",FALSE,ISNUMBER(SEARCH("scout",$K701)))</f>
        <v/>
      </c>
      <c r="AA701" s="72">
        <f>IF($J701="",FALSE,IFERROR(INDEX(B!$N$2:$N$61,MATCH($J701,B!$E$2:$E$61,0))="Sim",FALSE))</f>
        <v/>
      </c>
      <c r="AB701" s="72">
        <f>IF($J701="",FALSE,LEFT($X701,2)="XX")</f>
        <v/>
      </c>
      <c r="AC701" s="72">
        <f>IF($J701="",FALSE,IFERROR(INDEX(B!$P$2:$P$61,MATCH($J701,B!$E$2:$E$61,0))="Sim",FALSE))</f>
        <v/>
      </c>
      <c r="AD701" s="20" t="n"/>
      <c r="AE701" s="52">
        <f>IF(H701="","",HOUR(H701))</f>
        <v/>
      </c>
      <c r="AF701" s="52" t="n"/>
    </row>
    <row r="702" ht="19.5" customHeight="1" s="58">
      <c r="A702" s="62">
        <f>IF(G702="","",IF(G702=G701,"",COUNTIF($G$3:$G$976,G702)))</f>
        <v/>
      </c>
      <c r="B702" s="20" t="n"/>
      <c r="C702" s="63">
        <f>IF(G702="","",DAY(G702))</f>
        <v/>
      </c>
      <c r="D702" s="63">
        <f>IF(G702="","",MONTH(G702))</f>
        <v/>
      </c>
      <c r="E702" s="63">
        <f>IF(G702="","",YEAR(G702))</f>
        <v/>
      </c>
      <c r="F702" s="33">
        <f>IF(G702="","",CHOOSE(MONTH(G702),"Janeiro","Fevereiro","Março","Abril","Maio","Junho","Julho","Agosto","Setembro","Outubro","Novembro","Dezembro"))</f>
        <v/>
      </c>
      <c r="G702" s="64" t="n">
        <v>46075</v>
      </c>
      <c r="H702" s="65" t="n">
        <v>0.1348842592592593</v>
      </c>
      <c r="I702" s="66" t="inlineStr">
        <is>
          <t>https://docs.google.com/spreadsheets/d/1ZiCGoPjLCjuYvujDTXK9Ixbth3tekiLtFBzBrGjPCr4/edit?gid=0#gid=0</t>
        </is>
      </c>
      <c r="J702" s="67" t="inlineStr">
        <is>
          <t>Não houve Taxa de Cancelamento - [NTX]</t>
        </is>
      </c>
      <c r="K702" s="67" t="inlineStr"/>
      <c r="L702" s="68" t="b">
        <v>0</v>
      </c>
      <c r="M702" s="20" t="n"/>
      <c r="N702" s="69">
        <f>IF($J702="","",IFERROR(INDEX(B!$F$2:$F$61,MATCH($J702,B!$E$2:$E$61,0))&amp;"",""))</f>
        <v/>
      </c>
      <c r="O702" s="69">
        <f>IF($J702="","",IFERROR(INDEX(B!$G$2:$G$61,MATCH($J702,B!$E$2:$E$61,0))&amp;"",""))</f>
        <v/>
      </c>
      <c r="P702" s="69">
        <f>IF($J702="","",IFERROR(INDEX(B!$H$2:$H$61,MATCH($J702,B!$E$2:$E$61,0))&amp;"",""))</f>
        <v/>
      </c>
      <c r="Q702" s="69">
        <f>IF($J702="","",IFERROR(INDEX(B!$I$2:$I$61,MATCH($J702,B!$E$2:$E$61,0))&amp;"",""))</f>
        <v/>
      </c>
      <c r="R702" s="69">
        <f>IF($J702="","",IFERROR(INDEX(B!$J$2:$J$61,MATCH($J702,B!$E$2:$E$61,0))&amp;"",""))</f>
        <v/>
      </c>
      <c r="S702" s="69">
        <f>IF($J702="","",IFERROR(INDEX(B!$K$2:$K$61,MATCH($J702,B!$E$2:$E$61,0))&amp;"",""))</f>
        <v/>
      </c>
      <c r="T702" s="69">
        <f>IF($J702="","",IFERROR(INDEX(B!$L$2:$L$61,MATCH($J702,B!$E$2:$E$61,0))&amp;"",""))</f>
        <v/>
      </c>
      <c r="U702" s="20" t="n"/>
      <c r="V702" s="70">
        <f>IF($J702="","",IFERROR(INDEX(B!$M$2:$M$61,MATCH($J702,B!$E$2:$E$61,0))&amp;"",""))</f>
        <v/>
      </c>
      <c r="W702" s="71">
        <f>IF(I702="","",IFERROR(MID(I702,FIND("/d/",I702)+3,FIND("/edit",I702)-FIND("/d/",I702)-3),I702))</f>
        <v/>
      </c>
      <c r="X702" s="71">
        <f>IF($J702="","",IFERROR(INDEX(B!$C$2:$C$61,MATCH($J702,B!$E$2:$E$61,0))&amp;"",""))</f>
        <v/>
      </c>
      <c r="Y702" s="20" t="n"/>
      <c r="Z702" s="72">
        <f>IF($J702="",FALSE,ISNUMBER(SEARCH("scout",$K702)))</f>
        <v/>
      </c>
      <c r="AA702" s="72">
        <f>IF($J702="",FALSE,IFERROR(INDEX(B!$N$2:$N$61,MATCH($J702,B!$E$2:$E$61,0))="Sim",FALSE))</f>
        <v/>
      </c>
      <c r="AB702" s="72">
        <f>IF($J702="",FALSE,LEFT($X702,2)="XX")</f>
        <v/>
      </c>
      <c r="AC702" s="72">
        <f>IF($J702="",FALSE,IFERROR(INDEX(B!$P$2:$P$61,MATCH($J702,B!$E$2:$E$61,0))="Sim",FALSE))</f>
        <v/>
      </c>
      <c r="AD702" s="20" t="n"/>
      <c r="AE702" s="52">
        <f>IF(H702="","",HOUR(H702))</f>
        <v/>
      </c>
      <c r="AF702" s="52" t="n"/>
    </row>
    <row r="703" ht="19.5" customHeight="1" s="58">
      <c r="A703" s="62">
        <f>IF(G703="","",IF(G703=G702,"",COUNTIF($G$3:$G$976,G703)))</f>
        <v/>
      </c>
      <c r="B703" s="20" t="n"/>
      <c r="C703" s="63">
        <f>IF(G703="","",DAY(G703))</f>
        <v/>
      </c>
      <c r="D703" s="63">
        <f>IF(G703="","",MONTH(G703))</f>
        <v/>
      </c>
      <c r="E703" s="63">
        <f>IF(G703="","",YEAR(G703))</f>
        <v/>
      </c>
      <c r="F703" s="33">
        <f>IF(G703="","",CHOOSE(MONTH(G703),"Janeiro","Fevereiro","Março","Abril","Maio","Junho","Julho","Agosto","Setembro","Outubro","Novembro","Dezembro"))</f>
        <v/>
      </c>
      <c r="G703" s="64" t="n">
        <v>46075</v>
      </c>
      <c r="H703" s="65" t="n">
        <v>0.1391550925925926</v>
      </c>
      <c r="I703" s="66" t="inlineStr">
        <is>
          <t>https://docs.google.com/spreadsheets/d/1ZiCGoPjLCjuYvujDTXK9Ixbth3tekiLtFBzBrGjPCr4/edit?gid=0#gid=0</t>
        </is>
      </c>
      <c r="J703" s="67" t="inlineStr">
        <is>
          <t>Transferência de LOB (Driver) - [TIDV]</t>
        </is>
      </c>
      <c r="K703" s="67" t="inlineStr"/>
      <c r="L703" s="68" t="b">
        <v>0</v>
      </c>
      <c r="M703" s="20" t="n"/>
      <c r="N703" s="69">
        <f>IF($J703="","",IFERROR(INDEX(B!$F$2:$F$61,MATCH($J703,B!$E$2:$E$61,0))&amp;"",""))</f>
        <v/>
      </c>
      <c r="O703" s="69">
        <f>IF($J703="","",IFERROR(INDEX(B!$G$2:$G$61,MATCH($J703,B!$E$2:$E$61,0))&amp;"",""))</f>
        <v/>
      </c>
      <c r="P703" s="69">
        <f>IF($J703="","",IFERROR(INDEX(B!$H$2:$H$61,MATCH($J703,B!$E$2:$E$61,0))&amp;"",""))</f>
        <v/>
      </c>
      <c r="Q703" s="69">
        <f>IF($J703="","",IFERROR(INDEX(B!$I$2:$I$61,MATCH($J703,B!$E$2:$E$61,0))&amp;"",""))</f>
        <v/>
      </c>
      <c r="R703" s="69">
        <f>IF($J703="","",IFERROR(INDEX(B!$J$2:$J$61,MATCH($J703,B!$E$2:$E$61,0))&amp;"",""))</f>
        <v/>
      </c>
      <c r="S703" s="69">
        <f>IF($J703="","",IFERROR(INDEX(B!$K$2:$K$61,MATCH($J703,B!$E$2:$E$61,0))&amp;"",""))</f>
        <v/>
      </c>
      <c r="T703" s="69">
        <f>IF($J703="","",IFERROR(INDEX(B!$L$2:$L$61,MATCH($J703,B!$E$2:$E$61,0))&amp;"",""))</f>
        <v/>
      </c>
      <c r="U703" s="20" t="n"/>
      <c r="V703" s="70">
        <f>IF($J703="","",IFERROR(INDEX(B!$M$2:$M$61,MATCH($J703,B!$E$2:$E$61,0))&amp;"",""))</f>
        <v/>
      </c>
      <c r="W703" s="71">
        <f>IF(I703="","",IFERROR(MID(I703,FIND("/d/",I703)+3,FIND("/edit",I703)-FIND("/d/",I703)-3),I703))</f>
        <v/>
      </c>
      <c r="X703" s="71">
        <f>IF($J703="","",IFERROR(INDEX(B!$C$2:$C$61,MATCH($J703,B!$E$2:$E$61,0))&amp;"",""))</f>
        <v/>
      </c>
      <c r="Y703" s="20" t="n"/>
      <c r="Z703" s="72">
        <f>IF($J703="",FALSE,ISNUMBER(SEARCH("scout",$K703)))</f>
        <v/>
      </c>
      <c r="AA703" s="72">
        <f>IF($J703="",FALSE,IFERROR(INDEX(B!$N$2:$N$61,MATCH($J703,B!$E$2:$E$61,0))="Sim",FALSE))</f>
        <v/>
      </c>
      <c r="AB703" s="72">
        <f>IF($J703="",FALSE,LEFT($X703,2)="XX")</f>
        <v/>
      </c>
      <c r="AC703" s="72">
        <f>IF($J703="",FALSE,IFERROR(INDEX(B!$P$2:$P$61,MATCH($J703,B!$E$2:$E$61,0))="Sim",FALSE))</f>
        <v/>
      </c>
      <c r="AD703" s="20" t="n"/>
      <c r="AE703" s="52">
        <f>IF(H703="","",HOUR(H703))</f>
        <v/>
      </c>
      <c r="AF703" s="52" t="n"/>
    </row>
    <row r="704" ht="19.5" customHeight="1" s="58">
      <c r="A704" s="62">
        <f>IF(G704="","",IF(G704=G703,"",COUNTIF($G$3:$G$976,G704)))</f>
        <v/>
      </c>
      <c r="B704" s="20" t="n"/>
      <c r="C704" s="63">
        <f>IF(G704="","",DAY(G704))</f>
        <v/>
      </c>
      <c r="D704" s="63">
        <f>IF(G704="","",MONTH(G704))</f>
        <v/>
      </c>
      <c r="E704" s="63">
        <f>IF(G704="","",YEAR(G704))</f>
        <v/>
      </c>
      <c r="F704" s="33">
        <f>IF(G704="","",CHOOSE(MONTH(G704),"Janeiro","Fevereiro","Março","Abril","Maio","Junho","Julho","Agosto","Setembro","Outubro","Novembro","Dezembro"))</f>
        <v/>
      </c>
      <c r="G704" s="64" t="n">
        <v>46075</v>
      </c>
      <c r="H704" s="65" t="n">
        <v>0.1453819444444444</v>
      </c>
      <c r="I704" s="66" t="inlineStr">
        <is>
          <t>https://docs.google.com/spreadsheets/d/1ZiCGoPjLCjuYvujDTXK9Ixbth3tekiLtFBzBrGjPCr4/edit?gid=0#gid=0</t>
        </is>
      </c>
      <c r="J704" s="67" t="inlineStr">
        <is>
          <t>Overpaid, Excede o limite, Sem comprovante - [OPEN]</t>
        </is>
      </c>
      <c r="K704" s="67" t="inlineStr"/>
      <c r="L704" s="68" t="b">
        <v>0</v>
      </c>
      <c r="M704" s="20" t="n"/>
      <c r="N704" s="69">
        <f>IF($J704="","",IFERROR(INDEX(B!$F$2:$F$61,MATCH($J704,B!$E$2:$E$61,0))&amp;"",""))</f>
        <v/>
      </c>
      <c r="O704" s="69">
        <f>IF($J704="","",IFERROR(INDEX(B!$G$2:$G$61,MATCH($J704,B!$E$2:$E$61,0))&amp;"",""))</f>
        <v/>
      </c>
      <c r="P704" s="69">
        <f>IF($J704="","",IFERROR(INDEX(B!$H$2:$H$61,MATCH($J704,B!$E$2:$E$61,0))&amp;"",""))</f>
        <v/>
      </c>
      <c r="Q704" s="69">
        <f>IF($J704="","",IFERROR(INDEX(B!$I$2:$I$61,MATCH($J704,B!$E$2:$E$61,0))&amp;"",""))</f>
        <v/>
      </c>
      <c r="R704" s="69">
        <f>IF($J704="","",IFERROR(INDEX(B!$J$2:$J$61,MATCH($J704,B!$E$2:$E$61,0))&amp;"",""))</f>
        <v/>
      </c>
      <c r="S704" s="69">
        <f>IF($J704="","",IFERROR(INDEX(B!$K$2:$K$61,MATCH($J704,B!$E$2:$E$61,0))&amp;"",""))</f>
        <v/>
      </c>
      <c r="T704" s="69">
        <f>IF($J704="","",IFERROR(INDEX(B!$L$2:$L$61,MATCH($J704,B!$E$2:$E$61,0))&amp;"",""))</f>
        <v/>
      </c>
      <c r="U704" s="20" t="n"/>
      <c r="V704" s="70">
        <f>IF($J704="","",IFERROR(INDEX(B!$M$2:$M$61,MATCH($J704,B!$E$2:$E$61,0))&amp;"",""))</f>
        <v/>
      </c>
      <c r="W704" s="71">
        <f>IF(I704="","",IFERROR(MID(I704,FIND("/d/",I704)+3,FIND("/edit",I704)-FIND("/d/",I704)-3),I704))</f>
        <v/>
      </c>
      <c r="X704" s="71">
        <f>IF($J704="","",IFERROR(INDEX(B!$C$2:$C$61,MATCH($J704,B!$E$2:$E$61,0))&amp;"",""))</f>
        <v/>
      </c>
      <c r="Y704" s="20" t="n"/>
      <c r="Z704" s="72">
        <f>IF($J704="",FALSE,ISNUMBER(SEARCH("scout",$K704)))</f>
        <v/>
      </c>
      <c r="AA704" s="72">
        <f>IF($J704="",FALSE,IFERROR(INDEX(B!$N$2:$N$61,MATCH($J704,B!$E$2:$E$61,0))="Sim",FALSE))</f>
        <v/>
      </c>
      <c r="AB704" s="72">
        <f>IF($J704="",FALSE,LEFT($X704,2)="XX")</f>
        <v/>
      </c>
      <c r="AC704" s="72">
        <f>IF($J704="",FALSE,IFERROR(INDEX(B!$P$2:$P$61,MATCH($J704,B!$E$2:$E$61,0))="Sim",FALSE))</f>
        <v/>
      </c>
      <c r="AD704" s="20" t="n"/>
      <c r="AE704" s="52">
        <f>IF(H704="","",HOUR(H704))</f>
        <v/>
      </c>
      <c r="AF704" s="52" t="n"/>
    </row>
    <row r="705" ht="19.5" customHeight="1" s="58">
      <c r="A705" s="62">
        <f>IF(G705="","",IF(G705=G704,"",COUNTIF($G$3:$G$976,G705)))</f>
        <v/>
      </c>
      <c r="B705" s="20" t="n"/>
      <c r="C705" s="63">
        <f>IF(G705="","",DAY(G705))</f>
        <v/>
      </c>
      <c r="D705" s="63">
        <f>IF(G705="","",MONTH(G705))</f>
        <v/>
      </c>
      <c r="E705" s="63">
        <f>IF(G705="","",YEAR(G705))</f>
        <v/>
      </c>
      <c r="F705" s="33">
        <f>IF(G705="","",CHOOSE(MONTH(G705),"Janeiro","Fevereiro","Março","Abril","Maio","Junho","Julho","Agosto","Setembro","Outubro","Novembro","Dezembro"))</f>
        <v/>
      </c>
      <c r="G705" s="64" t="n">
        <v>46075</v>
      </c>
      <c r="H705" s="65" t="n">
        <v>0.1472685185185185</v>
      </c>
      <c r="I705" s="66" t="inlineStr">
        <is>
          <t>https://docs.google.com/spreadsheets/d/1ZiCGoPjLCjuYvujDTXK9Ixbth3tekiLtFBzBrGjPCr4/edit?gid=0#gid=0</t>
        </is>
      </c>
      <c r="J705" s="67" t="inlineStr">
        <is>
          <t>Taxa de Limpeza, Reembolsado ao cliente - [TXLR]</t>
        </is>
      </c>
      <c r="K705" s="67" t="inlineStr"/>
      <c r="L705" s="68" t="b">
        <v>0</v>
      </c>
      <c r="M705" s="20" t="n"/>
      <c r="N705" s="69">
        <f>IF($J705="","",IFERROR(INDEX(B!$F$2:$F$61,MATCH($J705,B!$E$2:$E$61,0))&amp;"",""))</f>
        <v/>
      </c>
      <c r="O705" s="69">
        <f>IF($J705="","",IFERROR(INDEX(B!$G$2:$G$61,MATCH($J705,B!$E$2:$E$61,0))&amp;"",""))</f>
        <v/>
      </c>
      <c r="P705" s="69">
        <f>IF($J705="","",IFERROR(INDEX(B!$H$2:$H$61,MATCH($J705,B!$E$2:$E$61,0))&amp;"",""))</f>
        <v/>
      </c>
      <c r="Q705" s="69">
        <f>IF($J705="","",IFERROR(INDEX(B!$I$2:$I$61,MATCH($J705,B!$E$2:$E$61,0))&amp;"",""))</f>
        <v/>
      </c>
      <c r="R705" s="69">
        <f>IF($J705="","",IFERROR(INDEX(B!$J$2:$J$61,MATCH($J705,B!$E$2:$E$61,0))&amp;"",""))</f>
        <v/>
      </c>
      <c r="S705" s="69">
        <f>IF($J705="","",IFERROR(INDEX(B!$K$2:$K$61,MATCH($J705,B!$E$2:$E$61,0))&amp;"",""))</f>
        <v/>
      </c>
      <c r="T705" s="69">
        <f>IF($J705="","",IFERROR(INDEX(B!$L$2:$L$61,MATCH($J705,B!$E$2:$E$61,0))&amp;"",""))</f>
        <v/>
      </c>
      <c r="U705" s="20" t="n"/>
      <c r="V705" s="70">
        <f>IF($J705="","",IFERROR(INDEX(B!$M$2:$M$61,MATCH($J705,B!$E$2:$E$61,0))&amp;"",""))</f>
        <v/>
      </c>
      <c r="W705" s="71">
        <f>IF(I705="","",IFERROR(MID(I705,FIND("/d/",I705)+3,FIND("/edit",I705)-FIND("/d/",I705)-3),I705))</f>
        <v/>
      </c>
      <c r="X705" s="71">
        <f>IF($J705="","",IFERROR(INDEX(B!$C$2:$C$61,MATCH($J705,B!$E$2:$E$61,0))&amp;"",""))</f>
        <v/>
      </c>
      <c r="Y705" s="20" t="n"/>
      <c r="Z705" s="72">
        <f>IF($J705="",FALSE,ISNUMBER(SEARCH("scout",$K705)))</f>
        <v/>
      </c>
      <c r="AA705" s="72">
        <f>IF($J705="",FALSE,IFERROR(INDEX(B!$N$2:$N$61,MATCH($J705,B!$E$2:$E$61,0))="Sim",FALSE))</f>
        <v/>
      </c>
      <c r="AB705" s="72">
        <f>IF($J705="",FALSE,LEFT($X705,2)="XX")</f>
        <v/>
      </c>
      <c r="AC705" s="72">
        <f>IF($J705="",FALSE,IFERROR(INDEX(B!$P$2:$P$61,MATCH($J705,B!$E$2:$E$61,0))="Sim",FALSE))</f>
        <v/>
      </c>
      <c r="AD705" s="20" t="n"/>
      <c r="AE705" s="52">
        <f>IF(H705="","",HOUR(H705))</f>
        <v/>
      </c>
      <c r="AF705" s="52" t="n"/>
    </row>
    <row r="706" ht="19.5" customHeight="1" s="58">
      <c r="A706" s="62">
        <f>IF(G706="","",IF(G706=G705,"",COUNTIF($G$3:$G$976,G706)))</f>
        <v/>
      </c>
      <c r="B706" s="20" t="n"/>
      <c r="C706" s="63">
        <f>IF(G706="","",DAY(G706))</f>
        <v/>
      </c>
      <c r="D706" s="63">
        <f>IF(G706="","",MONTH(G706))</f>
        <v/>
      </c>
      <c r="E706" s="63">
        <f>IF(G706="","",YEAR(G706))</f>
        <v/>
      </c>
      <c r="F706" s="33">
        <f>IF(G706="","",CHOOSE(MONTH(G706),"Janeiro","Fevereiro","Março","Abril","Maio","Junho","Julho","Agosto","Setembro","Outubro","Novembro","Dezembro"))</f>
        <v/>
      </c>
      <c r="G706" s="64" t="n">
        <v>46075</v>
      </c>
      <c r="H706" s="65" t="n">
        <v>0.1519212962962963</v>
      </c>
      <c r="I706" s="66" t="inlineStr">
        <is>
          <t>https://docs.google.com/spreadsheets/d/1ZiCGoPjLCjuYvujDTXK9Ixbth3tekiLtFBzBrGjPCr4/edit?gid=0#gid=0</t>
        </is>
      </c>
      <c r="J706" s="67" t="inlineStr">
        <is>
          <t>Outros Valores Retidos (Pedágio, Cartão, Taxa de Cancelamento...) - [OTV]</t>
        </is>
      </c>
      <c r="K706" s="67" t="inlineStr"/>
      <c r="L706" s="68" t="b">
        <v>0</v>
      </c>
      <c r="M706" s="20" t="n"/>
      <c r="N706" s="69">
        <f>IF($J706="","",IFERROR(INDEX(B!$F$2:$F$61,MATCH($J706,B!$E$2:$E$61,0))&amp;"",""))</f>
        <v/>
      </c>
      <c r="O706" s="69">
        <f>IF($J706="","",IFERROR(INDEX(B!$G$2:$G$61,MATCH($J706,B!$E$2:$E$61,0))&amp;"",""))</f>
        <v/>
      </c>
      <c r="P706" s="69">
        <f>IF($J706="","",IFERROR(INDEX(B!$H$2:$H$61,MATCH($J706,B!$E$2:$E$61,0))&amp;"",""))</f>
        <v/>
      </c>
      <c r="Q706" s="69">
        <f>IF($J706="","",IFERROR(INDEX(B!$I$2:$I$61,MATCH($J706,B!$E$2:$E$61,0))&amp;"",""))</f>
        <v/>
      </c>
      <c r="R706" s="69">
        <f>IF($J706="","",IFERROR(INDEX(B!$J$2:$J$61,MATCH($J706,B!$E$2:$E$61,0))&amp;"",""))</f>
        <v/>
      </c>
      <c r="S706" s="69">
        <f>IF($J706="","",IFERROR(INDEX(B!$K$2:$K$61,MATCH($J706,B!$E$2:$E$61,0))&amp;"",""))</f>
        <v/>
      </c>
      <c r="T706" s="69">
        <f>IF($J706="","",IFERROR(INDEX(B!$L$2:$L$61,MATCH($J706,B!$E$2:$E$61,0))&amp;"",""))</f>
        <v/>
      </c>
      <c r="U706" s="20" t="n"/>
      <c r="V706" s="70">
        <f>IF($J706="","",IFERROR(INDEX(B!$M$2:$M$61,MATCH($J706,B!$E$2:$E$61,0))&amp;"",""))</f>
        <v/>
      </c>
      <c r="W706" s="71">
        <f>IF(I706="","",IFERROR(MID(I706,FIND("/d/",I706)+3,FIND("/edit",I706)-FIND("/d/",I706)-3),I706))</f>
        <v/>
      </c>
      <c r="X706" s="71">
        <f>IF($J706="","",IFERROR(INDEX(B!$C$2:$C$61,MATCH($J706,B!$E$2:$E$61,0))&amp;"",""))</f>
        <v/>
      </c>
      <c r="Y706" s="20" t="n"/>
      <c r="Z706" s="72">
        <f>IF($J706="",FALSE,ISNUMBER(SEARCH("scout",$K706)))</f>
        <v/>
      </c>
      <c r="AA706" s="72">
        <f>IF($J706="",FALSE,IFERROR(INDEX(B!$N$2:$N$61,MATCH($J706,B!$E$2:$E$61,0))="Sim",FALSE))</f>
        <v/>
      </c>
      <c r="AB706" s="72">
        <f>IF($J706="",FALSE,LEFT($X706,2)="XX")</f>
        <v/>
      </c>
      <c r="AC706" s="72">
        <f>IF($J706="",FALSE,IFERROR(INDEX(B!$P$2:$P$61,MATCH($J706,B!$E$2:$E$61,0))="Sim",FALSE))</f>
        <v/>
      </c>
      <c r="AD706" s="20" t="n"/>
      <c r="AE706" s="52">
        <f>IF(H706="","",HOUR(H706))</f>
        <v/>
      </c>
      <c r="AF706" s="52" t="n"/>
    </row>
    <row r="707" ht="19.5" customHeight="1" s="58">
      <c r="A707" s="62">
        <f>IF(G707="","",IF(G707=G706,"",COUNTIF($G$3:$G$976,G707)))</f>
        <v/>
      </c>
      <c r="B707" s="20" t="n"/>
      <c r="C707" s="63">
        <f>IF(G707="","",DAY(G707))</f>
        <v/>
      </c>
      <c r="D707" s="63">
        <f>IF(G707="","",MONTH(G707))</f>
        <v/>
      </c>
      <c r="E707" s="63">
        <f>IF(G707="","",YEAR(G707))</f>
        <v/>
      </c>
      <c r="F707" s="33">
        <f>IF(G707="","",CHOOSE(MONTH(G707),"Janeiro","Fevereiro","Março","Abril","Maio","Junho","Julho","Agosto","Setembro","Outubro","Novembro","Dezembro"))</f>
        <v/>
      </c>
      <c r="G707" s="64" t="n">
        <v>46075</v>
      </c>
      <c r="H707" s="65" t="n">
        <v>0.1567361111111111</v>
      </c>
      <c r="I707" s="66" t="inlineStr">
        <is>
          <t>https://docs.google.com/spreadsheets/d/1ZiCGoPjLCjuYvujDTXK9Ixbth3tekiLtFBzBrGjPCr4/edit?gid=0#gid=0</t>
        </is>
      </c>
      <c r="J707" s="67" t="inlineStr">
        <is>
          <t>Taxa de Limpeza, Sem ajustes - [TXLO]</t>
        </is>
      </c>
      <c r="K707" s="67" t="inlineStr">
        <is>
          <t>Scout</t>
        </is>
      </c>
      <c r="L707" s="68" t="b">
        <v>0</v>
      </c>
      <c r="M707" s="20" t="n"/>
      <c r="N707" s="69">
        <f>IF($J707="","",IFERROR(INDEX(B!$F$2:$F$61,MATCH($J707,B!$E$2:$E$61,0))&amp;"",""))</f>
        <v/>
      </c>
      <c r="O707" s="69">
        <f>IF($J707="","",IFERROR(INDEX(B!$G$2:$G$61,MATCH($J707,B!$E$2:$E$61,0))&amp;"",""))</f>
        <v/>
      </c>
      <c r="P707" s="69">
        <f>IF($J707="","",IFERROR(INDEX(B!$H$2:$H$61,MATCH($J707,B!$E$2:$E$61,0))&amp;"",""))</f>
        <v/>
      </c>
      <c r="Q707" s="69">
        <f>IF($J707="","",IFERROR(INDEX(B!$I$2:$I$61,MATCH($J707,B!$E$2:$E$61,0))&amp;"",""))</f>
        <v/>
      </c>
      <c r="R707" s="69">
        <f>IF($J707="","",IFERROR(INDEX(B!$J$2:$J$61,MATCH($J707,B!$E$2:$E$61,0))&amp;"",""))</f>
        <v/>
      </c>
      <c r="S707" s="69">
        <f>IF($J707="","",IFERROR(INDEX(B!$K$2:$K$61,MATCH($J707,B!$E$2:$E$61,0))&amp;"",""))</f>
        <v/>
      </c>
      <c r="T707" s="69">
        <f>IF($J707="","",IFERROR(INDEX(B!$L$2:$L$61,MATCH($J707,B!$E$2:$E$61,0))&amp;"",""))</f>
        <v/>
      </c>
      <c r="U707" s="20" t="n"/>
      <c r="V707" s="70">
        <f>IF($J707="","",IFERROR(INDEX(B!$M$2:$M$61,MATCH($J707,B!$E$2:$E$61,0))&amp;"",""))</f>
        <v/>
      </c>
      <c r="W707" s="71">
        <f>IF(I707="","",IFERROR(MID(I707,FIND("/d/",I707)+3,FIND("/edit",I707)-FIND("/d/",I707)-3),I707))</f>
        <v/>
      </c>
      <c r="X707" s="71">
        <f>IF($J707="","",IFERROR(INDEX(B!$C$2:$C$61,MATCH($J707,B!$E$2:$E$61,0))&amp;"",""))</f>
        <v/>
      </c>
      <c r="Y707" s="20" t="n"/>
      <c r="Z707" s="72">
        <f>IF($J707="",FALSE,ISNUMBER(SEARCH("scout",$K707)))</f>
        <v/>
      </c>
      <c r="AA707" s="72">
        <f>IF($J707="",FALSE,IFERROR(INDEX(B!$N$2:$N$61,MATCH($J707,B!$E$2:$E$61,0))="Sim",FALSE))</f>
        <v/>
      </c>
      <c r="AB707" s="72">
        <f>IF($J707="",FALSE,LEFT($X707,2)="XX")</f>
        <v/>
      </c>
      <c r="AC707" s="72">
        <f>IF($J707="",FALSE,IFERROR(INDEX(B!$P$2:$P$61,MATCH($J707,B!$E$2:$E$61,0))="Sim",FALSE))</f>
        <v/>
      </c>
      <c r="AD707" s="20" t="n"/>
      <c r="AE707" s="52">
        <f>IF(H707="","",HOUR(H707))</f>
        <v/>
      </c>
      <c r="AF707" s="52" t="n"/>
    </row>
    <row r="708" ht="19.5" customHeight="1" s="58">
      <c r="A708" s="62">
        <f>IF(G708="","",IF(G708=G707,"",COUNTIF($G$3:$G$976,G708)))</f>
        <v/>
      </c>
      <c r="B708" s="20" t="n"/>
      <c r="C708" s="63">
        <f>IF(G708="","",DAY(G708))</f>
        <v/>
      </c>
      <c r="D708" s="63">
        <f>IF(G708="","",MONTH(G708))</f>
        <v/>
      </c>
      <c r="E708" s="63">
        <f>IF(G708="","",YEAR(G708))</f>
        <v/>
      </c>
      <c r="F708" s="33">
        <f>IF(G708="","",CHOOSE(MONTH(G708),"Janeiro","Fevereiro","Março","Abril","Maio","Junho","Julho","Agosto","Setembro","Outubro","Novembro","Dezembro"))</f>
        <v/>
      </c>
      <c r="G708" s="64" t="n">
        <v>46075</v>
      </c>
      <c r="H708" s="65" t="n">
        <v>0.1568981481481481</v>
      </c>
      <c r="I708" s="66" t="inlineStr">
        <is>
          <t>https://docs.google.com/spreadsheets/d/1ZiCGoPjLCjuYvujDTXK9Ixbth3tekiLtFBzBrGjPCr4/edit?gid=0#gid=0</t>
        </is>
      </c>
      <c r="J708" s="67" t="inlineStr">
        <is>
          <t>Erro de Gps (Problema Técnico) - [GPS]</t>
        </is>
      </c>
      <c r="K708" s="67" t="inlineStr"/>
      <c r="L708" s="68" t="b">
        <v>0</v>
      </c>
      <c r="M708" s="20" t="n"/>
      <c r="N708" s="69">
        <f>IF($J708="","",IFERROR(INDEX(B!$F$2:$F$61,MATCH($J708,B!$E$2:$E$61,0))&amp;"",""))</f>
        <v/>
      </c>
      <c r="O708" s="69">
        <f>IF($J708="","",IFERROR(INDEX(B!$G$2:$G$61,MATCH($J708,B!$E$2:$E$61,0))&amp;"",""))</f>
        <v/>
      </c>
      <c r="P708" s="69">
        <f>IF($J708="","",IFERROR(INDEX(B!$H$2:$H$61,MATCH($J708,B!$E$2:$E$61,0))&amp;"",""))</f>
        <v/>
      </c>
      <c r="Q708" s="69">
        <f>IF($J708="","",IFERROR(INDEX(B!$I$2:$I$61,MATCH($J708,B!$E$2:$E$61,0))&amp;"",""))</f>
        <v/>
      </c>
      <c r="R708" s="69">
        <f>IF($J708="","",IFERROR(INDEX(B!$J$2:$J$61,MATCH($J708,B!$E$2:$E$61,0))&amp;"",""))</f>
        <v/>
      </c>
      <c r="S708" s="69">
        <f>IF($J708="","",IFERROR(INDEX(B!$K$2:$K$61,MATCH($J708,B!$E$2:$E$61,0))&amp;"",""))</f>
        <v/>
      </c>
      <c r="T708" s="69">
        <f>IF($J708="","",IFERROR(INDEX(B!$L$2:$L$61,MATCH($J708,B!$E$2:$E$61,0))&amp;"",""))</f>
        <v/>
      </c>
      <c r="U708" s="20" t="n"/>
      <c r="V708" s="70">
        <f>IF($J708="","",IFERROR(INDEX(B!$M$2:$M$61,MATCH($J708,B!$E$2:$E$61,0))&amp;"",""))</f>
        <v/>
      </c>
      <c r="W708" s="71">
        <f>IF(I708="","",IFERROR(MID(I708,FIND("/d/",I708)+3,FIND("/edit",I708)-FIND("/d/",I708)-3),I708))</f>
        <v/>
      </c>
      <c r="X708" s="71">
        <f>IF($J708="","",IFERROR(INDEX(B!$C$2:$C$61,MATCH($J708,B!$E$2:$E$61,0))&amp;"",""))</f>
        <v/>
      </c>
      <c r="Y708" s="20" t="n"/>
      <c r="Z708" s="72">
        <f>IF($J708="",FALSE,ISNUMBER(SEARCH("scout",$K708)))</f>
        <v/>
      </c>
      <c r="AA708" s="72">
        <f>IF($J708="",FALSE,IFERROR(INDEX(B!$N$2:$N$61,MATCH($J708,B!$E$2:$E$61,0))="Sim",FALSE))</f>
        <v/>
      </c>
      <c r="AB708" s="72">
        <f>IF($J708="",FALSE,LEFT($X708,2)="XX")</f>
        <v/>
      </c>
      <c r="AC708" s="72">
        <f>IF($J708="",FALSE,IFERROR(INDEX(B!$P$2:$P$61,MATCH($J708,B!$E$2:$E$61,0))="Sim",FALSE))</f>
        <v/>
      </c>
      <c r="AD708" s="20" t="n"/>
      <c r="AE708" s="52">
        <f>IF(H708="","",HOUR(H708))</f>
        <v/>
      </c>
      <c r="AF708" s="52" t="n"/>
    </row>
    <row r="709" ht="19.5" customHeight="1" s="58">
      <c r="A709" s="62">
        <f>IF(G709="","",IF(G709=G708,"",COUNTIF($G$3:$G$976,G709)))</f>
        <v/>
      </c>
      <c r="B709" s="20" t="n"/>
      <c r="C709" s="63">
        <f>IF(G709="","",DAY(G709))</f>
        <v/>
      </c>
      <c r="D709" s="63">
        <f>IF(G709="","",MONTH(G709))</f>
        <v/>
      </c>
      <c r="E709" s="63">
        <f>IF(G709="","",YEAR(G709))</f>
        <v/>
      </c>
      <c r="F709" s="33">
        <f>IF(G709="","",CHOOSE(MONTH(G709),"Janeiro","Fevereiro","Março","Abril","Maio","Junho","Julho","Agosto","Setembro","Outubro","Novembro","Dezembro"))</f>
        <v/>
      </c>
      <c r="G709" s="64" t="n">
        <v>46075</v>
      </c>
      <c r="H709" s="65" t="n">
        <v>0.1667361111111111</v>
      </c>
      <c r="I709" s="66" t="inlineStr">
        <is>
          <t>https://docs.google.com/spreadsheets/d/1ZiCGoPjLCjuYvujDTXK9Ixbth3tekiLtFBzBrGjPCr4/edit?gid=0#gid=0</t>
        </is>
      </c>
      <c r="J709" s="67" t="inlineStr">
        <is>
          <t>Overpaid, Não excede o limite, Sem comprovante - [OPNN]</t>
        </is>
      </c>
      <c r="K709" s="67" t="inlineStr"/>
      <c r="L709" s="68" t="b">
        <v>0</v>
      </c>
      <c r="M709" s="20" t="n"/>
      <c r="N709" s="69">
        <f>IF($J709="","",IFERROR(INDEX(B!$F$2:$F$61,MATCH($J709,B!$E$2:$E$61,0))&amp;"",""))</f>
        <v/>
      </c>
      <c r="O709" s="69">
        <f>IF($J709="","",IFERROR(INDEX(B!$G$2:$G$61,MATCH($J709,B!$E$2:$E$61,0))&amp;"",""))</f>
        <v/>
      </c>
      <c r="P709" s="69">
        <f>IF($J709="","",IFERROR(INDEX(B!$H$2:$H$61,MATCH($J709,B!$E$2:$E$61,0))&amp;"",""))</f>
        <v/>
      </c>
      <c r="Q709" s="69">
        <f>IF($J709="","",IFERROR(INDEX(B!$I$2:$I$61,MATCH($J709,B!$E$2:$E$61,0))&amp;"",""))</f>
        <v/>
      </c>
      <c r="R709" s="69">
        <f>IF($J709="","",IFERROR(INDEX(B!$J$2:$J$61,MATCH($J709,B!$E$2:$E$61,0))&amp;"",""))</f>
        <v/>
      </c>
      <c r="S709" s="69">
        <f>IF($J709="","",IFERROR(INDEX(B!$K$2:$K$61,MATCH($J709,B!$E$2:$E$61,0))&amp;"",""))</f>
        <v/>
      </c>
      <c r="T709" s="69">
        <f>IF($J709="","",IFERROR(INDEX(B!$L$2:$L$61,MATCH($J709,B!$E$2:$E$61,0))&amp;"",""))</f>
        <v/>
      </c>
      <c r="U709" s="20" t="n"/>
      <c r="V709" s="70">
        <f>IF($J709="","",IFERROR(INDEX(B!$M$2:$M$61,MATCH($J709,B!$E$2:$E$61,0))&amp;"",""))</f>
        <v/>
      </c>
      <c r="W709" s="71">
        <f>IF(I709="","",IFERROR(MID(I709,FIND("/d/",I709)+3,FIND("/edit",I709)-FIND("/d/",I709)-3),I709))</f>
        <v/>
      </c>
      <c r="X709" s="71">
        <f>IF($J709="","",IFERROR(INDEX(B!$C$2:$C$61,MATCH($J709,B!$E$2:$E$61,0))&amp;"",""))</f>
        <v/>
      </c>
      <c r="Y709" s="20" t="n"/>
      <c r="Z709" s="72">
        <f>IF($J709="",FALSE,ISNUMBER(SEARCH("scout",$K709)))</f>
        <v/>
      </c>
      <c r="AA709" s="72">
        <f>IF($J709="",FALSE,IFERROR(INDEX(B!$N$2:$N$61,MATCH($J709,B!$E$2:$E$61,0))="Sim",FALSE))</f>
        <v/>
      </c>
      <c r="AB709" s="72">
        <f>IF($J709="",FALSE,LEFT($X709,2)="XX")</f>
        <v/>
      </c>
      <c r="AC709" s="72">
        <f>IF($J709="",FALSE,IFERROR(INDEX(B!$P$2:$P$61,MATCH($J709,B!$E$2:$E$61,0))="Sim",FALSE))</f>
        <v/>
      </c>
      <c r="AD709" s="20" t="n"/>
      <c r="AE709" s="52">
        <f>IF(H709="","",HOUR(H709))</f>
        <v/>
      </c>
      <c r="AF709" s="52" t="n"/>
    </row>
    <row r="710" ht="19.5" customHeight="1" s="58">
      <c r="A710" s="62">
        <f>IF(G710="","",IF(G710=G709,"",COUNTIF($G$3:$G$976,G710)))</f>
        <v/>
      </c>
      <c r="B710" s="20" t="n"/>
      <c r="C710" s="63">
        <f>IF(G710="","",DAY(G710))</f>
        <v/>
      </c>
      <c r="D710" s="63">
        <f>IF(G710="","",MONTH(G710))</f>
        <v/>
      </c>
      <c r="E710" s="63">
        <f>IF(G710="","",YEAR(G710))</f>
        <v/>
      </c>
      <c r="F710" s="33">
        <f>IF(G710="","",CHOOSE(MONTH(G710),"Janeiro","Fevereiro","Março","Abril","Maio","Junho","Julho","Agosto","Setembro","Outubro","Novembro","Dezembro"))</f>
        <v/>
      </c>
      <c r="G710" s="64" t="n">
        <v>46075</v>
      </c>
      <c r="H710" s="65" t="n">
        <v>0.1676851851851852</v>
      </c>
      <c r="I710" s="66" t="inlineStr">
        <is>
          <t>https://docs.google.com/spreadsheets/d/1ZiCGoPjLCjuYvujDTXK9Ixbth3tekiLtFBzBrGjPCr4/edit?gid=0#gid=0</t>
        </is>
      </c>
      <c r="J710" s="67" t="inlineStr">
        <is>
          <t>Overpaid, Excede o limite, Sem comprovante - [OPEN]</t>
        </is>
      </c>
      <c r="K710" s="67" t="inlineStr"/>
      <c r="L710" s="68" t="b">
        <v>0</v>
      </c>
      <c r="M710" s="20" t="n"/>
      <c r="N710" s="69">
        <f>IF($J710="","",IFERROR(INDEX(B!$F$2:$F$61,MATCH($J710,B!$E$2:$E$61,0))&amp;"",""))</f>
        <v/>
      </c>
      <c r="O710" s="69">
        <f>IF($J710="","",IFERROR(INDEX(B!$G$2:$G$61,MATCH($J710,B!$E$2:$E$61,0))&amp;"",""))</f>
        <v/>
      </c>
      <c r="P710" s="69">
        <f>IF($J710="","",IFERROR(INDEX(B!$H$2:$H$61,MATCH($J710,B!$E$2:$E$61,0))&amp;"",""))</f>
        <v/>
      </c>
      <c r="Q710" s="69">
        <f>IF($J710="","",IFERROR(INDEX(B!$I$2:$I$61,MATCH($J710,B!$E$2:$E$61,0))&amp;"",""))</f>
        <v/>
      </c>
      <c r="R710" s="69">
        <f>IF($J710="","",IFERROR(INDEX(B!$J$2:$J$61,MATCH($J710,B!$E$2:$E$61,0))&amp;"",""))</f>
        <v/>
      </c>
      <c r="S710" s="69">
        <f>IF($J710="","",IFERROR(INDEX(B!$K$2:$K$61,MATCH($J710,B!$E$2:$E$61,0))&amp;"",""))</f>
        <v/>
      </c>
      <c r="T710" s="69">
        <f>IF($J710="","",IFERROR(INDEX(B!$L$2:$L$61,MATCH($J710,B!$E$2:$E$61,0))&amp;"",""))</f>
        <v/>
      </c>
      <c r="U710" s="20" t="n"/>
      <c r="V710" s="70">
        <f>IF($J710="","",IFERROR(INDEX(B!$M$2:$M$61,MATCH($J710,B!$E$2:$E$61,0))&amp;"",""))</f>
        <v/>
      </c>
      <c r="W710" s="71">
        <f>IF(I710="","",IFERROR(MID(I710,FIND("/d/",I710)+3,FIND("/edit",I710)-FIND("/d/",I710)-3),I710))</f>
        <v/>
      </c>
      <c r="X710" s="71">
        <f>IF($J710="","",IFERROR(INDEX(B!$C$2:$C$61,MATCH($J710,B!$E$2:$E$61,0))&amp;"",""))</f>
        <v/>
      </c>
      <c r="Y710" s="20" t="n"/>
      <c r="Z710" s="72">
        <f>IF($J710="",FALSE,ISNUMBER(SEARCH("scout",$K710)))</f>
        <v/>
      </c>
      <c r="AA710" s="72">
        <f>IF($J710="",FALSE,IFERROR(INDEX(B!$N$2:$N$61,MATCH($J710,B!$E$2:$E$61,0))="Sim",FALSE))</f>
        <v/>
      </c>
      <c r="AB710" s="72">
        <f>IF($J710="",FALSE,LEFT($X710,2)="XX")</f>
        <v/>
      </c>
      <c r="AC710" s="72">
        <f>IF($J710="",FALSE,IFERROR(INDEX(B!$P$2:$P$61,MATCH($J710,B!$E$2:$E$61,0))="Sim",FALSE))</f>
        <v/>
      </c>
      <c r="AD710" s="20" t="n"/>
      <c r="AE710" s="52">
        <f>IF(H710="","",HOUR(H710))</f>
        <v/>
      </c>
      <c r="AF710" s="52" t="n"/>
    </row>
    <row r="711" ht="19.5" customHeight="1" s="58">
      <c r="A711" s="62">
        <f>IF(G711="","",IF(G711=G710,"",COUNTIF($G$3:$G$976,G711)))</f>
        <v/>
      </c>
      <c r="B711" s="20" t="n"/>
      <c r="C711" s="63">
        <f>IF(G711="","",DAY(G711))</f>
        <v/>
      </c>
      <c r="D711" s="63">
        <f>IF(G711="","",MONTH(G711))</f>
        <v/>
      </c>
      <c r="E711" s="63">
        <f>IF(G711="","",YEAR(G711))</f>
        <v/>
      </c>
      <c r="F711" s="33">
        <f>IF(G711="","",CHOOSE(MONTH(G711),"Janeiro","Fevereiro","Março","Abril","Maio","Junho","Julho","Agosto","Setembro","Outubro","Novembro","Dezembro"))</f>
        <v/>
      </c>
      <c r="G711" s="64" t="n">
        <v>46075</v>
      </c>
      <c r="H711" s="65" t="n">
        <v>0.1790625</v>
      </c>
      <c r="I711" s="66" t="inlineStr">
        <is>
          <t>https://docs.google.com/spreadsheets/d/1ZiCGoPjLCjuYvujDTXK9Ixbth3tekiLtFBzBrGjPCr4/edit?gid=0#gid=0</t>
        </is>
      </c>
      <c r="J711" s="67" t="inlineStr">
        <is>
          <t>Trajeto Ruim - [TR]</t>
        </is>
      </c>
      <c r="K711" s="67" t="inlineStr"/>
      <c r="L711" s="68" t="b">
        <v>1</v>
      </c>
      <c r="M711" s="20" t="n"/>
      <c r="N711" s="69">
        <f>IF($J711="","",IFERROR(INDEX(B!$F$2:$F$61,MATCH($J711,B!$E$2:$E$61,0))&amp;"",""))</f>
        <v/>
      </c>
      <c r="O711" s="69">
        <f>IF($J711="","",IFERROR(INDEX(B!$G$2:$G$61,MATCH($J711,B!$E$2:$E$61,0))&amp;"",""))</f>
        <v/>
      </c>
      <c r="P711" s="69">
        <f>IF($J711="","",IFERROR(INDEX(B!$H$2:$H$61,MATCH($J711,B!$E$2:$E$61,0))&amp;"",""))</f>
        <v/>
      </c>
      <c r="Q711" s="69">
        <f>IF($J711="","",IFERROR(INDEX(B!$I$2:$I$61,MATCH($J711,B!$E$2:$E$61,0))&amp;"",""))</f>
        <v/>
      </c>
      <c r="R711" s="69">
        <f>IF($J711="","",IFERROR(INDEX(B!$J$2:$J$61,MATCH($J711,B!$E$2:$E$61,0))&amp;"",""))</f>
        <v/>
      </c>
      <c r="S711" s="69">
        <f>IF($J711="","",IFERROR(INDEX(B!$K$2:$K$61,MATCH($J711,B!$E$2:$E$61,0))&amp;"",""))</f>
        <v/>
      </c>
      <c r="T711" s="69">
        <f>IF($J711="","",IFERROR(INDEX(B!$L$2:$L$61,MATCH($J711,B!$E$2:$E$61,0))&amp;"",""))</f>
        <v/>
      </c>
      <c r="U711" s="20" t="n"/>
      <c r="V711" s="70">
        <f>IF($J711="","",IFERROR(INDEX(B!$M$2:$M$61,MATCH($J711,B!$E$2:$E$61,0))&amp;"",""))</f>
        <v/>
      </c>
      <c r="W711" s="71">
        <f>IF(I711="","",IFERROR(MID(I711,FIND("/d/",I711)+3,FIND("/edit",I711)-FIND("/d/",I711)-3),I711))</f>
        <v/>
      </c>
      <c r="X711" s="71">
        <f>IF($J711="","",IFERROR(INDEX(B!$C$2:$C$61,MATCH($J711,B!$E$2:$E$61,0))&amp;"",""))</f>
        <v/>
      </c>
      <c r="Y711" s="20" t="n"/>
      <c r="Z711" s="72">
        <f>IF($J711="",FALSE,ISNUMBER(SEARCH("scout",$K711)))</f>
        <v/>
      </c>
      <c r="AA711" s="72">
        <f>IF($J711="",FALSE,IFERROR(INDEX(B!$N$2:$N$61,MATCH($J711,B!$E$2:$E$61,0))="Sim",FALSE))</f>
        <v/>
      </c>
      <c r="AB711" s="72">
        <f>IF($J711="",FALSE,LEFT($X711,2)="XX")</f>
        <v/>
      </c>
      <c r="AC711" s="72">
        <f>IF($J711="",FALSE,IFERROR(INDEX(B!$P$2:$P$61,MATCH($J711,B!$E$2:$E$61,0))="Sim",FALSE))</f>
        <v/>
      </c>
      <c r="AD711" s="20" t="n"/>
      <c r="AE711" s="52">
        <f>IF(H711="","",HOUR(H711))</f>
        <v/>
      </c>
      <c r="AF711" s="52" t="n"/>
    </row>
    <row r="712" ht="19.5" customHeight="1" s="58">
      <c r="A712" s="62">
        <f>IF(G712="","",IF(G712=G711,"",COUNTIF($G$3:$G$976,G712)))</f>
        <v/>
      </c>
      <c r="B712" s="20" t="n"/>
      <c r="C712" s="63">
        <f>IF(G712="","",DAY(G712))</f>
        <v/>
      </c>
      <c r="D712" s="63">
        <f>IF(G712="","",MONTH(G712))</f>
        <v/>
      </c>
      <c r="E712" s="63">
        <f>IF(G712="","",YEAR(G712))</f>
        <v/>
      </c>
      <c r="F712" s="33">
        <f>IF(G712="","",CHOOSE(MONTH(G712),"Janeiro","Fevereiro","Março","Abril","Maio","Junho","Julho","Agosto","Setembro","Outubro","Novembro","Dezembro"))</f>
        <v/>
      </c>
      <c r="G712" s="64" t="n">
        <v>46075</v>
      </c>
      <c r="H712" s="65" t="n">
        <v>0.1858101851851852</v>
      </c>
      <c r="I712" s="66" t="inlineStr">
        <is>
          <t>https://docs.google.com/spreadsheets/d/1ZiCGoPjLCjuYvujDTXK9Ixbth3tekiLtFBzBrGjPCr4/edit?gid=0#gid=0</t>
        </is>
      </c>
      <c r="J712" s="67" t="inlineStr">
        <is>
          <t>Taxa de Cancelamento Cobrada Corretamente - [TXCO]</t>
        </is>
      </c>
      <c r="K712" s="67" t="inlineStr"/>
      <c r="L712" s="68" t="b">
        <v>0</v>
      </c>
      <c r="M712" s="20" t="n"/>
      <c r="N712" s="69">
        <f>IF($J712="","",IFERROR(INDEX(B!$F$2:$F$61,MATCH($J712,B!$E$2:$E$61,0))&amp;"",""))</f>
        <v/>
      </c>
      <c r="O712" s="69">
        <f>IF($J712="","",IFERROR(INDEX(B!$G$2:$G$61,MATCH($J712,B!$E$2:$E$61,0))&amp;"",""))</f>
        <v/>
      </c>
      <c r="P712" s="69">
        <f>IF($J712="","",IFERROR(INDEX(B!$H$2:$H$61,MATCH($J712,B!$E$2:$E$61,0))&amp;"",""))</f>
        <v/>
      </c>
      <c r="Q712" s="69">
        <f>IF($J712="","",IFERROR(INDEX(B!$I$2:$I$61,MATCH($J712,B!$E$2:$E$61,0))&amp;"",""))</f>
        <v/>
      </c>
      <c r="R712" s="69">
        <f>IF($J712="","",IFERROR(INDEX(B!$J$2:$J$61,MATCH($J712,B!$E$2:$E$61,0))&amp;"",""))</f>
        <v/>
      </c>
      <c r="S712" s="69">
        <f>IF($J712="","",IFERROR(INDEX(B!$K$2:$K$61,MATCH($J712,B!$E$2:$E$61,0))&amp;"",""))</f>
        <v/>
      </c>
      <c r="T712" s="69">
        <f>IF($J712="","",IFERROR(INDEX(B!$L$2:$L$61,MATCH($J712,B!$E$2:$E$61,0))&amp;"",""))</f>
        <v/>
      </c>
      <c r="U712" s="20" t="n"/>
      <c r="V712" s="70">
        <f>IF($J712="","",IFERROR(INDEX(B!$M$2:$M$61,MATCH($J712,B!$E$2:$E$61,0))&amp;"",""))</f>
        <v/>
      </c>
      <c r="W712" s="71">
        <f>IF(I712="","",IFERROR(MID(I712,FIND("/d/",I712)+3,FIND("/edit",I712)-FIND("/d/",I712)-3),I712))</f>
        <v/>
      </c>
      <c r="X712" s="71">
        <f>IF($J712="","",IFERROR(INDEX(B!$C$2:$C$61,MATCH($J712,B!$E$2:$E$61,0))&amp;"",""))</f>
        <v/>
      </c>
      <c r="Y712" s="20" t="n"/>
      <c r="Z712" s="72">
        <f>IF($J712="",FALSE,ISNUMBER(SEARCH("scout",$K712)))</f>
        <v/>
      </c>
      <c r="AA712" s="72">
        <f>IF($J712="",FALSE,IFERROR(INDEX(B!$N$2:$N$61,MATCH($J712,B!$E$2:$E$61,0))="Sim",FALSE))</f>
        <v/>
      </c>
      <c r="AB712" s="72">
        <f>IF($J712="",FALSE,LEFT($X712,2)="XX")</f>
        <v/>
      </c>
      <c r="AC712" s="72">
        <f>IF($J712="",FALSE,IFERROR(INDEX(B!$P$2:$P$61,MATCH($J712,B!$E$2:$E$61,0))="Sim",FALSE))</f>
        <v/>
      </c>
      <c r="AD712" s="20" t="n"/>
      <c r="AE712" s="52">
        <f>IF(H712="","",HOUR(H712))</f>
        <v/>
      </c>
      <c r="AF712" s="52" t="n"/>
    </row>
    <row r="713" ht="19.5" customHeight="1" s="58">
      <c r="A713" s="62">
        <f>IF(G713="","",IF(G713=G712,"",COUNTIF($G$3:$G$976,G713)))</f>
        <v/>
      </c>
      <c r="B713" s="20" t="n"/>
      <c r="C713" s="63">
        <f>IF(G713="","",DAY(G713))</f>
        <v/>
      </c>
      <c r="D713" s="63">
        <f>IF(G713="","",MONTH(G713))</f>
        <v/>
      </c>
      <c r="E713" s="63">
        <f>IF(G713="","",YEAR(G713))</f>
        <v/>
      </c>
      <c r="F713" s="33">
        <f>IF(G713="","",CHOOSE(MONTH(G713),"Janeiro","Fevereiro","Março","Abril","Maio","Junho","Julho","Agosto","Setembro","Outubro","Novembro","Dezembro"))</f>
        <v/>
      </c>
      <c r="G713" s="64" t="n">
        <v>46075</v>
      </c>
      <c r="H713" s="65" t="n">
        <v>0.1860648148148148</v>
      </c>
      <c r="I713" s="66" t="inlineStr">
        <is>
          <t>https://docs.google.com/spreadsheets/d/1ZiCGoPjLCjuYvujDTXK9Ixbth3tekiLtFBzBrGjPCr4/edit?gid=0#gid=0</t>
        </is>
      </c>
      <c r="J713" s="67" t="inlineStr">
        <is>
          <t>Transferência de LOB (Profissionalismo) - [TIPR]</t>
        </is>
      </c>
      <c r="K713" s="67" t="inlineStr"/>
      <c r="L713" s="68" t="b">
        <v>0</v>
      </c>
      <c r="M713" s="20" t="n"/>
      <c r="N713" s="69">
        <f>IF($J713="","",IFERROR(INDEX(B!$F$2:$F$61,MATCH($J713,B!$E$2:$E$61,0))&amp;"",""))</f>
        <v/>
      </c>
      <c r="O713" s="69">
        <f>IF($J713="","",IFERROR(INDEX(B!$G$2:$G$61,MATCH($J713,B!$E$2:$E$61,0))&amp;"",""))</f>
        <v/>
      </c>
      <c r="P713" s="69">
        <f>IF($J713="","",IFERROR(INDEX(B!$H$2:$H$61,MATCH($J713,B!$E$2:$E$61,0))&amp;"",""))</f>
        <v/>
      </c>
      <c r="Q713" s="69">
        <f>IF($J713="","",IFERROR(INDEX(B!$I$2:$I$61,MATCH($J713,B!$E$2:$E$61,0))&amp;"",""))</f>
        <v/>
      </c>
      <c r="R713" s="69">
        <f>IF($J713="","",IFERROR(INDEX(B!$J$2:$J$61,MATCH($J713,B!$E$2:$E$61,0))&amp;"",""))</f>
        <v/>
      </c>
      <c r="S713" s="69">
        <f>IF($J713="","",IFERROR(INDEX(B!$K$2:$K$61,MATCH($J713,B!$E$2:$E$61,0))&amp;"",""))</f>
        <v/>
      </c>
      <c r="T713" s="69">
        <f>IF($J713="","",IFERROR(INDEX(B!$L$2:$L$61,MATCH($J713,B!$E$2:$E$61,0))&amp;"",""))</f>
        <v/>
      </c>
      <c r="U713" s="20" t="n"/>
      <c r="V713" s="70">
        <f>IF($J713="","",IFERROR(INDEX(B!$M$2:$M$61,MATCH($J713,B!$E$2:$E$61,0))&amp;"",""))</f>
        <v/>
      </c>
      <c r="W713" s="71">
        <f>IF(I713="","",IFERROR(MID(I713,FIND("/d/",I713)+3,FIND("/edit",I713)-FIND("/d/",I713)-3),I713))</f>
        <v/>
      </c>
      <c r="X713" s="71">
        <f>IF($J713="","",IFERROR(INDEX(B!$C$2:$C$61,MATCH($J713,B!$E$2:$E$61,0))&amp;"",""))</f>
        <v/>
      </c>
      <c r="Y713" s="20" t="n"/>
      <c r="Z713" s="72">
        <f>IF($J713="",FALSE,ISNUMBER(SEARCH("scout",$K713)))</f>
        <v/>
      </c>
      <c r="AA713" s="72">
        <f>IF($J713="",FALSE,IFERROR(INDEX(B!$N$2:$N$61,MATCH($J713,B!$E$2:$E$61,0))="Sim",FALSE))</f>
        <v/>
      </c>
      <c r="AB713" s="72">
        <f>IF($J713="",FALSE,LEFT($X713,2)="XX")</f>
        <v/>
      </c>
      <c r="AC713" s="72">
        <f>IF($J713="",FALSE,IFERROR(INDEX(B!$P$2:$P$61,MATCH($J713,B!$E$2:$E$61,0))="Sim",FALSE))</f>
        <v/>
      </c>
      <c r="AD713" s="20" t="n"/>
      <c r="AE713" s="52">
        <f>IF(H713="","",HOUR(H713))</f>
        <v/>
      </c>
      <c r="AF713" s="52" t="n"/>
    </row>
    <row r="714" ht="19.5" customHeight="1" s="58">
      <c r="A714" s="62">
        <f>IF(G714="","",IF(G714=G713,"",COUNTIF($G$3:$G$976,G714)))</f>
        <v/>
      </c>
      <c r="B714" s="20" t="n"/>
      <c r="C714" s="63">
        <f>IF(G714="","",DAY(G714))</f>
        <v/>
      </c>
      <c r="D714" s="63">
        <f>IF(G714="","",MONTH(G714))</f>
        <v/>
      </c>
      <c r="E714" s="63">
        <f>IF(G714="","",YEAR(G714))</f>
        <v/>
      </c>
      <c r="F714" s="33">
        <f>IF(G714="","",CHOOSE(MONTH(G714),"Janeiro","Fevereiro","Março","Abril","Maio","Junho","Julho","Agosto","Setembro","Outubro","Novembro","Dezembro"))</f>
        <v/>
      </c>
      <c r="G714" s="64" t="n">
        <v>46075</v>
      </c>
      <c r="H714" s="65" t="n">
        <v>0.1895717592592593</v>
      </c>
      <c r="I714" s="66" t="inlineStr">
        <is>
          <t>https://docs.google.com/spreadsheets/d/1ZiCGoPjLCjuYvujDTXK9Ixbth3tekiLtFBzBrGjPCr4/edit?gid=0#gid=0</t>
        </is>
      </c>
      <c r="J714" s="67" t="inlineStr">
        <is>
          <t>Taxa de Limpeza, Reembolsado ao cliente - [TXLR]</t>
        </is>
      </c>
      <c r="K714" s="67" t="inlineStr"/>
      <c r="L714" s="68" t="b">
        <v>0</v>
      </c>
      <c r="M714" s="20" t="n"/>
      <c r="N714" s="69">
        <f>IF($J714="","",IFERROR(INDEX(B!$F$2:$F$61,MATCH($J714,B!$E$2:$E$61,0))&amp;"",""))</f>
        <v/>
      </c>
      <c r="O714" s="69">
        <f>IF($J714="","",IFERROR(INDEX(B!$G$2:$G$61,MATCH($J714,B!$E$2:$E$61,0))&amp;"",""))</f>
        <v/>
      </c>
      <c r="P714" s="69">
        <f>IF($J714="","",IFERROR(INDEX(B!$H$2:$H$61,MATCH($J714,B!$E$2:$E$61,0))&amp;"",""))</f>
        <v/>
      </c>
      <c r="Q714" s="69">
        <f>IF($J714="","",IFERROR(INDEX(B!$I$2:$I$61,MATCH($J714,B!$E$2:$E$61,0))&amp;"",""))</f>
        <v/>
      </c>
      <c r="R714" s="69">
        <f>IF($J714="","",IFERROR(INDEX(B!$J$2:$J$61,MATCH($J714,B!$E$2:$E$61,0))&amp;"",""))</f>
        <v/>
      </c>
      <c r="S714" s="69">
        <f>IF($J714="","",IFERROR(INDEX(B!$K$2:$K$61,MATCH($J714,B!$E$2:$E$61,0))&amp;"",""))</f>
        <v/>
      </c>
      <c r="T714" s="69">
        <f>IF($J714="","",IFERROR(INDEX(B!$L$2:$L$61,MATCH($J714,B!$E$2:$E$61,0))&amp;"",""))</f>
        <v/>
      </c>
      <c r="U714" s="20" t="n"/>
      <c r="V714" s="70">
        <f>IF($J714="","",IFERROR(INDEX(B!$M$2:$M$61,MATCH($J714,B!$E$2:$E$61,0))&amp;"",""))</f>
        <v/>
      </c>
      <c r="W714" s="71">
        <f>IF(I714="","",IFERROR(MID(I714,FIND("/d/",I714)+3,FIND("/edit",I714)-FIND("/d/",I714)-3),I714))</f>
        <v/>
      </c>
      <c r="X714" s="71">
        <f>IF($J714="","",IFERROR(INDEX(B!$C$2:$C$61,MATCH($J714,B!$E$2:$E$61,0))&amp;"",""))</f>
        <v/>
      </c>
      <c r="Y714" s="20" t="n"/>
      <c r="Z714" s="72">
        <f>IF($J714="",FALSE,ISNUMBER(SEARCH("scout",$K714)))</f>
        <v/>
      </c>
      <c r="AA714" s="72">
        <f>IF($J714="",FALSE,IFERROR(INDEX(B!$N$2:$N$61,MATCH($J714,B!$E$2:$E$61,0))="Sim",FALSE))</f>
        <v/>
      </c>
      <c r="AB714" s="72">
        <f>IF($J714="",FALSE,LEFT($X714,2)="XX")</f>
        <v/>
      </c>
      <c r="AC714" s="72">
        <f>IF($J714="",FALSE,IFERROR(INDEX(B!$P$2:$P$61,MATCH($J714,B!$E$2:$E$61,0))="Sim",FALSE))</f>
        <v/>
      </c>
      <c r="AD714" s="20" t="n"/>
      <c r="AE714" s="52">
        <f>IF(H714="","",HOUR(H714))</f>
        <v/>
      </c>
      <c r="AF714" s="52" t="n"/>
    </row>
    <row r="715" ht="19.5" customHeight="1" s="58">
      <c r="A715" s="62">
        <f>IF(G715="","",IF(G715=G714,"",COUNTIF($G$3:$G$976,G715)))</f>
        <v/>
      </c>
      <c r="B715" s="20" t="n"/>
      <c r="C715" s="63">
        <f>IF(G715="","",DAY(G715))</f>
        <v/>
      </c>
      <c r="D715" s="63">
        <f>IF(G715="","",MONTH(G715))</f>
        <v/>
      </c>
      <c r="E715" s="63">
        <f>IF(G715="","",YEAR(G715))</f>
        <v/>
      </c>
      <c r="F715" s="33">
        <f>IF(G715="","",CHOOSE(MONTH(G715),"Janeiro","Fevereiro","Março","Abril","Maio","Junho","Julho","Agosto","Setembro","Outubro","Novembro","Dezembro"))</f>
        <v/>
      </c>
      <c r="G715" s="64" t="n">
        <v>46075</v>
      </c>
      <c r="H715" s="65" t="n">
        <v>0.1910763888888889</v>
      </c>
      <c r="I715" s="66" t="inlineStr">
        <is>
          <t>https://docs.google.com/spreadsheets/d/1ZiCGoPjLCjuYvujDTXK9Ixbth3tekiLtFBzBrGjPCr4/edit?gid=0#gid=0</t>
        </is>
      </c>
      <c r="J715" s="67" t="inlineStr">
        <is>
          <t>Mais informações Gerais - [AA]</t>
        </is>
      </c>
      <c r="K715" s="67" t="inlineStr"/>
      <c r="L715" s="68" t="b">
        <v>0</v>
      </c>
      <c r="M715" s="20" t="n"/>
      <c r="N715" s="69">
        <f>IF($J715="","",IFERROR(INDEX(B!$F$2:$F$61,MATCH($J715,B!$E$2:$E$61,0))&amp;"",""))</f>
        <v/>
      </c>
      <c r="O715" s="69">
        <f>IF($J715="","",IFERROR(INDEX(B!$G$2:$G$61,MATCH($J715,B!$E$2:$E$61,0))&amp;"",""))</f>
        <v/>
      </c>
      <c r="P715" s="69">
        <f>IF($J715="","",IFERROR(INDEX(B!$H$2:$H$61,MATCH($J715,B!$E$2:$E$61,0))&amp;"",""))</f>
        <v/>
      </c>
      <c r="Q715" s="69">
        <f>IF($J715="","",IFERROR(INDEX(B!$I$2:$I$61,MATCH($J715,B!$E$2:$E$61,0))&amp;"",""))</f>
        <v/>
      </c>
      <c r="R715" s="69">
        <f>IF($J715="","",IFERROR(INDEX(B!$J$2:$J$61,MATCH($J715,B!$E$2:$E$61,0))&amp;"",""))</f>
        <v/>
      </c>
      <c r="S715" s="69">
        <f>IF($J715="","",IFERROR(INDEX(B!$K$2:$K$61,MATCH($J715,B!$E$2:$E$61,0))&amp;"",""))</f>
        <v/>
      </c>
      <c r="T715" s="69">
        <f>IF($J715="","",IFERROR(INDEX(B!$L$2:$L$61,MATCH($J715,B!$E$2:$E$61,0))&amp;"",""))</f>
        <v/>
      </c>
      <c r="U715" s="20" t="n"/>
      <c r="V715" s="70">
        <f>IF($J715="","",IFERROR(INDEX(B!$M$2:$M$61,MATCH($J715,B!$E$2:$E$61,0))&amp;"",""))</f>
        <v/>
      </c>
      <c r="W715" s="71">
        <f>IF(I715="","",IFERROR(MID(I715,FIND("/d/",I715)+3,FIND("/edit",I715)-FIND("/d/",I715)-3),I715))</f>
        <v/>
      </c>
      <c r="X715" s="71">
        <f>IF($J715="","",IFERROR(INDEX(B!$C$2:$C$61,MATCH($J715,B!$E$2:$E$61,0))&amp;"",""))</f>
        <v/>
      </c>
      <c r="Y715" s="20" t="n"/>
      <c r="Z715" s="72">
        <f>IF($J715="",FALSE,ISNUMBER(SEARCH("scout",$K715)))</f>
        <v/>
      </c>
      <c r="AA715" s="72">
        <f>IF($J715="",FALSE,IFERROR(INDEX(B!$N$2:$N$61,MATCH($J715,B!$E$2:$E$61,0))="Sim",FALSE))</f>
        <v/>
      </c>
      <c r="AB715" s="72">
        <f>IF($J715="",FALSE,LEFT($X715,2)="XX")</f>
        <v/>
      </c>
      <c r="AC715" s="72">
        <f>IF($J715="",FALSE,IFERROR(INDEX(B!$P$2:$P$61,MATCH($J715,B!$E$2:$E$61,0))="Sim",FALSE))</f>
        <v/>
      </c>
      <c r="AD715" s="20" t="n"/>
      <c r="AE715" s="52">
        <f>IF(H715="","",HOUR(H715))</f>
        <v/>
      </c>
      <c r="AF715" s="52" t="n"/>
    </row>
    <row r="716" ht="19.5" customHeight="1" s="58">
      <c r="A716" s="62">
        <f>IF(G716="","",IF(G716=G715,"",COUNTIF($G$3:$G$976,G716)))</f>
        <v/>
      </c>
      <c r="B716" s="20" t="n"/>
      <c r="C716" s="63">
        <f>IF(G716="","",DAY(G716))</f>
        <v/>
      </c>
      <c r="D716" s="63">
        <f>IF(G716="","",MONTH(G716))</f>
        <v/>
      </c>
      <c r="E716" s="63">
        <f>IF(G716="","",YEAR(G716))</f>
        <v/>
      </c>
      <c r="F716" s="33">
        <f>IF(G716="","",CHOOSE(MONTH(G716),"Janeiro","Fevereiro","Março","Abril","Maio","Junho","Julho","Agosto","Setembro","Outubro","Novembro","Dezembro"))</f>
        <v/>
      </c>
      <c r="G716" s="64" t="n">
        <v>46075</v>
      </c>
      <c r="H716" s="65" t="n">
        <v>0.1911805555555555</v>
      </c>
      <c r="I716" s="66" t="inlineStr">
        <is>
          <t>https://docs.google.com/spreadsheets/d/1ZiCGoPjLCjuYvujDTXK9Ixbth3tekiLtFBzBrGjPCr4/edit?gid=0#gid=0</t>
        </is>
      </c>
      <c r="J716" s="67" t="inlineStr">
        <is>
          <t>Taxa de Limpeza, Sem ajustes - [TXLO]</t>
        </is>
      </c>
      <c r="K716" s="67" t="inlineStr">
        <is>
          <t>Scout</t>
        </is>
      </c>
      <c r="L716" s="68" t="b">
        <v>1</v>
      </c>
      <c r="M716" s="20" t="n"/>
      <c r="N716" s="69">
        <f>IF($J716="","",IFERROR(INDEX(B!$F$2:$F$61,MATCH($J716,B!$E$2:$E$61,0))&amp;"",""))</f>
        <v/>
      </c>
      <c r="O716" s="69">
        <f>IF($J716="","",IFERROR(INDEX(B!$G$2:$G$61,MATCH($J716,B!$E$2:$E$61,0))&amp;"",""))</f>
        <v/>
      </c>
      <c r="P716" s="69">
        <f>IF($J716="","",IFERROR(INDEX(B!$H$2:$H$61,MATCH($J716,B!$E$2:$E$61,0))&amp;"",""))</f>
        <v/>
      </c>
      <c r="Q716" s="69">
        <f>IF($J716="","",IFERROR(INDEX(B!$I$2:$I$61,MATCH($J716,B!$E$2:$E$61,0))&amp;"",""))</f>
        <v/>
      </c>
      <c r="R716" s="69">
        <f>IF($J716="","",IFERROR(INDEX(B!$J$2:$J$61,MATCH($J716,B!$E$2:$E$61,0))&amp;"",""))</f>
        <v/>
      </c>
      <c r="S716" s="69">
        <f>IF($J716="","",IFERROR(INDEX(B!$K$2:$K$61,MATCH($J716,B!$E$2:$E$61,0))&amp;"",""))</f>
        <v/>
      </c>
      <c r="T716" s="69">
        <f>IF($J716="","",IFERROR(INDEX(B!$L$2:$L$61,MATCH($J716,B!$E$2:$E$61,0))&amp;"",""))</f>
        <v/>
      </c>
      <c r="U716" s="20" t="n"/>
      <c r="V716" s="70">
        <f>IF($J716="","",IFERROR(INDEX(B!$M$2:$M$61,MATCH($J716,B!$E$2:$E$61,0))&amp;"",""))</f>
        <v/>
      </c>
      <c r="W716" s="71">
        <f>IF(I716="","",IFERROR(MID(I716,FIND("/d/",I716)+3,FIND("/edit",I716)-FIND("/d/",I716)-3),I716))</f>
        <v/>
      </c>
      <c r="X716" s="71">
        <f>IF($J716="","",IFERROR(INDEX(B!$C$2:$C$61,MATCH($J716,B!$E$2:$E$61,0))&amp;"",""))</f>
        <v/>
      </c>
      <c r="Y716" s="20" t="n"/>
      <c r="Z716" s="72">
        <f>IF($J716="",FALSE,ISNUMBER(SEARCH("scout",$K716)))</f>
        <v/>
      </c>
      <c r="AA716" s="72">
        <f>IF($J716="",FALSE,IFERROR(INDEX(B!$N$2:$N$61,MATCH($J716,B!$E$2:$E$61,0))="Sim",FALSE))</f>
        <v/>
      </c>
      <c r="AB716" s="72">
        <f>IF($J716="",FALSE,LEFT($X716,2)="XX")</f>
        <v/>
      </c>
      <c r="AC716" s="72">
        <f>IF($J716="",FALSE,IFERROR(INDEX(B!$P$2:$P$61,MATCH($J716,B!$E$2:$E$61,0))="Sim",FALSE))</f>
        <v/>
      </c>
      <c r="AD716" s="20" t="n"/>
      <c r="AE716" s="52">
        <f>IF(H716="","",HOUR(H716))</f>
        <v/>
      </c>
      <c r="AF716" s="52" t="n"/>
    </row>
    <row r="717" ht="19.5" customHeight="1" s="58">
      <c r="A717" s="62">
        <f>IF(G717="","",IF(G717=G716,"",COUNTIF($G$3:$G$976,G717)))</f>
        <v/>
      </c>
      <c r="B717" s="20" t="n"/>
      <c r="C717" s="63">
        <f>IF(G717="","",DAY(G717))</f>
        <v/>
      </c>
      <c r="D717" s="63">
        <f>IF(G717="","",MONTH(G717))</f>
        <v/>
      </c>
      <c r="E717" s="63">
        <f>IF(G717="","",YEAR(G717))</f>
        <v/>
      </c>
      <c r="F717" s="33">
        <f>IF(G717="","",CHOOSE(MONTH(G717),"Janeiro","Fevereiro","Março","Abril","Maio","Junho","Julho","Agosto","Setembro","Outubro","Novembro","Dezembro"))</f>
        <v/>
      </c>
      <c r="G717" s="64" t="n">
        <v>46075</v>
      </c>
      <c r="H717" s="65" t="n">
        <v>0.1970601851851852</v>
      </c>
      <c r="I717" s="66" t="inlineStr">
        <is>
          <t>https://docs.google.com/spreadsheets/d/1ZiCGoPjLCjuYvujDTXK9Ixbth3tekiLtFBzBrGjPCr4/edit?gid=0#gid=0</t>
        </is>
      </c>
      <c r="J717" s="67" t="inlineStr">
        <is>
          <t>Não houve Taxa de Cancelamento - [NTX]</t>
        </is>
      </c>
      <c r="K717" s="67" t="inlineStr"/>
      <c r="L717" s="68" t="b">
        <v>1</v>
      </c>
      <c r="M717" s="20" t="n"/>
      <c r="N717" s="69">
        <f>IF($J717="","",IFERROR(INDEX(B!$F$2:$F$61,MATCH($J717,B!$E$2:$E$61,0))&amp;"",""))</f>
        <v/>
      </c>
      <c r="O717" s="69">
        <f>IF($J717="","",IFERROR(INDEX(B!$G$2:$G$61,MATCH($J717,B!$E$2:$E$61,0))&amp;"",""))</f>
        <v/>
      </c>
      <c r="P717" s="69">
        <f>IF($J717="","",IFERROR(INDEX(B!$H$2:$H$61,MATCH($J717,B!$E$2:$E$61,0))&amp;"",""))</f>
        <v/>
      </c>
      <c r="Q717" s="69">
        <f>IF($J717="","",IFERROR(INDEX(B!$I$2:$I$61,MATCH($J717,B!$E$2:$E$61,0))&amp;"",""))</f>
        <v/>
      </c>
      <c r="R717" s="69">
        <f>IF($J717="","",IFERROR(INDEX(B!$J$2:$J$61,MATCH($J717,B!$E$2:$E$61,0))&amp;"",""))</f>
        <v/>
      </c>
      <c r="S717" s="69">
        <f>IF($J717="","",IFERROR(INDEX(B!$K$2:$K$61,MATCH($J717,B!$E$2:$E$61,0))&amp;"",""))</f>
        <v/>
      </c>
      <c r="T717" s="69">
        <f>IF($J717="","",IFERROR(INDEX(B!$L$2:$L$61,MATCH($J717,B!$E$2:$E$61,0))&amp;"",""))</f>
        <v/>
      </c>
      <c r="U717" s="20" t="n"/>
      <c r="V717" s="70">
        <f>IF($J717="","",IFERROR(INDEX(B!$M$2:$M$61,MATCH($J717,B!$E$2:$E$61,0))&amp;"",""))</f>
        <v/>
      </c>
      <c r="W717" s="71">
        <f>IF(I717="","",IFERROR(MID(I717,FIND("/d/",I717)+3,FIND("/edit",I717)-FIND("/d/",I717)-3),I717))</f>
        <v/>
      </c>
      <c r="X717" s="71">
        <f>IF($J717="","",IFERROR(INDEX(B!$C$2:$C$61,MATCH($J717,B!$E$2:$E$61,0))&amp;"",""))</f>
        <v/>
      </c>
      <c r="Y717" s="20" t="n"/>
      <c r="Z717" s="72">
        <f>IF($J717="",FALSE,ISNUMBER(SEARCH("scout",$K717)))</f>
        <v/>
      </c>
      <c r="AA717" s="72">
        <f>IF($J717="",FALSE,IFERROR(INDEX(B!$N$2:$N$61,MATCH($J717,B!$E$2:$E$61,0))="Sim",FALSE))</f>
        <v/>
      </c>
      <c r="AB717" s="72">
        <f>IF($J717="",FALSE,LEFT($X717,2)="XX")</f>
        <v/>
      </c>
      <c r="AC717" s="72">
        <f>IF($J717="",FALSE,IFERROR(INDEX(B!$P$2:$P$61,MATCH($J717,B!$E$2:$E$61,0))="Sim",FALSE))</f>
        <v/>
      </c>
      <c r="AD717" s="20" t="n"/>
      <c r="AE717" s="52">
        <f>IF(H717="","",HOUR(H717))</f>
        <v/>
      </c>
      <c r="AF717" s="52" t="n"/>
    </row>
    <row r="718" ht="19.5" customHeight="1" s="58">
      <c r="A718" s="62">
        <f>IF(G718="","",IF(G718=G717,"",COUNTIF($G$3:$G$976,G718)))</f>
        <v/>
      </c>
      <c r="B718" s="20" t="n"/>
      <c r="C718" s="63">
        <f>IF(G718="","",DAY(G718))</f>
        <v/>
      </c>
      <c r="D718" s="63">
        <f>IF(G718="","",MONTH(G718))</f>
        <v/>
      </c>
      <c r="E718" s="63">
        <f>IF(G718="","",YEAR(G718))</f>
        <v/>
      </c>
      <c r="F718" s="33">
        <f>IF(G718="","",CHOOSE(MONTH(G718),"Janeiro","Fevereiro","Março","Abril","Maio","Junho","Julho","Agosto","Setembro","Outubro","Novembro","Dezembro"))</f>
        <v/>
      </c>
      <c r="G718" s="64" t="n">
        <v>46075</v>
      </c>
      <c r="H718" s="65" t="n">
        <v>0.1978703703703704</v>
      </c>
      <c r="I718" s="66" t="inlineStr">
        <is>
          <t>https://docs.google.com/spreadsheets/d/1ZiCGoPjLCjuYvujDTXK9Ixbth3tekiLtFBzBrGjPCr4/edit?gid=0#gid=0</t>
        </is>
      </c>
      <c r="J718" s="67" t="inlineStr">
        <is>
          <t>Transferência de LOB (Lost Items) - [TILI]</t>
        </is>
      </c>
      <c r="K718" s="67" t="inlineStr"/>
      <c r="L718" s="68" t="b">
        <v>0</v>
      </c>
      <c r="M718" s="20" t="n"/>
      <c r="N718" s="69">
        <f>IF($J718="","",IFERROR(INDEX(B!$F$2:$F$61,MATCH($J718,B!$E$2:$E$61,0))&amp;"",""))</f>
        <v/>
      </c>
      <c r="O718" s="69">
        <f>IF($J718="","",IFERROR(INDEX(B!$G$2:$G$61,MATCH($J718,B!$E$2:$E$61,0))&amp;"",""))</f>
        <v/>
      </c>
      <c r="P718" s="69">
        <f>IF($J718="","",IFERROR(INDEX(B!$H$2:$H$61,MATCH($J718,B!$E$2:$E$61,0))&amp;"",""))</f>
        <v/>
      </c>
      <c r="Q718" s="69">
        <f>IF($J718="","",IFERROR(INDEX(B!$I$2:$I$61,MATCH($J718,B!$E$2:$E$61,0))&amp;"",""))</f>
        <v/>
      </c>
      <c r="R718" s="69">
        <f>IF($J718="","",IFERROR(INDEX(B!$J$2:$J$61,MATCH($J718,B!$E$2:$E$61,0))&amp;"",""))</f>
        <v/>
      </c>
      <c r="S718" s="69">
        <f>IF($J718="","",IFERROR(INDEX(B!$K$2:$K$61,MATCH($J718,B!$E$2:$E$61,0))&amp;"",""))</f>
        <v/>
      </c>
      <c r="T718" s="69">
        <f>IF($J718="","",IFERROR(INDEX(B!$L$2:$L$61,MATCH($J718,B!$E$2:$E$61,0))&amp;"",""))</f>
        <v/>
      </c>
      <c r="U718" s="20" t="n"/>
      <c r="V718" s="70">
        <f>IF($J718="","",IFERROR(INDEX(B!$M$2:$M$61,MATCH($J718,B!$E$2:$E$61,0))&amp;"",""))</f>
        <v/>
      </c>
      <c r="W718" s="71">
        <f>IF(I718="","",IFERROR(MID(I718,FIND("/d/",I718)+3,FIND("/edit",I718)-FIND("/d/",I718)-3),I718))</f>
        <v/>
      </c>
      <c r="X718" s="71">
        <f>IF($J718="","",IFERROR(INDEX(B!$C$2:$C$61,MATCH($J718,B!$E$2:$E$61,0))&amp;"",""))</f>
        <v/>
      </c>
      <c r="Y718" s="20" t="n"/>
      <c r="Z718" s="72">
        <f>IF($J718="",FALSE,ISNUMBER(SEARCH("scout",$K718)))</f>
        <v/>
      </c>
      <c r="AA718" s="72">
        <f>IF($J718="",FALSE,IFERROR(INDEX(B!$N$2:$N$61,MATCH($J718,B!$E$2:$E$61,0))="Sim",FALSE))</f>
        <v/>
      </c>
      <c r="AB718" s="72">
        <f>IF($J718="",FALSE,LEFT($X718,2)="XX")</f>
        <v/>
      </c>
      <c r="AC718" s="72">
        <f>IF($J718="",FALSE,IFERROR(INDEX(B!$P$2:$P$61,MATCH($J718,B!$E$2:$E$61,0))="Sim",FALSE))</f>
        <v/>
      </c>
      <c r="AD718" s="20" t="n"/>
      <c r="AE718" s="52">
        <f>IF(H718="","",HOUR(H718))</f>
        <v/>
      </c>
      <c r="AF718" s="52" t="n"/>
    </row>
    <row r="719" ht="19.5" customHeight="1" s="58">
      <c r="A719" s="62">
        <f>IF(G719="","",IF(G719=G718,"",COUNTIF($G$3:$G$976,G719)))</f>
        <v/>
      </c>
      <c r="B719" s="20" t="n"/>
      <c r="C719" s="63">
        <f>IF(G719="","",DAY(G719))</f>
        <v/>
      </c>
      <c r="D719" s="63">
        <f>IF(G719="","",MONTH(G719))</f>
        <v/>
      </c>
      <c r="E719" s="63">
        <f>IF(G719="","",YEAR(G719))</f>
        <v/>
      </c>
      <c r="F719" s="33">
        <f>IF(G719="","",CHOOSE(MONTH(G719),"Janeiro","Fevereiro","Março","Abril","Maio","Junho","Julho","Agosto","Setembro","Outubro","Novembro","Dezembro"))</f>
        <v/>
      </c>
      <c r="G719" s="64" t="n">
        <v>46075</v>
      </c>
      <c r="H719" s="65" t="n">
        <v>0.2029166666666667</v>
      </c>
      <c r="I719" s="66" t="inlineStr">
        <is>
          <t>https://docs.google.com/spreadsheets/d/1ZiCGoPjLCjuYvujDTXK9Ixbth3tekiLtFBzBrGjPCr4/edit?gid=0#gid=0</t>
        </is>
      </c>
      <c r="J719" s="67" t="inlineStr">
        <is>
          <t>Pushback - [XX]</t>
        </is>
      </c>
      <c r="K719" s="67" t="inlineStr">
        <is>
          <t>Scout</t>
        </is>
      </c>
      <c r="L719" s="68" t="b">
        <v>1</v>
      </c>
      <c r="M719" s="20" t="n"/>
      <c r="N719" s="69">
        <f>IF($J719="","",IFERROR(INDEX(B!$F$2:$F$61,MATCH($J719,B!$E$2:$E$61,0))&amp;"",""))</f>
        <v/>
      </c>
      <c r="O719" s="69">
        <f>IF($J719="","",IFERROR(INDEX(B!$G$2:$G$61,MATCH($J719,B!$E$2:$E$61,0))&amp;"",""))</f>
        <v/>
      </c>
      <c r="P719" s="69">
        <f>IF($J719="","",IFERROR(INDEX(B!$H$2:$H$61,MATCH($J719,B!$E$2:$E$61,0))&amp;"",""))</f>
        <v/>
      </c>
      <c r="Q719" s="69">
        <f>IF($J719="","",IFERROR(INDEX(B!$I$2:$I$61,MATCH($J719,B!$E$2:$E$61,0))&amp;"",""))</f>
        <v/>
      </c>
      <c r="R719" s="69">
        <f>IF($J719="","",IFERROR(INDEX(B!$J$2:$J$61,MATCH($J719,B!$E$2:$E$61,0))&amp;"",""))</f>
        <v/>
      </c>
      <c r="S719" s="69">
        <f>IF($J719="","",IFERROR(INDEX(B!$K$2:$K$61,MATCH($J719,B!$E$2:$E$61,0))&amp;"",""))</f>
        <v/>
      </c>
      <c r="T719" s="69">
        <f>IF($J719="","",IFERROR(INDEX(B!$L$2:$L$61,MATCH($J719,B!$E$2:$E$61,0))&amp;"",""))</f>
        <v/>
      </c>
      <c r="U719" s="20" t="n"/>
      <c r="V719" s="70">
        <f>IF($J719="","",IFERROR(INDEX(B!$M$2:$M$61,MATCH($J719,B!$E$2:$E$61,0))&amp;"",""))</f>
        <v/>
      </c>
      <c r="W719" s="71">
        <f>IF(I719="","",IFERROR(MID(I719,FIND("/d/",I719)+3,FIND("/edit",I719)-FIND("/d/",I719)-3),I719))</f>
        <v/>
      </c>
      <c r="X719" s="71">
        <f>IF($J719="","",IFERROR(INDEX(B!$C$2:$C$61,MATCH($J719,B!$E$2:$E$61,0))&amp;"",""))</f>
        <v/>
      </c>
      <c r="Y719" s="20" t="n"/>
      <c r="Z719" s="72">
        <f>IF($J719="",FALSE,ISNUMBER(SEARCH("scout",$K719)))</f>
        <v/>
      </c>
      <c r="AA719" s="72">
        <f>IF($J719="",FALSE,IFERROR(INDEX(B!$N$2:$N$61,MATCH($J719,B!$E$2:$E$61,0))="Sim",FALSE))</f>
        <v/>
      </c>
      <c r="AB719" s="72">
        <f>IF($J719="",FALSE,LEFT($X719,2)="XX")</f>
        <v/>
      </c>
      <c r="AC719" s="72">
        <f>IF($J719="",FALSE,IFERROR(INDEX(B!$P$2:$P$61,MATCH($J719,B!$E$2:$E$61,0))="Sim",FALSE))</f>
        <v/>
      </c>
      <c r="AD719" s="20" t="n"/>
      <c r="AE719" s="52">
        <f>IF(H719="","",HOUR(H719))</f>
        <v/>
      </c>
      <c r="AF719" s="52" t="n"/>
    </row>
    <row r="720" ht="19.5" customHeight="1" s="58">
      <c r="A720" s="62">
        <f>IF(G720="","",IF(G720=G719,"",COUNTIF($G$3:$G$976,G720)))</f>
        <v/>
      </c>
      <c r="B720" s="20" t="n"/>
      <c r="C720" s="63">
        <f>IF(G720="","",DAY(G720))</f>
        <v/>
      </c>
      <c r="D720" s="63">
        <f>IF(G720="","",MONTH(G720))</f>
        <v/>
      </c>
      <c r="E720" s="63">
        <f>IF(G720="","",YEAR(G720))</f>
        <v/>
      </c>
      <c r="F720" s="33">
        <f>IF(G720="","",CHOOSE(MONTH(G720),"Janeiro","Fevereiro","Março","Abril","Maio","Junho","Julho","Agosto","Setembro","Outubro","Novembro","Dezembro"))</f>
        <v/>
      </c>
      <c r="G720" s="64" t="n">
        <v>46075</v>
      </c>
      <c r="H720" s="65" t="n">
        <v>0.203900462962963</v>
      </c>
      <c r="I720" s="66" t="inlineStr">
        <is>
          <t>https://docs.google.com/spreadsheets/d/1ZiCGoPjLCjuYvujDTXK9Ixbth3tekiLtFBzBrGjPCr4/edit?gid=0#gid=0</t>
        </is>
      </c>
      <c r="J720" s="67" t="inlineStr">
        <is>
          <t>Erro de Gps (Problema Técnico) - [GPS]</t>
        </is>
      </c>
      <c r="K720" s="67" t="inlineStr"/>
      <c r="L720" s="68" t="b">
        <v>0</v>
      </c>
      <c r="M720" s="20" t="n"/>
      <c r="N720" s="69">
        <f>IF($J720="","",IFERROR(INDEX(B!$F$2:$F$61,MATCH($J720,B!$E$2:$E$61,0))&amp;"",""))</f>
        <v/>
      </c>
      <c r="O720" s="69">
        <f>IF($J720="","",IFERROR(INDEX(B!$G$2:$G$61,MATCH($J720,B!$E$2:$E$61,0))&amp;"",""))</f>
        <v/>
      </c>
      <c r="P720" s="69">
        <f>IF($J720="","",IFERROR(INDEX(B!$H$2:$H$61,MATCH($J720,B!$E$2:$E$61,0))&amp;"",""))</f>
        <v/>
      </c>
      <c r="Q720" s="69">
        <f>IF($J720="","",IFERROR(INDEX(B!$I$2:$I$61,MATCH($J720,B!$E$2:$E$61,0))&amp;"",""))</f>
        <v/>
      </c>
      <c r="R720" s="69">
        <f>IF($J720="","",IFERROR(INDEX(B!$J$2:$J$61,MATCH($J720,B!$E$2:$E$61,0))&amp;"",""))</f>
        <v/>
      </c>
      <c r="S720" s="69">
        <f>IF($J720="","",IFERROR(INDEX(B!$K$2:$K$61,MATCH($J720,B!$E$2:$E$61,0))&amp;"",""))</f>
        <v/>
      </c>
      <c r="T720" s="69">
        <f>IF($J720="","",IFERROR(INDEX(B!$L$2:$L$61,MATCH($J720,B!$E$2:$E$61,0))&amp;"",""))</f>
        <v/>
      </c>
      <c r="U720" s="20" t="n"/>
      <c r="V720" s="70">
        <f>IF($J720="","",IFERROR(INDEX(B!$M$2:$M$61,MATCH($J720,B!$E$2:$E$61,0))&amp;"",""))</f>
        <v/>
      </c>
      <c r="W720" s="71">
        <f>IF(I720="","",IFERROR(MID(I720,FIND("/d/",I720)+3,FIND("/edit",I720)-FIND("/d/",I720)-3),I720))</f>
        <v/>
      </c>
      <c r="X720" s="71">
        <f>IF($J720="","",IFERROR(INDEX(B!$C$2:$C$61,MATCH($J720,B!$E$2:$E$61,0))&amp;"",""))</f>
        <v/>
      </c>
      <c r="Y720" s="20" t="n"/>
      <c r="Z720" s="72">
        <f>IF($J720="",FALSE,ISNUMBER(SEARCH("scout",$K720)))</f>
        <v/>
      </c>
      <c r="AA720" s="72">
        <f>IF($J720="",FALSE,IFERROR(INDEX(B!$N$2:$N$61,MATCH($J720,B!$E$2:$E$61,0))="Sim",FALSE))</f>
        <v/>
      </c>
      <c r="AB720" s="72">
        <f>IF($J720="",FALSE,LEFT($X720,2)="XX")</f>
        <v/>
      </c>
      <c r="AC720" s="72">
        <f>IF($J720="",FALSE,IFERROR(INDEX(B!$P$2:$P$61,MATCH($J720,B!$E$2:$E$61,0))="Sim",FALSE))</f>
        <v/>
      </c>
      <c r="AD720" s="20" t="n"/>
      <c r="AE720" s="52">
        <f>IF(H720="","",HOUR(H720))</f>
        <v/>
      </c>
      <c r="AF720" s="52" t="n"/>
    </row>
    <row r="721" ht="19.5" customHeight="1" s="58">
      <c r="A721" s="62">
        <f>IF(G721="","",IF(G721=G720,"",COUNTIF($G$3:$G$976,G721)))</f>
        <v/>
      </c>
      <c r="B721" s="20" t="n"/>
      <c r="C721" s="63">
        <f>IF(G721="","",DAY(G721))</f>
        <v/>
      </c>
      <c r="D721" s="63">
        <f>IF(G721="","",MONTH(G721))</f>
        <v/>
      </c>
      <c r="E721" s="63">
        <f>IF(G721="","",YEAR(G721))</f>
        <v/>
      </c>
      <c r="F721" s="33">
        <f>IF(G721="","",CHOOSE(MONTH(G721),"Janeiro","Fevereiro","Março","Abril","Maio","Junho","Julho","Agosto","Setembro","Outubro","Novembro","Dezembro"))</f>
        <v/>
      </c>
      <c r="G721" s="64" t="n">
        <v>46075</v>
      </c>
      <c r="H721" s="65" t="n">
        <v>0.2081944444444444</v>
      </c>
      <c r="I721" s="66" t="inlineStr">
        <is>
          <t>https://docs.google.com/spreadsheets/d/1ZiCGoPjLCjuYvujDTXK9Ixbth3tekiLtFBzBrGjPCr4/edit?gid=0#gid=0</t>
        </is>
      </c>
      <c r="J721" s="67" t="inlineStr">
        <is>
          <t>Transferência de LOB (Lost Items) - [TILI]</t>
        </is>
      </c>
      <c r="K721" s="67" t="inlineStr"/>
      <c r="L721" s="68" t="b">
        <v>0</v>
      </c>
      <c r="M721" s="20" t="n"/>
      <c r="N721" s="69">
        <f>IF($J721="","",IFERROR(INDEX(B!$F$2:$F$61,MATCH($J721,B!$E$2:$E$61,0))&amp;"",""))</f>
        <v/>
      </c>
      <c r="O721" s="69">
        <f>IF($J721="","",IFERROR(INDEX(B!$G$2:$G$61,MATCH($J721,B!$E$2:$E$61,0))&amp;"",""))</f>
        <v/>
      </c>
      <c r="P721" s="69">
        <f>IF($J721="","",IFERROR(INDEX(B!$H$2:$H$61,MATCH($J721,B!$E$2:$E$61,0))&amp;"",""))</f>
        <v/>
      </c>
      <c r="Q721" s="69">
        <f>IF($J721="","",IFERROR(INDEX(B!$I$2:$I$61,MATCH($J721,B!$E$2:$E$61,0))&amp;"",""))</f>
        <v/>
      </c>
      <c r="R721" s="69">
        <f>IF($J721="","",IFERROR(INDEX(B!$J$2:$J$61,MATCH($J721,B!$E$2:$E$61,0))&amp;"",""))</f>
        <v/>
      </c>
      <c r="S721" s="69">
        <f>IF($J721="","",IFERROR(INDEX(B!$K$2:$K$61,MATCH($J721,B!$E$2:$E$61,0))&amp;"",""))</f>
        <v/>
      </c>
      <c r="T721" s="69">
        <f>IF($J721="","",IFERROR(INDEX(B!$L$2:$L$61,MATCH($J721,B!$E$2:$E$61,0))&amp;"",""))</f>
        <v/>
      </c>
      <c r="U721" s="20" t="n"/>
      <c r="V721" s="70">
        <f>IF($J721="","",IFERROR(INDEX(B!$M$2:$M$61,MATCH($J721,B!$E$2:$E$61,0))&amp;"",""))</f>
        <v/>
      </c>
      <c r="W721" s="71">
        <f>IF(I721="","",IFERROR(MID(I721,FIND("/d/",I721)+3,FIND("/edit",I721)-FIND("/d/",I721)-3),I721))</f>
        <v/>
      </c>
      <c r="X721" s="71">
        <f>IF($J721="","",IFERROR(INDEX(B!$C$2:$C$61,MATCH($J721,B!$E$2:$E$61,0))&amp;"",""))</f>
        <v/>
      </c>
      <c r="Y721" s="20" t="n"/>
      <c r="Z721" s="72">
        <f>IF($J721="",FALSE,ISNUMBER(SEARCH("scout",$K721)))</f>
        <v/>
      </c>
      <c r="AA721" s="72">
        <f>IF($J721="",FALSE,IFERROR(INDEX(B!$N$2:$N$61,MATCH($J721,B!$E$2:$E$61,0))="Sim",FALSE))</f>
        <v/>
      </c>
      <c r="AB721" s="72">
        <f>IF($J721="",FALSE,LEFT($X721,2)="XX")</f>
        <v/>
      </c>
      <c r="AC721" s="72">
        <f>IF($J721="",FALSE,IFERROR(INDEX(B!$P$2:$P$61,MATCH($J721,B!$E$2:$E$61,0))="Sim",FALSE))</f>
        <v/>
      </c>
      <c r="AD721" s="20" t="n"/>
      <c r="AE721" s="52">
        <f>IF(H721="","",HOUR(H721))</f>
        <v/>
      </c>
      <c r="AF721" s="52" t="n"/>
    </row>
    <row r="722" ht="19.5" customHeight="1" s="58">
      <c r="A722" s="62">
        <f>IF(G722="","",IF(G722=G721,"",COUNTIF($G$3:$G$976,G722)))</f>
        <v/>
      </c>
      <c r="B722" s="20" t="n"/>
      <c r="C722" s="63">
        <f>IF(G722="","",DAY(G722))</f>
        <v/>
      </c>
      <c r="D722" s="63">
        <f>IF(G722="","",MONTH(G722))</f>
        <v/>
      </c>
      <c r="E722" s="63">
        <f>IF(G722="","",YEAR(G722))</f>
        <v/>
      </c>
      <c r="F722" s="33">
        <f>IF(G722="","",CHOOSE(MONTH(G722),"Janeiro","Fevereiro","Março","Abril","Maio","Junho","Julho","Agosto","Setembro","Outubro","Novembro","Dezembro"))</f>
        <v/>
      </c>
      <c r="G722" s="64" t="n">
        <v>46075</v>
      </c>
      <c r="H722" s="65" t="n">
        <v>0.2153240740740741</v>
      </c>
      <c r="I722" s="66" t="inlineStr">
        <is>
          <t>https://docs.google.com/spreadsheets/d/1ZiCGoPjLCjuYvujDTXK9Ixbth3tekiLtFBzBrGjPCr4/edit?gid=0#gid=0</t>
        </is>
      </c>
      <c r="J722" s="67" t="inlineStr">
        <is>
          <t>Transferência de LOB (Profissionalismo) - [TIPR]</t>
        </is>
      </c>
      <c r="K722" s="67" t="inlineStr"/>
      <c r="L722" s="68" t="b">
        <v>0</v>
      </c>
      <c r="M722" s="20" t="n"/>
      <c r="N722" s="69">
        <f>IF($J722="","",IFERROR(INDEX(B!$F$2:$F$61,MATCH($J722,B!$E$2:$E$61,0))&amp;"",""))</f>
        <v/>
      </c>
      <c r="O722" s="69">
        <f>IF($J722="","",IFERROR(INDEX(B!$G$2:$G$61,MATCH($J722,B!$E$2:$E$61,0))&amp;"",""))</f>
        <v/>
      </c>
      <c r="P722" s="69">
        <f>IF($J722="","",IFERROR(INDEX(B!$H$2:$H$61,MATCH($J722,B!$E$2:$E$61,0))&amp;"",""))</f>
        <v/>
      </c>
      <c r="Q722" s="69">
        <f>IF($J722="","",IFERROR(INDEX(B!$I$2:$I$61,MATCH($J722,B!$E$2:$E$61,0))&amp;"",""))</f>
        <v/>
      </c>
      <c r="R722" s="69">
        <f>IF($J722="","",IFERROR(INDEX(B!$J$2:$J$61,MATCH($J722,B!$E$2:$E$61,0))&amp;"",""))</f>
        <v/>
      </c>
      <c r="S722" s="69">
        <f>IF($J722="","",IFERROR(INDEX(B!$K$2:$K$61,MATCH($J722,B!$E$2:$E$61,0))&amp;"",""))</f>
        <v/>
      </c>
      <c r="T722" s="69">
        <f>IF($J722="","",IFERROR(INDEX(B!$L$2:$L$61,MATCH($J722,B!$E$2:$E$61,0))&amp;"",""))</f>
        <v/>
      </c>
      <c r="U722" s="20" t="n"/>
      <c r="V722" s="70">
        <f>IF($J722="","",IFERROR(INDEX(B!$M$2:$M$61,MATCH($J722,B!$E$2:$E$61,0))&amp;"",""))</f>
        <v/>
      </c>
      <c r="W722" s="71">
        <f>IF(I722="","",IFERROR(MID(I722,FIND("/d/",I722)+3,FIND("/edit",I722)-FIND("/d/",I722)-3),I722))</f>
        <v/>
      </c>
      <c r="X722" s="71">
        <f>IF($J722="","",IFERROR(INDEX(B!$C$2:$C$61,MATCH($J722,B!$E$2:$E$61,0))&amp;"",""))</f>
        <v/>
      </c>
      <c r="Y722" s="20" t="n"/>
      <c r="Z722" s="72">
        <f>IF($J722="",FALSE,ISNUMBER(SEARCH("scout",$K722)))</f>
        <v/>
      </c>
      <c r="AA722" s="72">
        <f>IF($J722="",FALSE,IFERROR(INDEX(B!$N$2:$N$61,MATCH($J722,B!$E$2:$E$61,0))="Sim",FALSE))</f>
        <v/>
      </c>
      <c r="AB722" s="72">
        <f>IF($J722="",FALSE,LEFT($X722,2)="XX")</f>
        <v/>
      </c>
      <c r="AC722" s="72">
        <f>IF($J722="",FALSE,IFERROR(INDEX(B!$P$2:$P$61,MATCH($J722,B!$E$2:$E$61,0))="Sim",FALSE))</f>
        <v/>
      </c>
      <c r="AD722" s="20" t="n"/>
      <c r="AE722" s="52">
        <f>IF(H722="","",HOUR(H722))</f>
        <v/>
      </c>
      <c r="AF722" s="52" t="n"/>
    </row>
    <row r="723" ht="19.5" customHeight="1" s="58">
      <c r="A723" s="62">
        <f>IF(G723="","",IF(G723=G722,"",COUNTIF($G$3:$G$976,G723)))</f>
        <v/>
      </c>
      <c r="B723" s="20" t="n"/>
      <c r="C723" s="63">
        <f>IF(G723="","",DAY(G723))</f>
        <v/>
      </c>
      <c r="D723" s="63">
        <f>IF(G723="","",MONTH(G723))</f>
        <v/>
      </c>
      <c r="E723" s="63">
        <f>IF(G723="","",YEAR(G723))</f>
        <v/>
      </c>
      <c r="F723" s="33">
        <f>IF(G723="","",CHOOSE(MONTH(G723),"Janeiro","Fevereiro","Março","Abril","Maio","Junho","Julho","Agosto","Setembro","Outubro","Novembro","Dezembro"))</f>
        <v/>
      </c>
      <c r="G723" s="64" t="n">
        <v>46075</v>
      </c>
      <c r="H723" s="65" t="n">
        <v>0.2172685185185185</v>
      </c>
      <c r="I723" s="66" t="inlineStr">
        <is>
          <t>https://docs.google.com/spreadsheets/d/1ZiCGoPjLCjuYvujDTXK9Ixbth3tekiLtFBzBrGjPCr4/edit?gid=0#gid=0</t>
        </is>
      </c>
      <c r="J723" s="67" t="inlineStr">
        <is>
          <t>Overpaid, Não excede o limite, Sem comprovante - [OPNN]</t>
        </is>
      </c>
      <c r="K723" s="67" t="inlineStr"/>
      <c r="L723" s="68" t="b">
        <v>0</v>
      </c>
      <c r="M723" s="20" t="n"/>
      <c r="N723" s="69">
        <f>IF($J723="","",IFERROR(INDEX(B!$F$2:$F$61,MATCH($J723,B!$E$2:$E$61,0))&amp;"",""))</f>
        <v/>
      </c>
      <c r="O723" s="69">
        <f>IF($J723="","",IFERROR(INDEX(B!$G$2:$G$61,MATCH($J723,B!$E$2:$E$61,0))&amp;"",""))</f>
        <v/>
      </c>
      <c r="P723" s="69">
        <f>IF($J723="","",IFERROR(INDEX(B!$H$2:$H$61,MATCH($J723,B!$E$2:$E$61,0))&amp;"",""))</f>
        <v/>
      </c>
      <c r="Q723" s="69">
        <f>IF($J723="","",IFERROR(INDEX(B!$I$2:$I$61,MATCH($J723,B!$E$2:$E$61,0))&amp;"",""))</f>
        <v/>
      </c>
      <c r="R723" s="69">
        <f>IF($J723="","",IFERROR(INDEX(B!$J$2:$J$61,MATCH($J723,B!$E$2:$E$61,0))&amp;"",""))</f>
        <v/>
      </c>
      <c r="S723" s="69">
        <f>IF($J723="","",IFERROR(INDEX(B!$K$2:$K$61,MATCH($J723,B!$E$2:$E$61,0))&amp;"",""))</f>
        <v/>
      </c>
      <c r="T723" s="69">
        <f>IF($J723="","",IFERROR(INDEX(B!$L$2:$L$61,MATCH($J723,B!$E$2:$E$61,0))&amp;"",""))</f>
        <v/>
      </c>
      <c r="U723" s="20" t="n"/>
      <c r="V723" s="70">
        <f>IF($J723="","",IFERROR(INDEX(B!$M$2:$M$61,MATCH($J723,B!$E$2:$E$61,0))&amp;"",""))</f>
        <v/>
      </c>
      <c r="W723" s="71">
        <f>IF(I723="","",IFERROR(MID(I723,FIND("/d/",I723)+3,FIND("/edit",I723)-FIND("/d/",I723)-3),I723))</f>
        <v/>
      </c>
      <c r="X723" s="71">
        <f>IF($J723="","",IFERROR(INDEX(B!$C$2:$C$61,MATCH($J723,B!$E$2:$E$61,0))&amp;"",""))</f>
        <v/>
      </c>
      <c r="Y723" s="20" t="n"/>
      <c r="Z723" s="72">
        <f>IF($J723="",FALSE,ISNUMBER(SEARCH("scout",$K723)))</f>
        <v/>
      </c>
      <c r="AA723" s="72">
        <f>IF($J723="",FALSE,IFERROR(INDEX(B!$N$2:$N$61,MATCH($J723,B!$E$2:$E$61,0))="Sim",FALSE))</f>
        <v/>
      </c>
      <c r="AB723" s="72">
        <f>IF($J723="",FALSE,LEFT($X723,2)="XX")</f>
        <v/>
      </c>
      <c r="AC723" s="72">
        <f>IF($J723="",FALSE,IFERROR(INDEX(B!$P$2:$P$61,MATCH($J723,B!$E$2:$E$61,0))="Sim",FALSE))</f>
        <v/>
      </c>
      <c r="AD723" s="20" t="n"/>
      <c r="AE723" s="52">
        <f>IF(H723="","",HOUR(H723))</f>
        <v/>
      </c>
      <c r="AF723" s="52" t="n"/>
    </row>
    <row r="724" ht="19.5" customHeight="1" s="58">
      <c r="A724" s="62">
        <f>IF(G724="","",IF(G724=G723,"",COUNTIF($G$3:$G$976,G724)))</f>
        <v/>
      </c>
      <c r="B724" s="20" t="n"/>
      <c r="C724" s="63">
        <f>IF(G724="","",DAY(G724))</f>
        <v/>
      </c>
      <c r="D724" s="63">
        <f>IF(G724="","",MONTH(G724))</f>
        <v/>
      </c>
      <c r="E724" s="63">
        <f>IF(G724="","",YEAR(G724))</f>
        <v/>
      </c>
      <c r="F724" s="33">
        <f>IF(G724="","",CHOOSE(MONTH(G724),"Janeiro","Fevereiro","Março","Abril","Maio","Junho","Julho","Agosto","Setembro","Outubro","Novembro","Dezembro"))</f>
        <v/>
      </c>
      <c r="G724" s="64" t="n">
        <v>46075</v>
      </c>
      <c r="H724" s="65" t="n">
        <v>0.2194212962962963</v>
      </c>
      <c r="I724" s="66" t="inlineStr">
        <is>
          <t>https://docs.google.com/spreadsheets/d/1ZiCGoPjLCjuYvujDTXK9Ixbth3tekiLtFBzBrGjPCr4/edit?gid=0#gid=0</t>
        </is>
      </c>
      <c r="J724" s="67" t="inlineStr">
        <is>
          <t>Taxa de Limpeza, Sem ajustes - [TXLO]</t>
        </is>
      </c>
      <c r="K724" s="67" t="inlineStr"/>
      <c r="L724" s="68" t="b">
        <v>0</v>
      </c>
      <c r="M724" s="20" t="n"/>
      <c r="N724" s="69">
        <f>IF($J724="","",IFERROR(INDEX(B!$F$2:$F$61,MATCH($J724,B!$E$2:$E$61,0))&amp;"",""))</f>
        <v/>
      </c>
      <c r="O724" s="69">
        <f>IF($J724="","",IFERROR(INDEX(B!$G$2:$G$61,MATCH($J724,B!$E$2:$E$61,0))&amp;"",""))</f>
        <v/>
      </c>
      <c r="P724" s="69">
        <f>IF($J724="","",IFERROR(INDEX(B!$H$2:$H$61,MATCH($J724,B!$E$2:$E$61,0))&amp;"",""))</f>
        <v/>
      </c>
      <c r="Q724" s="69">
        <f>IF($J724="","",IFERROR(INDEX(B!$I$2:$I$61,MATCH($J724,B!$E$2:$E$61,0))&amp;"",""))</f>
        <v/>
      </c>
      <c r="R724" s="69">
        <f>IF($J724="","",IFERROR(INDEX(B!$J$2:$J$61,MATCH($J724,B!$E$2:$E$61,0))&amp;"",""))</f>
        <v/>
      </c>
      <c r="S724" s="69">
        <f>IF($J724="","",IFERROR(INDEX(B!$K$2:$K$61,MATCH($J724,B!$E$2:$E$61,0))&amp;"",""))</f>
        <v/>
      </c>
      <c r="T724" s="69">
        <f>IF($J724="","",IFERROR(INDEX(B!$L$2:$L$61,MATCH($J724,B!$E$2:$E$61,0))&amp;"",""))</f>
        <v/>
      </c>
      <c r="U724" s="20" t="n"/>
      <c r="V724" s="70">
        <f>IF($J724="","",IFERROR(INDEX(B!$M$2:$M$61,MATCH($J724,B!$E$2:$E$61,0))&amp;"",""))</f>
        <v/>
      </c>
      <c r="W724" s="71">
        <f>IF(I724="","",IFERROR(MID(I724,FIND("/d/",I724)+3,FIND("/edit",I724)-FIND("/d/",I724)-3),I724))</f>
        <v/>
      </c>
      <c r="X724" s="71">
        <f>IF($J724="","",IFERROR(INDEX(B!$C$2:$C$61,MATCH($J724,B!$E$2:$E$61,0))&amp;"",""))</f>
        <v/>
      </c>
      <c r="Y724" s="20" t="n"/>
      <c r="Z724" s="72">
        <f>IF($J724="",FALSE,ISNUMBER(SEARCH("scout",$K724)))</f>
        <v/>
      </c>
      <c r="AA724" s="72">
        <f>IF($J724="",FALSE,IFERROR(INDEX(B!$N$2:$N$61,MATCH($J724,B!$E$2:$E$61,0))="Sim",FALSE))</f>
        <v/>
      </c>
      <c r="AB724" s="72">
        <f>IF($J724="",FALSE,LEFT($X724,2)="XX")</f>
        <v/>
      </c>
      <c r="AC724" s="72">
        <f>IF($J724="",FALSE,IFERROR(INDEX(B!$P$2:$P$61,MATCH($J724,B!$E$2:$E$61,0))="Sim",FALSE))</f>
        <v/>
      </c>
      <c r="AD724" s="20" t="n"/>
      <c r="AE724" s="52">
        <f>IF(H724="","",HOUR(H724))</f>
        <v/>
      </c>
      <c r="AF724" s="52" t="n"/>
    </row>
    <row r="725" ht="19.5" customHeight="1" s="58">
      <c r="A725" s="62">
        <f>IF(G725="","",IF(G725=G724,"",COUNTIF($G$3:$G$976,G725)))</f>
        <v/>
      </c>
      <c r="B725" s="20" t="n"/>
      <c r="C725" s="63">
        <f>IF(G725="","",DAY(G725))</f>
        <v/>
      </c>
      <c r="D725" s="63">
        <f>IF(G725="","",MONTH(G725))</f>
        <v/>
      </c>
      <c r="E725" s="63">
        <f>IF(G725="","",YEAR(G725))</f>
        <v/>
      </c>
      <c r="F725" s="33">
        <f>IF(G725="","",CHOOSE(MONTH(G725),"Janeiro","Fevereiro","Março","Abril","Maio","Junho","Julho","Agosto","Setembro","Outubro","Novembro","Dezembro"))</f>
        <v/>
      </c>
      <c r="G725" s="64" t="n">
        <v>46075</v>
      </c>
      <c r="H725" s="65" t="n">
        <v>0.2252662037037037</v>
      </c>
      <c r="I725" s="66" t="inlineStr">
        <is>
          <t>https://docs.google.com/spreadsheets/d/1ZiCGoPjLCjuYvujDTXK9Ixbth3tekiLtFBzBrGjPCr4/edit?gid=0#gid=0</t>
        </is>
      </c>
      <c r="J725" s="67" t="inlineStr">
        <is>
          <t>Comprovante de Pagamento - [CP]</t>
        </is>
      </c>
      <c r="K725" s="67" t="inlineStr"/>
      <c r="L725" s="68" t="b">
        <v>0</v>
      </c>
      <c r="M725" s="20" t="n"/>
      <c r="N725" s="69">
        <f>IF($J725="","",IFERROR(INDEX(B!$F$2:$F$61,MATCH($J725,B!$E$2:$E$61,0))&amp;"",""))</f>
        <v/>
      </c>
      <c r="O725" s="69">
        <f>IF($J725="","",IFERROR(INDEX(B!$G$2:$G$61,MATCH($J725,B!$E$2:$E$61,0))&amp;"",""))</f>
        <v/>
      </c>
      <c r="P725" s="69">
        <f>IF($J725="","",IFERROR(INDEX(B!$H$2:$H$61,MATCH($J725,B!$E$2:$E$61,0))&amp;"",""))</f>
        <v/>
      </c>
      <c r="Q725" s="69">
        <f>IF($J725="","",IFERROR(INDEX(B!$I$2:$I$61,MATCH($J725,B!$E$2:$E$61,0))&amp;"",""))</f>
        <v/>
      </c>
      <c r="R725" s="69">
        <f>IF($J725="","",IFERROR(INDEX(B!$J$2:$J$61,MATCH($J725,B!$E$2:$E$61,0))&amp;"",""))</f>
        <v/>
      </c>
      <c r="S725" s="69">
        <f>IF($J725="","",IFERROR(INDEX(B!$K$2:$K$61,MATCH($J725,B!$E$2:$E$61,0))&amp;"",""))</f>
        <v/>
      </c>
      <c r="T725" s="69">
        <f>IF($J725="","",IFERROR(INDEX(B!$L$2:$L$61,MATCH($J725,B!$E$2:$E$61,0))&amp;"",""))</f>
        <v/>
      </c>
      <c r="U725" s="20" t="n"/>
      <c r="V725" s="70">
        <f>IF($J725="","",IFERROR(INDEX(B!$M$2:$M$61,MATCH($J725,B!$E$2:$E$61,0))&amp;"",""))</f>
        <v/>
      </c>
      <c r="W725" s="71">
        <f>IF(I725="","",IFERROR(MID(I725,FIND("/d/",I725)+3,FIND("/edit",I725)-FIND("/d/",I725)-3),I725))</f>
        <v/>
      </c>
      <c r="X725" s="71">
        <f>IF($J725="","",IFERROR(INDEX(B!$C$2:$C$61,MATCH($J725,B!$E$2:$E$61,0))&amp;"",""))</f>
        <v/>
      </c>
      <c r="Y725" s="20" t="n"/>
      <c r="Z725" s="72">
        <f>IF($J725="",FALSE,ISNUMBER(SEARCH("scout",$K725)))</f>
        <v/>
      </c>
      <c r="AA725" s="72">
        <f>IF($J725="",FALSE,IFERROR(INDEX(B!$N$2:$N$61,MATCH($J725,B!$E$2:$E$61,0))="Sim",FALSE))</f>
        <v/>
      </c>
      <c r="AB725" s="72">
        <f>IF($J725="",FALSE,LEFT($X725,2)="XX")</f>
        <v/>
      </c>
      <c r="AC725" s="72">
        <f>IF($J725="",FALSE,IFERROR(INDEX(B!$P$2:$P$61,MATCH($J725,B!$E$2:$E$61,0))="Sim",FALSE))</f>
        <v/>
      </c>
      <c r="AD725" s="20" t="n"/>
      <c r="AE725" s="52">
        <f>IF(H725="","",HOUR(H725))</f>
        <v/>
      </c>
      <c r="AF725" s="52" t="n"/>
    </row>
    <row r="726" ht="19.5" customHeight="1" s="58">
      <c r="A726" s="62">
        <f>IF(G726="","",IF(G726=G725,"",COUNTIF($G$3:$G$976,G726)))</f>
        <v/>
      </c>
      <c r="B726" s="20" t="n"/>
      <c r="C726" s="63">
        <f>IF(G726="","",DAY(G726))</f>
        <v/>
      </c>
      <c r="D726" s="63">
        <f>IF(G726="","",MONTH(G726))</f>
        <v/>
      </c>
      <c r="E726" s="63">
        <f>IF(G726="","",YEAR(G726))</f>
        <v/>
      </c>
      <c r="F726" s="33">
        <f>IF(G726="","",CHOOSE(MONTH(G726),"Janeiro","Fevereiro","Março","Abril","Maio","Junho","Julho","Agosto","Setembro","Outubro","Novembro","Dezembro"))</f>
        <v/>
      </c>
      <c r="G726" s="64" t="n">
        <v>46075</v>
      </c>
      <c r="H726" s="65" t="n">
        <v>0.22625</v>
      </c>
      <c r="I726" s="66" t="inlineStr">
        <is>
          <t>https://docs.google.com/spreadsheets/d/1ZiCGoPjLCjuYvujDTXK9Ixbth3tekiLtFBzBrGjPCr4/edit?gid=0#gid=0</t>
        </is>
      </c>
      <c r="J726" s="67" t="inlineStr">
        <is>
          <t>Mais informações Gerais - [AA]</t>
        </is>
      </c>
      <c r="K726" s="67" t="inlineStr"/>
      <c r="L726" s="68" t="b">
        <v>0</v>
      </c>
      <c r="M726" s="20" t="n"/>
      <c r="N726" s="69">
        <f>IF($J726="","",IFERROR(INDEX(B!$F$2:$F$61,MATCH($J726,B!$E$2:$E$61,0))&amp;"",""))</f>
        <v/>
      </c>
      <c r="O726" s="69">
        <f>IF($J726="","",IFERROR(INDEX(B!$G$2:$G$61,MATCH($J726,B!$E$2:$E$61,0))&amp;"",""))</f>
        <v/>
      </c>
      <c r="P726" s="69">
        <f>IF($J726="","",IFERROR(INDEX(B!$H$2:$H$61,MATCH($J726,B!$E$2:$E$61,0))&amp;"",""))</f>
        <v/>
      </c>
      <c r="Q726" s="69">
        <f>IF($J726="","",IFERROR(INDEX(B!$I$2:$I$61,MATCH($J726,B!$E$2:$E$61,0))&amp;"",""))</f>
        <v/>
      </c>
      <c r="R726" s="69">
        <f>IF($J726="","",IFERROR(INDEX(B!$J$2:$J$61,MATCH($J726,B!$E$2:$E$61,0))&amp;"",""))</f>
        <v/>
      </c>
      <c r="S726" s="69">
        <f>IF($J726="","",IFERROR(INDEX(B!$K$2:$K$61,MATCH($J726,B!$E$2:$E$61,0))&amp;"",""))</f>
        <v/>
      </c>
      <c r="T726" s="69">
        <f>IF($J726="","",IFERROR(INDEX(B!$L$2:$L$61,MATCH($J726,B!$E$2:$E$61,0))&amp;"",""))</f>
        <v/>
      </c>
      <c r="U726" s="20" t="n"/>
      <c r="V726" s="70">
        <f>IF($J726="","",IFERROR(INDEX(B!$M$2:$M$61,MATCH($J726,B!$E$2:$E$61,0))&amp;"",""))</f>
        <v/>
      </c>
      <c r="W726" s="71">
        <f>IF(I726="","",IFERROR(MID(I726,FIND("/d/",I726)+3,FIND("/edit",I726)-FIND("/d/",I726)-3),I726))</f>
        <v/>
      </c>
      <c r="X726" s="71">
        <f>IF($J726="","",IFERROR(INDEX(B!$C$2:$C$61,MATCH($J726,B!$E$2:$E$61,0))&amp;"",""))</f>
        <v/>
      </c>
      <c r="Y726" s="20" t="n"/>
      <c r="Z726" s="72">
        <f>IF($J726="",FALSE,ISNUMBER(SEARCH("scout",$K726)))</f>
        <v/>
      </c>
      <c r="AA726" s="72">
        <f>IF($J726="",FALSE,IFERROR(INDEX(B!$N$2:$N$61,MATCH($J726,B!$E$2:$E$61,0))="Sim",FALSE))</f>
        <v/>
      </c>
      <c r="AB726" s="72">
        <f>IF($J726="",FALSE,LEFT($X726,2)="XX")</f>
        <v/>
      </c>
      <c r="AC726" s="72">
        <f>IF($J726="",FALSE,IFERROR(INDEX(B!$P$2:$P$61,MATCH($J726,B!$E$2:$E$61,0))="Sim",FALSE))</f>
        <v/>
      </c>
      <c r="AD726" s="20" t="n"/>
      <c r="AE726" s="52">
        <f>IF(H726="","",HOUR(H726))</f>
        <v/>
      </c>
      <c r="AF726" s="52" t="n"/>
    </row>
    <row r="727" ht="19.5" customHeight="1" s="58">
      <c r="A727" s="62">
        <f>IF(G727="","",IF(G727=G726,"",COUNTIF($G$3:$G$976,G727)))</f>
        <v/>
      </c>
      <c r="B727" s="20" t="n"/>
      <c r="C727" s="63">
        <f>IF(G727="","",DAY(G727))</f>
        <v/>
      </c>
      <c r="D727" s="63">
        <f>IF(G727="","",MONTH(G727))</f>
        <v/>
      </c>
      <c r="E727" s="63">
        <f>IF(G727="","",YEAR(G727))</f>
        <v/>
      </c>
      <c r="F727" s="33">
        <f>IF(G727="","",CHOOSE(MONTH(G727),"Janeiro","Fevereiro","Março","Abril","Maio","Junho","Julho","Agosto","Setembro","Outubro","Novembro","Dezembro"))</f>
        <v/>
      </c>
      <c r="G727" s="64" t="n">
        <v>46075</v>
      </c>
      <c r="H727" s="65" t="n">
        <v>0.2344675925925926</v>
      </c>
      <c r="I727" s="66" t="inlineStr">
        <is>
          <t>https://docs.google.com/spreadsheets/d/1ZiCGoPjLCjuYvujDTXK9Ixbth3tekiLtFBzBrGjPCr4/edit?gid=0#gid=0</t>
        </is>
      </c>
      <c r="J727" s="67" t="inlineStr">
        <is>
          <t>Mais informações (Quanto Pagou?) - [AAV]</t>
        </is>
      </c>
      <c r="K727" s="67" t="inlineStr">
        <is>
          <t>Scout</t>
        </is>
      </c>
      <c r="L727" s="68" t="b">
        <v>0</v>
      </c>
      <c r="M727" s="20" t="n"/>
      <c r="N727" s="69">
        <f>IF($J727="","",IFERROR(INDEX(B!$F$2:$F$61,MATCH($J727,B!$E$2:$E$61,0))&amp;"",""))</f>
        <v/>
      </c>
      <c r="O727" s="69">
        <f>IF($J727="","",IFERROR(INDEX(B!$G$2:$G$61,MATCH($J727,B!$E$2:$E$61,0))&amp;"",""))</f>
        <v/>
      </c>
      <c r="P727" s="69">
        <f>IF($J727="","",IFERROR(INDEX(B!$H$2:$H$61,MATCH($J727,B!$E$2:$E$61,0))&amp;"",""))</f>
        <v/>
      </c>
      <c r="Q727" s="69">
        <f>IF($J727="","",IFERROR(INDEX(B!$I$2:$I$61,MATCH($J727,B!$E$2:$E$61,0))&amp;"",""))</f>
        <v/>
      </c>
      <c r="R727" s="69">
        <f>IF($J727="","",IFERROR(INDEX(B!$J$2:$J$61,MATCH($J727,B!$E$2:$E$61,0))&amp;"",""))</f>
        <v/>
      </c>
      <c r="S727" s="69">
        <f>IF($J727="","",IFERROR(INDEX(B!$K$2:$K$61,MATCH($J727,B!$E$2:$E$61,0))&amp;"",""))</f>
        <v/>
      </c>
      <c r="T727" s="69">
        <f>IF($J727="","",IFERROR(INDEX(B!$L$2:$L$61,MATCH($J727,B!$E$2:$E$61,0))&amp;"",""))</f>
        <v/>
      </c>
      <c r="U727" s="20" t="n"/>
      <c r="V727" s="70">
        <f>IF($J727="","",IFERROR(INDEX(B!$M$2:$M$61,MATCH($J727,B!$E$2:$E$61,0))&amp;"",""))</f>
        <v/>
      </c>
      <c r="W727" s="71">
        <f>IF(I727="","",IFERROR(MID(I727,FIND("/d/",I727)+3,FIND("/edit",I727)-FIND("/d/",I727)-3),I727))</f>
        <v/>
      </c>
      <c r="X727" s="71">
        <f>IF($J727="","",IFERROR(INDEX(B!$C$2:$C$61,MATCH($J727,B!$E$2:$E$61,0))&amp;"",""))</f>
        <v/>
      </c>
      <c r="Y727" s="20" t="n"/>
      <c r="Z727" s="72">
        <f>IF($J727="",FALSE,ISNUMBER(SEARCH("scout",$K727)))</f>
        <v/>
      </c>
      <c r="AA727" s="72">
        <f>IF($J727="",FALSE,IFERROR(INDEX(B!$N$2:$N$61,MATCH($J727,B!$E$2:$E$61,0))="Sim",FALSE))</f>
        <v/>
      </c>
      <c r="AB727" s="72">
        <f>IF($J727="",FALSE,LEFT($X727,2)="XX")</f>
        <v/>
      </c>
      <c r="AC727" s="72">
        <f>IF($J727="",FALSE,IFERROR(INDEX(B!$P$2:$P$61,MATCH($J727,B!$E$2:$E$61,0))="Sim",FALSE))</f>
        <v/>
      </c>
      <c r="AD727" s="20" t="n"/>
      <c r="AE727" s="52">
        <f>IF(H727="","",HOUR(H727))</f>
        <v/>
      </c>
      <c r="AF727" s="52" t="n"/>
    </row>
    <row r="728" ht="19.5" customHeight="1" s="58">
      <c r="A728" s="62">
        <f>IF(G728="","",IF(G728=G727,"",COUNTIF($G$3:$G$976,G728)))</f>
        <v/>
      </c>
      <c r="B728" s="20" t="n"/>
      <c r="C728" s="63">
        <f>IF(G728="","",DAY(G728))</f>
        <v/>
      </c>
      <c r="D728" s="63">
        <f>IF(G728="","",MONTH(G728))</f>
        <v/>
      </c>
      <c r="E728" s="63">
        <f>IF(G728="","",YEAR(G728))</f>
        <v/>
      </c>
      <c r="F728" s="33">
        <f>IF(G728="","",CHOOSE(MONTH(G728),"Janeiro","Fevereiro","Março","Abril","Maio","Junho","Julho","Agosto","Setembro","Outubro","Novembro","Dezembro"))</f>
        <v/>
      </c>
      <c r="G728" s="64" t="n">
        <v>46075</v>
      </c>
      <c r="H728" s="65" t="n">
        <v>0.2353472222222222</v>
      </c>
      <c r="I728" s="66" t="inlineStr">
        <is>
          <t>https://docs.google.com/spreadsheets/d/1ZiCGoPjLCjuYvujDTXK9Ixbth3tekiLtFBzBrGjPCr4/edit?gid=0#gid=0</t>
        </is>
      </c>
      <c r="J728" s="67" t="inlineStr">
        <is>
          <t>Overpaid, Não excede o limite, Sem comprovante - [OPNN]</t>
        </is>
      </c>
      <c r="K728" s="67" t="inlineStr"/>
      <c r="L728" s="68" t="b">
        <v>1</v>
      </c>
      <c r="M728" s="20" t="n"/>
      <c r="N728" s="69">
        <f>IF($J728="","",IFERROR(INDEX(B!$F$2:$F$61,MATCH($J728,B!$E$2:$E$61,0))&amp;"",""))</f>
        <v/>
      </c>
      <c r="O728" s="69">
        <f>IF($J728="","",IFERROR(INDEX(B!$G$2:$G$61,MATCH($J728,B!$E$2:$E$61,0))&amp;"",""))</f>
        <v/>
      </c>
      <c r="P728" s="69">
        <f>IF($J728="","",IFERROR(INDEX(B!$H$2:$H$61,MATCH($J728,B!$E$2:$E$61,0))&amp;"",""))</f>
        <v/>
      </c>
      <c r="Q728" s="69">
        <f>IF($J728="","",IFERROR(INDEX(B!$I$2:$I$61,MATCH($J728,B!$E$2:$E$61,0))&amp;"",""))</f>
        <v/>
      </c>
      <c r="R728" s="69">
        <f>IF($J728="","",IFERROR(INDEX(B!$J$2:$J$61,MATCH($J728,B!$E$2:$E$61,0))&amp;"",""))</f>
        <v/>
      </c>
      <c r="S728" s="69">
        <f>IF($J728="","",IFERROR(INDEX(B!$K$2:$K$61,MATCH($J728,B!$E$2:$E$61,0))&amp;"",""))</f>
        <v/>
      </c>
      <c r="T728" s="69">
        <f>IF($J728="","",IFERROR(INDEX(B!$L$2:$L$61,MATCH($J728,B!$E$2:$E$61,0))&amp;"",""))</f>
        <v/>
      </c>
      <c r="U728" s="20" t="n"/>
      <c r="V728" s="70">
        <f>IF($J728="","",IFERROR(INDEX(B!$M$2:$M$61,MATCH($J728,B!$E$2:$E$61,0))&amp;"",""))</f>
        <v/>
      </c>
      <c r="W728" s="71">
        <f>IF(I728="","",IFERROR(MID(I728,FIND("/d/",I728)+3,FIND("/edit",I728)-FIND("/d/",I728)-3),I728))</f>
        <v/>
      </c>
      <c r="X728" s="71">
        <f>IF($J728="","",IFERROR(INDEX(B!$C$2:$C$61,MATCH($J728,B!$E$2:$E$61,0))&amp;"",""))</f>
        <v/>
      </c>
      <c r="Y728" s="20" t="n"/>
      <c r="Z728" s="72">
        <f>IF($J728="",FALSE,ISNUMBER(SEARCH("scout",$K728)))</f>
        <v/>
      </c>
      <c r="AA728" s="72">
        <f>IF($J728="",FALSE,IFERROR(INDEX(B!$N$2:$N$61,MATCH($J728,B!$E$2:$E$61,0))="Sim",FALSE))</f>
        <v/>
      </c>
      <c r="AB728" s="72">
        <f>IF($J728="",FALSE,LEFT($X728,2)="XX")</f>
        <v/>
      </c>
      <c r="AC728" s="72">
        <f>IF($J728="",FALSE,IFERROR(INDEX(B!$P$2:$P$61,MATCH($J728,B!$E$2:$E$61,0))="Sim",FALSE))</f>
        <v/>
      </c>
      <c r="AD728" s="20" t="n"/>
      <c r="AE728" s="52">
        <f>IF(H728="","",HOUR(H728))</f>
        <v/>
      </c>
      <c r="AF728" s="52" t="n"/>
    </row>
    <row r="729" ht="19.5" customHeight="1" s="58">
      <c r="A729" s="62">
        <f>IF(G729="","",IF(G729=G728,"",COUNTIF($G$3:$G$976,G729)))</f>
        <v/>
      </c>
      <c r="B729" s="20" t="n"/>
      <c r="C729" s="63">
        <f>IF(G729="","",DAY(G729))</f>
        <v/>
      </c>
      <c r="D729" s="63">
        <f>IF(G729="","",MONTH(G729))</f>
        <v/>
      </c>
      <c r="E729" s="63">
        <f>IF(G729="","",YEAR(G729))</f>
        <v/>
      </c>
      <c r="F729" s="33">
        <f>IF(G729="","",CHOOSE(MONTH(G729),"Janeiro","Fevereiro","Março","Abril","Maio","Junho","Julho","Agosto","Setembro","Outubro","Novembro","Dezembro"))</f>
        <v/>
      </c>
      <c r="G729" s="64" t="n">
        <v>46075</v>
      </c>
      <c r="H729" s="65" t="n">
        <v>0.2374074074074074</v>
      </c>
      <c r="I729" s="66" t="inlineStr">
        <is>
          <t>https://docs.google.com/spreadsheets/d/1ZiCGoPjLCjuYvujDTXK9Ixbth3tekiLtFBzBrGjPCr4/edit?gid=0#gid=0</t>
        </is>
      </c>
      <c r="J729" s="67" t="inlineStr">
        <is>
          <t>Overpaid, Não excede o limite, Sem comprovante - [OPNN]</t>
        </is>
      </c>
      <c r="K729" s="67" t="inlineStr"/>
      <c r="L729" s="68" t="b">
        <v>0</v>
      </c>
      <c r="M729" s="20" t="n"/>
      <c r="N729" s="69">
        <f>IF($J729="","",IFERROR(INDEX(B!$F$2:$F$61,MATCH($J729,B!$E$2:$E$61,0))&amp;"",""))</f>
        <v/>
      </c>
      <c r="O729" s="69">
        <f>IF($J729="","",IFERROR(INDEX(B!$G$2:$G$61,MATCH($J729,B!$E$2:$E$61,0))&amp;"",""))</f>
        <v/>
      </c>
      <c r="P729" s="69">
        <f>IF($J729="","",IFERROR(INDEX(B!$H$2:$H$61,MATCH($J729,B!$E$2:$E$61,0))&amp;"",""))</f>
        <v/>
      </c>
      <c r="Q729" s="69">
        <f>IF($J729="","",IFERROR(INDEX(B!$I$2:$I$61,MATCH($J729,B!$E$2:$E$61,0))&amp;"",""))</f>
        <v/>
      </c>
      <c r="R729" s="69">
        <f>IF($J729="","",IFERROR(INDEX(B!$J$2:$J$61,MATCH($J729,B!$E$2:$E$61,0))&amp;"",""))</f>
        <v/>
      </c>
      <c r="S729" s="69">
        <f>IF($J729="","",IFERROR(INDEX(B!$K$2:$K$61,MATCH($J729,B!$E$2:$E$61,0))&amp;"",""))</f>
        <v/>
      </c>
      <c r="T729" s="69">
        <f>IF($J729="","",IFERROR(INDEX(B!$L$2:$L$61,MATCH($J729,B!$E$2:$E$61,0))&amp;"",""))</f>
        <v/>
      </c>
      <c r="U729" s="20" t="n"/>
      <c r="V729" s="70">
        <f>IF($J729="","",IFERROR(INDEX(B!$M$2:$M$61,MATCH($J729,B!$E$2:$E$61,0))&amp;"",""))</f>
        <v/>
      </c>
      <c r="W729" s="71">
        <f>IF(I729="","",IFERROR(MID(I729,FIND("/d/",I729)+3,FIND("/edit",I729)-FIND("/d/",I729)-3),I729))</f>
        <v/>
      </c>
      <c r="X729" s="71">
        <f>IF($J729="","",IFERROR(INDEX(B!$C$2:$C$61,MATCH($J729,B!$E$2:$E$61,0))&amp;"",""))</f>
        <v/>
      </c>
      <c r="Y729" s="20" t="n"/>
      <c r="Z729" s="72">
        <f>IF($J729="",FALSE,ISNUMBER(SEARCH("scout",$K729)))</f>
        <v/>
      </c>
      <c r="AA729" s="72">
        <f>IF($J729="",FALSE,IFERROR(INDEX(B!$N$2:$N$61,MATCH($J729,B!$E$2:$E$61,0))="Sim",FALSE))</f>
        <v/>
      </c>
      <c r="AB729" s="72">
        <f>IF($J729="",FALSE,LEFT($X729,2)="XX")</f>
        <v/>
      </c>
      <c r="AC729" s="72">
        <f>IF($J729="",FALSE,IFERROR(INDEX(B!$P$2:$P$61,MATCH($J729,B!$E$2:$E$61,0))="Sim",FALSE))</f>
        <v/>
      </c>
      <c r="AD729" s="20" t="n"/>
      <c r="AE729" s="52">
        <f>IF(H729="","",HOUR(H729))</f>
        <v/>
      </c>
      <c r="AF729" s="52" t="n"/>
    </row>
    <row r="730" ht="19.5" customHeight="1" s="58">
      <c r="A730" s="62">
        <f>IF(G730="","",IF(G730=G729,"",COUNTIF($G$3:$G$976,G730)))</f>
        <v/>
      </c>
      <c r="B730" s="20" t="n"/>
      <c r="C730" s="63">
        <f>IF(G730="","",DAY(G730))</f>
        <v/>
      </c>
      <c r="D730" s="63">
        <f>IF(G730="","",MONTH(G730))</f>
        <v/>
      </c>
      <c r="E730" s="63">
        <f>IF(G730="","",YEAR(G730))</f>
        <v/>
      </c>
      <c r="F730" s="33">
        <f>IF(G730="","",CHOOSE(MONTH(G730),"Janeiro","Fevereiro","Março","Abril","Maio","Junho","Julho","Agosto","Setembro","Outubro","Novembro","Dezembro"))</f>
        <v/>
      </c>
      <c r="G730" s="64" t="n">
        <v>46075</v>
      </c>
      <c r="H730" s="65" t="n">
        <v>0.2381365740740741</v>
      </c>
      <c r="I730" s="66" t="inlineStr">
        <is>
          <t>https://docs.google.com/spreadsheets/d/1ZiCGoPjLCjuYvujDTXK9Ixbth3tekiLtFBzBrGjPCr4/edit?gid=0#gid=0</t>
        </is>
      </c>
      <c r="J730" s="67" t="inlineStr">
        <is>
          <t>Comprovante de Pagamento - [CP]</t>
        </is>
      </c>
      <c r="K730" s="67" t="inlineStr"/>
      <c r="L730" s="68" t="b">
        <v>0</v>
      </c>
      <c r="M730" s="20" t="n"/>
      <c r="N730" s="69">
        <f>IF($J730="","",IFERROR(INDEX(B!$F$2:$F$61,MATCH($J730,B!$E$2:$E$61,0))&amp;"",""))</f>
        <v/>
      </c>
      <c r="O730" s="69">
        <f>IF($J730="","",IFERROR(INDEX(B!$G$2:$G$61,MATCH($J730,B!$E$2:$E$61,0))&amp;"",""))</f>
        <v/>
      </c>
      <c r="P730" s="69">
        <f>IF($J730="","",IFERROR(INDEX(B!$H$2:$H$61,MATCH($J730,B!$E$2:$E$61,0))&amp;"",""))</f>
        <v/>
      </c>
      <c r="Q730" s="69">
        <f>IF($J730="","",IFERROR(INDEX(B!$I$2:$I$61,MATCH($J730,B!$E$2:$E$61,0))&amp;"",""))</f>
        <v/>
      </c>
      <c r="R730" s="69">
        <f>IF($J730="","",IFERROR(INDEX(B!$J$2:$J$61,MATCH($J730,B!$E$2:$E$61,0))&amp;"",""))</f>
        <v/>
      </c>
      <c r="S730" s="69">
        <f>IF($J730="","",IFERROR(INDEX(B!$K$2:$K$61,MATCH($J730,B!$E$2:$E$61,0))&amp;"",""))</f>
        <v/>
      </c>
      <c r="T730" s="69">
        <f>IF($J730="","",IFERROR(INDEX(B!$L$2:$L$61,MATCH($J730,B!$E$2:$E$61,0))&amp;"",""))</f>
        <v/>
      </c>
      <c r="U730" s="20" t="n"/>
      <c r="V730" s="70">
        <f>IF($J730="","",IFERROR(INDEX(B!$M$2:$M$61,MATCH($J730,B!$E$2:$E$61,0))&amp;"",""))</f>
        <v/>
      </c>
      <c r="W730" s="71">
        <f>IF(I730="","",IFERROR(MID(I730,FIND("/d/",I730)+3,FIND("/edit",I730)-FIND("/d/",I730)-3),I730))</f>
        <v/>
      </c>
      <c r="X730" s="71">
        <f>IF($J730="","",IFERROR(INDEX(B!$C$2:$C$61,MATCH($J730,B!$E$2:$E$61,0))&amp;"",""))</f>
        <v/>
      </c>
      <c r="Y730" s="20" t="n"/>
      <c r="Z730" s="72">
        <f>IF($J730="",FALSE,ISNUMBER(SEARCH("scout",$K730)))</f>
        <v/>
      </c>
      <c r="AA730" s="72">
        <f>IF($J730="",FALSE,IFERROR(INDEX(B!$N$2:$N$61,MATCH($J730,B!$E$2:$E$61,0))="Sim",FALSE))</f>
        <v/>
      </c>
      <c r="AB730" s="72">
        <f>IF($J730="",FALSE,LEFT($X730,2)="XX")</f>
        <v/>
      </c>
      <c r="AC730" s="72">
        <f>IF($J730="",FALSE,IFERROR(INDEX(B!$P$2:$P$61,MATCH($J730,B!$E$2:$E$61,0))="Sim",FALSE))</f>
        <v/>
      </c>
      <c r="AD730" s="20" t="n"/>
      <c r="AE730" s="52">
        <f>IF(H730="","",HOUR(H730))</f>
        <v/>
      </c>
      <c r="AF730" s="52" t="n"/>
    </row>
    <row r="731" ht="19.5" customHeight="1" s="58">
      <c r="A731" s="62">
        <f>IF(G731="","",IF(G731=G730,"",COUNTIF($G$3:$G$976,G731)))</f>
        <v/>
      </c>
      <c r="B731" s="20" t="n"/>
      <c r="C731" s="63">
        <f>IF(G731="","",DAY(G731))</f>
        <v/>
      </c>
      <c r="D731" s="63">
        <f>IF(G731="","",MONTH(G731))</f>
        <v/>
      </c>
      <c r="E731" s="63">
        <f>IF(G731="","",YEAR(G731))</f>
        <v/>
      </c>
      <c r="F731" s="33">
        <f>IF(G731="","",CHOOSE(MONTH(G731),"Janeiro","Fevereiro","Março","Abril","Maio","Junho","Julho","Agosto","Setembro","Outubro","Novembro","Dezembro"))</f>
        <v/>
      </c>
      <c r="G731" s="64" t="n">
        <v>46075</v>
      </c>
      <c r="H731" s="65" t="n">
        <v>0.2407523148148148</v>
      </c>
      <c r="I731" s="66" t="inlineStr">
        <is>
          <t>https://docs.google.com/spreadsheets/d/1ZiCGoPjLCjuYvujDTXK9Ixbth3tekiLtFBzBrGjPCr4/edit?gid=0#gid=0</t>
        </is>
      </c>
      <c r="J731" s="67" t="inlineStr">
        <is>
          <t>Pushback - [XX]</t>
        </is>
      </c>
      <c r="K731" s="67" t="inlineStr"/>
      <c r="L731" s="68" t="b">
        <v>0</v>
      </c>
      <c r="M731" s="20" t="n"/>
      <c r="N731" s="69">
        <f>IF($J731="","",IFERROR(INDEX(B!$F$2:$F$61,MATCH($J731,B!$E$2:$E$61,0))&amp;"",""))</f>
        <v/>
      </c>
      <c r="O731" s="69">
        <f>IF($J731="","",IFERROR(INDEX(B!$G$2:$G$61,MATCH($J731,B!$E$2:$E$61,0))&amp;"",""))</f>
        <v/>
      </c>
      <c r="P731" s="69">
        <f>IF($J731="","",IFERROR(INDEX(B!$H$2:$H$61,MATCH($J731,B!$E$2:$E$61,0))&amp;"",""))</f>
        <v/>
      </c>
      <c r="Q731" s="69">
        <f>IF($J731="","",IFERROR(INDEX(B!$I$2:$I$61,MATCH($J731,B!$E$2:$E$61,0))&amp;"",""))</f>
        <v/>
      </c>
      <c r="R731" s="69">
        <f>IF($J731="","",IFERROR(INDEX(B!$J$2:$J$61,MATCH($J731,B!$E$2:$E$61,0))&amp;"",""))</f>
        <v/>
      </c>
      <c r="S731" s="69">
        <f>IF($J731="","",IFERROR(INDEX(B!$K$2:$K$61,MATCH($J731,B!$E$2:$E$61,0))&amp;"",""))</f>
        <v/>
      </c>
      <c r="T731" s="69">
        <f>IF($J731="","",IFERROR(INDEX(B!$L$2:$L$61,MATCH($J731,B!$E$2:$E$61,0))&amp;"",""))</f>
        <v/>
      </c>
      <c r="U731" s="20" t="n"/>
      <c r="V731" s="70">
        <f>IF($J731="","",IFERROR(INDEX(B!$M$2:$M$61,MATCH($J731,B!$E$2:$E$61,0))&amp;"",""))</f>
        <v/>
      </c>
      <c r="W731" s="71">
        <f>IF(I731="","",IFERROR(MID(I731,FIND("/d/",I731)+3,FIND("/edit",I731)-FIND("/d/",I731)-3),I731))</f>
        <v/>
      </c>
      <c r="X731" s="71">
        <f>IF($J731="","",IFERROR(INDEX(B!$C$2:$C$61,MATCH($J731,B!$E$2:$E$61,0))&amp;"",""))</f>
        <v/>
      </c>
      <c r="Y731" s="20" t="n"/>
      <c r="Z731" s="72">
        <f>IF($J731="",FALSE,ISNUMBER(SEARCH("scout",$K731)))</f>
        <v/>
      </c>
      <c r="AA731" s="72">
        <f>IF($J731="",FALSE,IFERROR(INDEX(B!$N$2:$N$61,MATCH($J731,B!$E$2:$E$61,0))="Sim",FALSE))</f>
        <v/>
      </c>
      <c r="AB731" s="72">
        <f>IF($J731="",FALSE,LEFT($X731,2)="XX")</f>
        <v/>
      </c>
      <c r="AC731" s="72">
        <f>IF($J731="",FALSE,IFERROR(INDEX(B!$P$2:$P$61,MATCH($J731,B!$E$2:$E$61,0))="Sim",FALSE))</f>
        <v/>
      </c>
      <c r="AD731" s="20" t="n"/>
      <c r="AE731" s="52">
        <f>IF(H731="","",HOUR(H731))</f>
        <v/>
      </c>
      <c r="AF731" s="52" t="n"/>
    </row>
    <row r="732" ht="19.5" customHeight="1" s="58">
      <c r="A732" s="62">
        <f>IF(G732="","",IF(G732=G731,"",COUNTIF($G$3:$G$976,G732)))</f>
        <v/>
      </c>
      <c r="B732" s="20" t="n"/>
      <c r="C732" s="63">
        <f>IF(G732="","",DAY(G732))</f>
        <v/>
      </c>
      <c r="D732" s="63">
        <f>IF(G732="","",MONTH(G732))</f>
        <v/>
      </c>
      <c r="E732" s="63">
        <f>IF(G732="","",YEAR(G732))</f>
        <v/>
      </c>
      <c r="F732" s="33">
        <f>IF(G732="","",CHOOSE(MONTH(G732),"Janeiro","Fevereiro","Março","Abril","Maio","Junho","Julho","Agosto","Setembro","Outubro","Novembro","Dezembro"))</f>
        <v/>
      </c>
      <c r="G732" s="64" t="n">
        <v>46075</v>
      </c>
      <c r="H732" s="65" t="n">
        <v>0.2424768518518519</v>
      </c>
      <c r="I732" s="66" t="inlineStr">
        <is>
          <t>https://docs.google.com/spreadsheets/d/1ZiCGoPjLCjuYvujDTXK9Ixbth3tekiLtFBzBrGjPCr4/edit?gid=0#gid=0</t>
        </is>
      </c>
      <c r="J732" s="67" t="inlineStr">
        <is>
          <t>Transferência de LOB (Accounts) - [TIAC]</t>
        </is>
      </c>
      <c r="K732" s="67" t="inlineStr"/>
      <c r="L732" s="68" t="b">
        <v>1</v>
      </c>
      <c r="M732" s="20" t="n"/>
      <c r="N732" s="69">
        <f>IF($J732="","",IFERROR(INDEX(B!$F$2:$F$61,MATCH($J732,B!$E$2:$E$61,0))&amp;"",""))</f>
        <v/>
      </c>
      <c r="O732" s="69">
        <f>IF($J732="","",IFERROR(INDEX(B!$G$2:$G$61,MATCH($J732,B!$E$2:$E$61,0))&amp;"",""))</f>
        <v/>
      </c>
      <c r="P732" s="69">
        <f>IF($J732="","",IFERROR(INDEX(B!$H$2:$H$61,MATCH($J732,B!$E$2:$E$61,0))&amp;"",""))</f>
        <v/>
      </c>
      <c r="Q732" s="69">
        <f>IF($J732="","",IFERROR(INDEX(B!$I$2:$I$61,MATCH($J732,B!$E$2:$E$61,0))&amp;"",""))</f>
        <v/>
      </c>
      <c r="R732" s="69">
        <f>IF($J732="","",IFERROR(INDEX(B!$J$2:$J$61,MATCH($J732,B!$E$2:$E$61,0))&amp;"",""))</f>
        <v/>
      </c>
      <c r="S732" s="69">
        <f>IF($J732="","",IFERROR(INDEX(B!$K$2:$K$61,MATCH($J732,B!$E$2:$E$61,0))&amp;"",""))</f>
        <v/>
      </c>
      <c r="T732" s="69">
        <f>IF($J732="","",IFERROR(INDEX(B!$L$2:$L$61,MATCH($J732,B!$E$2:$E$61,0))&amp;"",""))</f>
        <v/>
      </c>
      <c r="U732" s="20" t="n"/>
      <c r="V732" s="70">
        <f>IF($J732="","",IFERROR(INDEX(B!$M$2:$M$61,MATCH($J732,B!$E$2:$E$61,0))&amp;"",""))</f>
        <v/>
      </c>
      <c r="W732" s="71">
        <f>IF(I732="","",IFERROR(MID(I732,FIND("/d/",I732)+3,FIND("/edit",I732)-FIND("/d/",I732)-3),I732))</f>
        <v/>
      </c>
      <c r="X732" s="71">
        <f>IF($J732="","",IFERROR(INDEX(B!$C$2:$C$61,MATCH($J732,B!$E$2:$E$61,0))&amp;"",""))</f>
        <v/>
      </c>
      <c r="Y732" s="20" t="n"/>
      <c r="Z732" s="72">
        <f>IF($J732="",FALSE,ISNUMBER(SEARCH("scout",$K732)))</f>
        <v/>
      </c>
      <c r="AA732" s="72">
        <f>IF($J732="",FALSE,IFERROR(INDEX(B!$N$2:$N$61,MATCH($J732,B!$E$2:$E$61,0))="Sim",FALSE))</f>
        <v/>
      </c>
      <c r="AB732" s="72">
        <f>IF($J732="",FALSE,LEFT($X732,2)="XX")</f>
        <v/>
      </c>
      <c r="AC732" s="72">
        <f>IF($J732="",FALSE,IFERROR(INDEX(B!$P$2:$P$61,MATCH($J732,B!$E$2:$E$61,0))="Sim",FALSE))</f>
        <v/>
      </c>
      <c r="AD732" s="20" t="n"/>
      <c r="AE732" s="52">
        <f>IF(H732="","",HOUR(H732))</f>
        <v/>
      </c>
      <c r="AF732" s="52" t="n"/>
    </row>
    <row r="733" ht="19.5" customHeight="1" s="58">
      <c r="A733" s="62">
        <f>IF(G733="","",IF(G733=G732,"",COUNTIF($G$3:$G$976,G733)))</f>
        <v/>
      </c>
      <c r="B733" s="20" t="n"/>
      <c r="C733" s="63">
        <f>IF(G733="","",DAY(G733))</f>
        <v/>
      </c>
      <c r="D733" s="63">
        <f>IF(G733="","",MONTH(G733))</f>
        <v/>
      </c>
      <c r="E733" s="63">
        <f>IF(G733="","",YEAR(G733))</f>
        <v/>
      </c>
      <c r="F733" s="33">
        <f>IF(G733="","",CHOOSE(MONTH(G733),"Janeiro","Fevereiro","Março","Abril","Maio","Junho","Julho","Agosto","Setembro","Outubro","Novembro","Dezembro"))</f>
        <v/>
      </c>
      <c r="G733" s="64" t="n">
        <v>46075</v>
      </c>
      <c r="H733" s="65" t="n">
        <v>0.2440972222222222</v>
      </c>
      <c r="I733" s="66" t="inlineStr">
        <is>
          <t>https://docs.google.com/spreadsheets/d/1ZiCGoPjLCjuYvujDTXK9Ixbth3tekiLtFBzBrGjPCr4/edit?gid=0#gid=0</t>
        </is>
      </c>
      <c r="J733" s="67" t="inlineStr">
        <is>
          <t>Transferência de LOB (Profissionalismo) - [TIPR]</t>
        </is>
      </c>
      <c r="K733" s="67" t="inlineStr"/>
      <c r="L733" s="68" t="b">
        <v>0</v>
      </c>
      <c r="M733" s="20" t="n"/>
      <c r="N733" s="69">
        <f>IF($J733="","",IFERROR(INDEX(B!$F$2:$F$61,MATCH($J733,B!$E$2:$E$61,0))&amp;"",""))</f>
        <v/>
      </c>
      <c r="O733" s="69">
        <f>IF($J733="","",IFERROR(INDEX(B!$G$2:$G$61,MATCH($J733,B!$E$2:$E$61,0))&amp;"",""))</f>
        <v/>
      </c>
      <c r="P733" s="69">
        <f>IF($J733="","",IFERROR(INDEX(B!$H$2:$H$61,MATCH($J733,B!$E$2:$E$61,0))&amp;"",""))</f>
        <v/>
      </c>
      <c r="Q733" s="69">
        <f>IF($J733="","",IFERROR(INDEX(B!$I$2:$I$61,MATCH($J733,B!$E$2:$E$61,0))&amp;"",""))</f>
        <v/>
      </c>
      <c r="R733" s="69">
        <f>IF($J733="","",IFERROR(INDEX(B!$J$2:$J$61,MATCH($J733,B!$E$2:$E$61,0))&amp;"",""))</f>
        <v/>
      </c>
      <c r="S733" s="69">
        <f>IF($J733="","",IFERROR(INDEX(B!$K$2:$K$61,MATCH($J733,B!$E$2:$E$61,0))&amp;"",""))</f>
        <v/>
      </c>
      <c r="T733" s="69">
        <f>IF($J733="","",IFERROR(INDEX(B!$L$2:$L$61,MATCH($J733,B!$E$2:$E$61,0))&amp;"",""))</f>
        <v/>
      </c>
      <c r="U733" s="20" t="n"/>
      <c r="V733" s="70">
        <f>IF($J733="","",IFERROR(INDEX(B!$M$2:$M$61,MATCH($J733,B!$E$2:$E$61,0))&amp;"",""))</f>
        <v/>
      </c>
      <c r="W733" s="71">
        <f>IF(I733="","",IFERROR(MID(I733,FIND("/d/",I733)+3,FIND("/edit",I733)-FIND("/d/",I733)-3),I733))</f>
        <v/>
      </c>
      <c r="X733" s="71">
        <f>IF($J733="","",IFERROR(INDEX(B!$C$2:$C$61,MATCH($J733,B!$E$2:$E$61,0))&amp;"",""))</f>
        <v/>
      </c>
      <c r="Y733" s="20" t="n"/>
      <c r="Z733" s="72">
        <f>IF($J733="",FALSE,ISNUMBER(SEARCH("scout",$K733)))</f>
        <v/>
      </c>
      <c r="AA733" s="72">
        <f>IF($J733="",FALSE,IFERROR(INDEX(B!$N$2:$N$61,MATCH($J733,B!$E$2:$E$61,0))="Sim",FALSE))</f>
        <v/>
      </c>
      <c r="AB733" s="72">
        <f>IF($J733="",FALSE,LEFT($X733,2)="XX")</f>
        <v/>
      </c>
      <c r="AC733" s="72">
        <f>IF($J733="",FALSE,IFERROR(INDEX(B!$P$2:$P$61,MATCH($J733,B!$E$2:$E$61,0))="Sim",FALSE))</f>
        <v/>
      </c>
      <c r="AD733" s="20" t="n"/>
      <c r="AE733" s="52">
        <f>IF(H733="","",HOUR(H733))</f>
        <v/>
      </c>
      <c r="AF733" s="52" t="n"/>
    </row>
    <row r="734" ht="19.5" customHeight="1" s="58">
      <c r="A734" s="62">
        <f>IF(G734="","",IF(G734=G733,"",COUNTIF($G$3:$G$976,G734)))</f>
        <v/>
      </c>
      <c r="B734" s="20" t="n"/>
      <c r="C734" s="63">
        <f>IF(G734="","",DAY(G734))</f>
        <v/>
      </c>
      <c r="D734" s="63">
        <f>IF(G734="","",MONTH(G734))</f>
        <v/>
      </c>
      <c r="E734" s="63">
        <f>IF(G734="","",YEAR(G734))</f>
        <v/>
      </c>
      <c r="F734" s="33">
        <f>IF(G734="","",CHOOSE(MONTH(G734),"Janeiro","Fevereiro","Março","Abril","Maio","Junho","Julho","Agosto","Setembro","Outubro","Novembro","Dezembro"))</f>
        <v/>
      </c>
      <c r="G734" s="64" t="n">
        <v>46075</v>
      </c>
      <c r="H734" s="65" t="n">
        <v>0.2499768518518518</v>
      </c>
      <c r="I734" s="66" t="inlineStr">
        <is>
          <t>https://docs.google.com/spreadsheets/d/1ZiCGoPjLCjuYvujDTXK9Ixbth3tekiLtFBzBrGjPCr4/edit?gid=0#gid=0</t>
        </is>
      </c>
      <c r="J734" s="67" t="inlineStr">
        <is>
          <t>Overpaid, Não excede o limite, Com comprovante - [OPNC]</t>
        </is>
      </c>
      <c r="K734" s="67" t="inlineStr"/>
      <c r="L734" s="68" t="b">
        <v>0</v>
      </c>
      <c r="M734" s="20" t="n"/>
      <c r="N734" s="69">
        <f>IF($J734="","",IFERROR(INDEX(B!$F$2:$F$61,MATCH($J734,B!$E$2:$E$61,0))&amp;"",""))</f>
        <v/>
      </c>
      <c r="O734" s="69">
        <f>IF($J734="","",IFERROR(INDEX(B!$G$2:$G$61,MATCH($J734,B!$E$2:$E$61,0))&amp;"",""))</f>
        <v/>
      </c>
      <c r="P734" s="69">
        <f>IF($J734="","",IFERROR(INDEX(B!$H$2:$H$61,MATCH($J734,B!$E$2:$E$61,0))&amp;"",""))</f>
        <v/>
      </c>
      <c r="Q734" s="69">
        <f>IF($J734="","",IFERROR(INDEX(B!$I$2:$I$61,MATCH($J734,B!$E$2:$E$61,0))&amp;"",""))</f>
        <v/>
      </c>
      <c r="R734" s="69">
        <f>IF($J734="","",IFERROR(INDEX(B!$J$2:$J$61,MATCH($J734,B!$E$2:$E$61,0))&amp;"",""))</f>
        <v/>
      </c>
      <c r="S734" s="69">
        <f>IF($J734="","",IFERROR(INDEX(B!$K$2:$K$61,MATCH($J734,B!$E$2:$E$61,0))&amp;"",""))</f>
        <v/>
      </c>
      <c r="T734" s="69">
        <f>IF($J734="","",IFERROR(INDEX(B!$L$2:$L$61,MATCH($J734,B!$E$2:$E$61,0))&amp;"",""))</f>
        <v/>
      </c>
      <c r="U734" s="20" t="n"/>
      <c r="V734" s="70">
        <f>IF($J734="","",IFERROR(INDEX(B!$M$2:$M$61,MATCH($J734,B!$E$2:$E$61,0))&amp;"",""))</f>
        <v/>
      </c>
      <c r="W734" s="71">
        <f>IF(I734="","",IFERROR(MID(I734,FIND("/d/",I734)+3,FIND("/edit",I734)-FIND("/d/",I734)-3),I734))</f>
        <v/>
      </c>
      <c r="X734" s="71">
        <f>IF($J734="","",IFERROR(INDEX(B!$C$2:$C$61,MATCH($J734,B!$E$2:$E$61,0))&amp;"",""))</f>
        <v/>
      </c>
      <c r="Y734" s="20" t="n"/>
      <c r="Z734" s="72">
        <f>IF($J734="",FALSE,ISNUMBER(SEARCH("scout",$K734)))</f>
        <v/>
      </c>
      <c r="AA734" s="72">
        <f>IF($J734="",FALSE,IFERROR(INDEX(B!$N$2:$N$61,MATCH($J734,B!$E$2:$E$61,0))="Sim",FALSE))</f>
        <v/>
      </c>
      <c r="AB734" s="72">
        <f>IF($J734="",FALSE,LEFT($X734,2)="XX")</f>
        <v/>
      </c>
      <c r="AC734" s="72">
        <f>IF($J734="",FALSE,IFERROR(INDEX(B!$P$2:$P$61,MATCH($J734,B!$E$2:$E$61,0))="Sim",FALSE))</f>
        <v/>
      </c>
      <c r="AD734" s="20" t="n"/>
      <c r="AE734" s="52">
        <f>IF(H734="","",HOUR(H734))</f>
        <v/>
      </c>
      <c r="AF734" s="52" t="n"/>
    </row>
    <row r="735" ht="19.5" customHeight="1" s="58">
      <c r="A735" s="62">
        <f>IF(G735="","",IF(G735=G734,"",COUNTIF($G$3:$G$976,G735)))</f>
        <v/>
      </c>
      <c r="B735" s="20" t="n"/>
      <c r="C735" s="63">
        <f>IF(G735="","",DAY(G735))</f>
        <v/>
      </c>
      <c r="D735" s="63">
        <f>IF(G735="","",MONTH(G735))</f>
        <v/>
      </c>
      <c r="E735" s="63">
        <f>IF(G735="","",YEAR(G735))</f>
        <v/>
      </c>
      <c r="F735" s="33">
        <f>IF(G735="","",CHOOSE(MONTH(G735),"Janeiro","Fevereiro","Março","Abril","Maio","Junho","Julho","Agosto","Setembro","Outubro","Novembro","Dezembro"))</f>
        <v/>
      </c>
      <c r="G735" s="64" t="n">
        <v>46076</v>
      </c>
      <c r="H735" s="65" t="n">
        <v>0.0003356481481481481</v>
      </c>
      <c r="I735" s="66" t="inlineStr">
        <is>
          <t>https://docs.google.com/spreadsheets/d/1ZiCGoPjLCjuYvujDTXK9Ixbth3tekiLtFBzBrGjPCr4/edit?gid=0#gid=0</t>
        </is>
      </c>
      <c r="J735" s="67" t="inlineStr">
        <is>
          <t>Overpaid, Excede o limite Com comprovante - [OPEC]</t>
        </is>
      </c>
      <c r="K735" s="67" t="inlineStr"/>
      <c r="L735" s="68" t="b">
        <v>0</v>
      </c>
      <c r="M735" s="20" t="n"/>
      <c r="N735" s="69">
        <f>IF($J735="","",IFERROR(INDEX(B!$F$2:$F$61,MATCH($J735,B!$E$2:$E$61,0))&amp;"",""))</f>
        <v/>
      </c>
      <c r="O735" s="69">
        <f>IF($J735="","",IFERROR(INDEX(B!$G$2:$G$61,MATCH($J735,B!$E$2:$E$61,0))&amp;"",""))</f>
        <v/>
      </c>
      <c r="P735" s="69">
        <f>IF($J735="","",IFERROR(INDEX(B!$H$2:$H$61,MATCH($J735,B!$E$2:$E$61,0))&amp;"",""))</f>
        <v/>
      </c>
      <c r="Q735" s="69">
        <f>IF($J735="","",IFERROR(INDEX(B!$I$2:$I$61,MATCH($J735,B!$E$2:$E$61,0))&amp;"",""))</f>
        <v/>
      </c>
      <c r="R735" s="69">
        <f>IF($J735="","",IFERROR(INDEX(B!$J$2:$J$61,MATCH($J735,B!$E$2:$E$61,0))&amp;"",""))</f>
        <v/>
      </c>
      <c r="S735" s="69">
        <f>IF($J735="","",IFERROR(INDEX(B!$K$2:$K$61,MATCH($J735,B!$E$2:$E$61,0))&amp;"",""))</f>
        <v/>
      </c>
      <c r="T735" s="69">
        <f>IF($J735="","",IFERROR(INDEX(B!$L$2:$L$61,MATCH($J735,B!$E$2:$E$61,0))&amp;"",""))</f>
        <v/>
      </c>
      <c r="U735" s="20" t="n"/>
      <c r="V735" s="70">
        <f>IF($J735="","",IFERROR(INDEX(B!$M$2:$M$61,MATCH($J735,B!$E$2:$E$61,0))&amp;"",""))</f>
        <v/>
      </c>
      <c r="W735" s="71">
        <f>IF(I735="","",IFERROR(MID(I735,FIND("/d/",I735)+3,FIND("/edit",I735)-FIND("/d/",I735)-3),I735))</f>
        <v/>
      </c>
      <c r="X735" s="71">
        <f>IF($J735="","",IFERROR(INDEX(B!$C$2:$C$61,MATCH($J735,B!$E$2:$E$61,0))&amp;"",""))</f>
        <v/>
      </c>
      <c r="Y735" s="20" t="n"/>
      <c r="Z735" s="72">
        <f>IF($J735="",FALSE,ISNUMBER(SEARCH("scout",$K735)))</f>
        <v/>
      </c>
      <c r="AA735" s="72">
        <f>IF($J735="",FALSE,IFERROR(INDEX(B!$N$2:$N$61,MATCH($J735,B!$E$2:$E$61,0))="Sim",FALSE))</f>
        <v/>
      </c>
      <c r="AB735" s="72">
        <f>IF($J735="",FALSE,LEFT($X735,2)="XX")</f>
        <v/>
      </c>
      <c r="AC735" s="72">
        <f>IF($J735="",FALSE,IFERROR(INDEX(B!$P$2:$P$61,MATCH($J735,B!$E$2:$E$61,0))="Sim",FALSE))</f>
        <v/>
      </c>
      <c r="AD735" s="20" t="n"/>
      <c r="AE735" s="52">
        <f>IF(H735="","",HOUR(H735))</f>
        <v/>
      </c>
      <c r="AF735" s="52" t="n"/>
    </row>
    <row r="736" ht="19.5" customHeight="1" s="58">
      <c r="A736" s="62">
        <f>IF(G736="","",IF(G736=G735,"",COUNTIF($G$3:$G$976,G736)))</f>
        <v/>
      </c>
      <c r="B736" s="20" t="n"/>
      <c r="C736" s="63">
        <f>IF(G736="","",DAY(G736))</f>
        <v/>
      </c>
      <c r="D736" s="63">
        <f>IF(G736="","",MONTH(G736))</f>
        <v/>
      </c>
      <c r="E736" s="63">
        <f>IF(G736="","",YEAR(G736))</f>
        <v/>
      </c>
      <c r="F736" s="33">
        <f>IF(G736="","",CHOOSE(MONTH(G736),"Janeiro","Fevereiro","Março","Abril","Maio","Junho","Julho","Agosto","Setembro","Outubro","Novembro","Dezembro"))</f>
        <v/>
      </c>
      <c r="G736" s="64" t="n">
        <v>46076</v>
      </c>
      <c r="H736" s="65" t="n">
        <v>0.003356481481481482</v>
      </c>
      <c r="I736" s="66" t="inlineStr">
        <is>
          <t>https://docs.google.com/spreadsheets/d/1ZiCGoPjLCjuYvujDTXK9Ixbth3tekiLtFBzBrGjPCr4/edit?gid=0#gid=0</t>
        </is>
      </c>
      <c r="J736" s="67" t="inlineStr">
        <is>
          <t>Não houve Taxa de Cancelamento - [NTX]</t>
        </is>
      </c>
      <c r="K736" s="67" t="inlineStr"/>
      <c r="L736" s="68" t="b">
        <v>0</v>
      </c>
      <c r="M736" s="20" t="n"/>
      <c r="N736" s="69">
        <f>IF($J736="","",IFERROR(INDEX(B!$F$2:$F$61,MATCH($J736,B!$E$2:$E$61,0))&amp;"",""))</f>
        <v/>
      </c>
      <c r="O736" s="69">
        <f>IF($J736="","",IFERROR(INDEX(B!$G$2:$G$61,MATCH($J736,B!$E$2:$E$61,0))&amp;"",""))</f>
        <v/>
      </c>
      <c r="P736" s="69">
        <f>IF($J736="","",IFERROR(INDEX(B!$H$2:$H$61,MATCH($J736,B!$E$2:$E$61,0))&amp;"",""))</f>
        <v/>
      </c>
      <c r="Q736" s="69">
        <f>IF($J736="","",IFERROR(INDEX(B!$I$2:$I$61,MATCH($J736,B!$E$2:$E$61,0))&amp;"",""))</f>
        <v/>
      </c>
      <c r="R736" s="69">
        <f>IF($J736="","",IFERROR(INDEX(B!$J$2:$J$61,MATCH($J736,B!$E$2:$E$61,0))&amp;"",""))</f>
        <v/>
      </c>
      <c r="S736" s="69">
        <f>IF($J736="","",IFERROR(INDEX(B!$K$2:$K$61,MATCH($J736,B!$E$2:$E$61,0))&amp;"",""))</f>
        <v/>
      </c>
      <c r="T736" s="69">
        <f>IF($J736="","",IFERROR(INDEX(B!$L$2:$L$61,MATCH($J736,B!$E$2:$E$61,0))&amp;"",""))</f>
        <v/>
      </c>
      <c r="U736" s="20" t="n"/>
      <c r="V736" s="70">
        <f>IF($J736="","",IFERROR(INDEX(B!$M$2:$M$61,MATCH($J736,B!$E$2:$E$61,0))&amp;"",""))</f>
        <v/>
      </c>
      <c r="W736" s="71">
        <f>IF(I736="","",IFERROR(MID(I736,FIND("/d/",I736)+3,FIND("/edit",I736)-FIND("/d/",I736)-3),I736))</f>
        <v/>
      </c>
      <c r="X736" s="71">
        <f>IF($J736="","",IFERROR(INDEX(B!$C$2:$C$61,MATCH($J736,B!$E$2:$E$61,0))&amp;"",""))</f>
        <v/>
      </c>
      <c r="Y736" s="20" t="n"/>
      <c r="Z736" s="72">
        <f>IF($J736="",FALSE,ISNUMBER(SEARCH("scout",$K736)))</f>
        <v/>
      </c>
      <c r="AA736" s="72">
        <f>IF($J736="",FALSE,IFERROR(INDEX(B!$N$2:$N$61,MATCH($J736,B!$E$2:$E$61,0))="Sim",FALSE))</f>
        <v/>
      </c>
      <c r="AB736" s="72">
        <f>IF($J736="",FALSE,LEFT($X736,2)="XX")</f>
        <v/>
      </c>
      <c r="AC736" s="72">
        <f>IF($J736="",FALSE,IFERROR(INDEX(B!$P$2:$P$61,MATCH($J736,B!$E$2:$E$61,0))="Sim",FALSE))</f>
        <v/>
      </c>
      <c r="AD736" s="20" t="n"/>
      <c r="AE736" s="52">
        <f>IF(H736="","",HOUR(H736))</f>
        <v/>
      </c>
      <c r="AF736" s="52" t="n"/>
    </row>
    <row r="737" ht="19.5" customHeight="1" s="58">
      <c r="A737" s="62">
        <f>IF(G737="","",IF(G737=G736,"",COUNTIF($G$3:$G$976,G737)))</f>
        <v/>
      </c>
      <c r="B737" s="20" t="n"/>
      <c r="C737" s="63">
        <f>IF(G737="","",DAY(G737))</f>
        <v/>
      </c>
      <c r="D737" s="63">
        <f>IF(G737="","",MONTH(G737))</f>
        <v/>
      </c>
      <c r="E737" s="63">
        <f>IF(G737="","",YEAR(G737))</f>
        <v/>
      </c>
      <c r="F737" s="33">
        <f>IF(G737="","",CHOOSE(MONTH(G737),"Janeiro","Fevereiro","Março","Abril","Maio","Junho","Julho","Agosto","Setembro","Outubro","Novembro","Dezembro"))</f>
        <v/>
      </c>
      <c r="G737" s="64" t="n">
        <v>46076</v>
      </c>
      <c r="H737" s="65" t="n">
        <v>0.005208333333333333</v>
      </c>
      <c r="I737" s="66" t="inlineStr">
        <is>
          <t>https://docs.google.com/spreadsheets/d/1ZiCGoPjLCjuYvujDTXK9Ixbth3tekiLtFBzBrGjPCr4/edit?gid=0#gid=0</t>
        </is>
      </c>
      <c r="J737" s="67" t="inlineStr">
        <is>
          <t>Overpaid, Excede o limite, Sem comprovante - [OPEN]</t>
        </is>
      </c>
      <c r="K737" s="67" t="inlineStr"/>
      <c r="L737" s="68" t="b">
        <v>0</v>
      </c>
      <c r="M737" s="20" t="n"/>
      <c r="N737" s="69">
        <f>IF($J737="","",IFERROR(INDEX(B!$F$2:$F$61,MATCH($J737,B!$E$2:$E$61,0))&amp;"",""))</f>
        <v/>
      </c>
      <c r="O737" s="69">
        <f>IF($J737="","",IFERROR(INDEX(B!$G$2:$G$61,MATCH($J737,B!$E$2:$E$61,0))&amp;"",""))</f>
        <v/>
      </c>
      <c r="P737" s="69">
        <f>IF($J737="","",IFERROR(INDEX(B!$H$2:$H$61,MATCH($J737,B!$E$2:$E$61,0))&amp;"",""))</f>
        <v/>
      </c>
      <c r="Q737" s="69">
        <f>IF($J737="","",IFERROR(INDEX(B!$I$2:$I$61,MATCH($J737,B!$E$2:$E$61,0))&amp;"",""))</f>
        <v/>
      </c>
      <c r="R737" s="69">
        <f>IF($J737="","",IFERROR(INDEX(B!$J$2:$J$61,MATCH($J737,B!$E$2:$E$61,0))&amp;"",""))</f>
        <v/>
      </c>
      <c r="S737" s="69">
        <f>IF($J737="","",IFERROR(INDEX(B!$K$2:$K$61,MATCH($J737,B!$E$2:$E$61,0))&amp;"",""))</f>
        <v/>
      </c>
      <c r="T737" s="69">
        <f>IF($J737="","",IFERROR(INDEX(B!$L$2:$L$61,MATCH($J737,B!$E$2:$E$61,0))&amp;"",""))</f>
        <v/>
      </c>
      <c r="U737" s="20" t="n"/>
      <c r="V737" s="70">
        <f>IF($J737="","",IFERROR(INDEX(B!$M$2:$M$61,MATCH($J737,B!$E$2:$E$61,0))&amp;"",""))</f>
        <v/>
      </c>
      <c r="W737" s="71">
        <f>IF(I737="","",IFERROR(MID(I737,FIND("/d/",I737)+3,FIND("/edit",I737)-FIND("/d/",I737)-3),I737))</f>
        <v/>
      </c>
      <c r="X737" s="71">
        <f>IF($J737="","",IFERROR(INDEX(B!$C$2:$C$61,MATCH($J737,B!$E$2:$E$61,0))&amp;"",""))</f>
        <v/>
      </c>
      <c r="Y737" s="20" t="n"/>
      <c r="Z737" s="72">
        <f>IF($J737="",FALSE,ISNUMBER(SEARCH("scout",$K737)))</f>
        <v/>
      </c>
      <c r="AA737" s="72">
        <f>IF($J737="",FALSE,IFERROR(INDEX(B!$N$2:$N$61,MATCH($J737,B!$E$2:$E$61,0))="Sim",FALSE))</f>
        <v/>
      </c>
      <c r="AB737" s="72">
        <f>IF($J737="",FALSE,LEFT($X737,2)="XX")</f>
        <v/>
      </c>
      <c r="AC737" s="72">
        <f>IF($J737="",FALSE,IFERROR(INDEX(B!$P$2:$P$61,MATCH($J737,B!$E$2:$E$61,0))="Sim",FALSE))</f>
        <v/>
      </c>
      <c r="AD737" s="20" t="n"/>
      <c r="AE737" s="52">
        <f>IF(H737="","",HOUR(H737))</f>
        <v/>
      </c>
      <c r="AF737" s="52" t="n"/>
    </row>
    <row r="738" ht="19.5" customHeight="1" s="58">
      <c r="A738" s="62">
        <f>IF(G738="","",IF(G738=G737,"",COUNTIF($G$3:$G$976,G738)))</f>
        <v/>
      </c>
      <c r="B738" s="20" t="n"/>
      <c r="C738" s="63">
        <f>IF(G738="","",DAY(G738))</f>
        <v/>
      </c>
      <c r="D738" s="63">
        <f>IF(G738="","",MONTH(G738))</f>
        <v/>
      </c>
      <c r="E738" s="63">
        <f>IF(G738="","",YEAR(G738))</f>
        <v/>
      </c>
      <c r="F738" s="33">
        <f>IF(G738="","",CHOOSE(MONTH(G738),"Janeiro","Fevereiro","Março","Abril","Maio","Junho","Julho","Agosto","Setembro","Outubro","Novembro","Dezembro"))</f>
        <v/>
      </c>
      <c r="G738" s="64" t="n">
        <v>46076</v>
      </c>
      <c r="H738" s="65" t="n">
        <v>0.008368055555555556</v>
      </c>
      <c r="I738" s="66" t="inlineStr">
        <is>
          <t>https://docs.google.com/spreadsheets/d/1ZiCGoPjLCjuYvujDTXK9Ixbth3tekiLtFBzBrGjPCr4/edit?gid=0#gid=0</t>
        </is>
      </c>
      <c r="J738" s="67" t="inlineStr">
        <is>
          <t>Transferência de LOB (Geral não especificado) - [TI]</t>
        </is>
      </c>
      <c r="K738" s="67" t="inlineStr"/>
      <c r="L738" s="68" t="b">
        <v>0</v>
      </c>
      <c r="M738" s="20" t="n"/>
      <c r="N738" s="69">
        <f>IF($J738="","",IFERROR(INDEX(B!$F$2:$F$61,MATCH($J738,B!$E$2:$E$61,0))&amp;"",""))</f>
        <v/>
      </c>
      <c r="O738" s="69">
        <f>IF($J738="","",IFERROR(INDEX(B!$G$2:$G$61,MATCH($J738,B!$E$2:$E$61,0))&amp;"",""))</f>
        <v/>
      </c>
      <c r="P738" s="69">
        <f>IF($J738="","",IFERROR(INDEX(B!$H$2:$H$61,MATCH($J738,B!$E$2:$E$61,0))&amp;"",""))</f>
        <v/>
      </c>
      <c r="Q738" s="69">
        <f>IF($J738="","",IFERROR(INDEX(B!$I$2:$I$61,MATCH($J738,B!$E$2:$E$61,0))&amp;"",""))</f>
        <v/>
      </c>
      <c r="R738" s="69">
        <f>IF($J738="","",IFERROR(INDEX(B!$J$2:$J$61,MATCH($J738,B!$E$2:$E$61,0))&amp;"",""))</f>
        <v/>
      </c>
      <c r="S738" s="69">
        <f>IF($J738="","",IFERROR(INDEX(B!$K$2:$K$61,MATCH($J738,B!$E$2:$E$61,0))&amp;"",""))</f>
        <v/>
      </c>
      <c r="T738" s="69">
        <f>IF($J738="","",IFERROR(INDEX(B!$L$2:$L$61,MATCH($J738,B!$E$2:$E$61,0))&amp;"",""))</f>
        <v/>
      </c>
      <c r="U738" s="20" t="n"/>
      <c r="V738" s="70">
        <f>IF($J738="","",IFERROR(INDEX(B!$M$2:$M$61,MATCH($J738,B!$E$2:$E$61,0))&amp;"",""))</f>
        <v/>
      </c>
      <c r="W738" s="71">
        <f>IF(I738="","",IFERROR(MID(I738,FIND("/d/",I738)+3,FIND("/edit",I738)-FIND("/d/",I738)-3),I738))</f>
        <v/>
      </c>
      <c r="X738" s="71">
        <f>IF($J738="","",IFERROR(INDEX(B!$C$2:$C$61,MATCH($J738,B!$E$2:$E$61,0))&amp;"",""))</f>
        <v/>
      </c>
      <c r="Y738" s="20" t="n"/>
      <c r="Z738" s="72">
        <f>IF($J738="",FALSE,ISNUMBER(SEARCH("scout",$K738)))</f>
        <v/>
      </c>
      <c r="AA738" s="72">
        <f>IF($J738="",FALSE,IFERROR(INDEX(B!$N$2:$N$61,MATCH($J738,B!$E$2:$E$61,0))="Sim",FALSE))</f>
        <v/>
      </c>
      <c r="AB738" s="72">
        <f>IF($J738="",FALSE,LEFT($X738,2)="XX")</f>
        <v/>
      </c>
      <c r="AC738" s="72">
        <f>IF($J738="",FALSE,IFERROR(INDEX(B!$P$2:$P$61,MATCH($J738,B!$E$2:$E$61,0))="Sim",FALSE))</f>
        <v/>
      </c>
      <c r="AD738" s="20" t="n"/>
      <c r="AE738" s="52">
        <f>IF(H738="","",HOUR(H738))</f>
        <v/>
      </c>
      <c r="AF738" s="52" t="n"/>
    </row>
    <row r="739" ht="19.5" customHeight="1" s="58">
      <c r="A739" s="62">
        <f>IF(G739="","",IF(G739=G738,"",COUNTIF($G$3:$G$976,G739)))</f>
        <v/>
      </c>
      <c r="B739" s="20" t="n"/>
      <c r="C739" s="63">
        <f>IF(G739="","",DAY(G739))</f>
        <v/>
      </c>
      <c r="D739" s="63">
        <f>IF(G739="","",MONTH(G739))</f>
        <v/>
      </c>
      <c r="E739" s="63">
        <f>IF(G739="","",YEAR(G739))</f>
        <v/>
      </c>
      <c r="F739" s="33">
        <f>IF(G739="","",CHOOSE(MONTH(G739),"Janeiro","Fevereiro","Março","Abril","Maio","Junho","Julho","Agosto","Setembro","Outubro","Novembro","Dezembro"))</f>
        <v/>
      </c>
      <c r="G739" s="64" t="n">
        <v>46076</v>
      </c>
      <c r="H739" s="65" t="n">
        <v>0.01247685185185185</v>
      </c>
      <c r="I739" s="66" t="inlineStr">
        <is>
          <t>https://docs.google.com/spreadsheets/d/1ZiCGoPjLCjuYvujDTXK9Ixbth3tekiLtFBzBrGjPCr4/edit?gid=0#gid=0</t>
        </is>
      </c>
      <c r="J739" s="67" t="inlineStr">
        <is>
          <t>Transferência de LOB (Lost Items) - [TILI]</t>
        </is>
      </c>
      <c r="K739" s="67" t="inlineStr">
        <is>
          <t>Scout</t>
        </is>
      </c>
      <c r="L739" s="68" t="b">
        <v>0</v>
      </c>
      <c r="M739" s="20" t="n"/>
      <c r="N739" s="69">
        <f>IF($J739="","",IFERROR(INDEX(B!$F$2:$F$61,MATCH($J739,B!$E$2:$E$61,0))&amp;"",""))</f>
        <v/>
      </c>
      <c r="O739" s="69">
        <f>IF($J739="","",IFERROR(INDEX(B!$G$2:$G$61,MATCH($J739,B!$E$2:$E$61,0))&amp;"",""))</f>
        <v/>
      </c>
      <c r="P739" s="69">
        <f>IF($J739="","",IFERROR(INDEX(B!$H$2:$H$61,MATCH($J739,B!$E$2:$E$61,0))&amp;"",""))</f>
        <v/>
      </c>
      <c r="Q739" s="69">
        <f>IF($J739="","",IFERROR(INDEX(B!$I$2:$I$61,MATCH($J739,B!$E$2:$E$61,0))&amp;"",""))</f>
        <v/>
      </c>
      <c r="R739" s="69">
        <f>IF($J739="","",IFERROR(INDEX(B!$J$2:$J$61,MATCH($J739,B!$E$2:$E$61,0))&amp;"",""))</f>
        <v/>
      </c>
      <c r="S739" s="69">
        <f>IF($J739="","",IFERROR(INDEX(B!$K$2:$K$61,MATCH($J739,B!$E$2:$E$61,0))&amp;"",""))</f>
        <v/>
      </c>
      <c r="T739" s="69">
        <f>IF($J739="","",IFERROR(INDEX(B!$L$2:$L$61,MATCH($J739,B!$E$2:$E$61,0))&amp;"",""))</f>
        <v/>
      </c>
      <c r="U739" s="20" t="n"/>
      <c r="V739" s="70">
        <f>IF($J739="","",IFERROR(INDEX(B!$M$2:$M$61,MATCH($J739,B!$E$2:$E$61,0))&amp;"",""))</f>
        <v/>
      </c>
      <c r="W739" s="71">
        <f>IF(I739="","",IFERROR(MID(I739,FIND("/d/",I739)+3,FIND("/edit",I739)-FIND("/d/",I739)-3),I739))</f>
        <v/>
      </c>
      <c r="X739" s="71">
        <f>IF($J739="","",IFERROR(INDEX(B!$C$2:$C$61,MATCH($J739,B!$E$2:$E$61,0))&amp;"",""))</f>
        <v/>
      </c>
      <c r="Y739" s="20" t="n"/>
      <c r="Z739" s="72">
        <f>IF($J739="",FALSE,ISNUMBER(SEARCH("scout",$K739)))</f>
        <v/>
      </c>
      <c r="AA739" s="72">
        <f>IF($J739="",FALSE,IFERROR(INDEX(B!$N$2:$N$61,MATCH($J739,B!$E$2:$E$61,0))="Sim",FALSE))</f>
        <v/>
      </c>
      <c r="AB739" s="72">
        <f>IF($J739="",FALSE,LEFT($X739,2)="XX")</f>
        <v/>
      </c>
      <c r="AC739" s="72">
        <f>IF($J739="",FALSE,IFERROR(INDEX(B!$P$2:$P$61,MATCH($J739,B!$E$2:$E$61,0))="Sim",FALSE))</f>
        <v/>
      </c>
      <c r="AD739" s="20" t="n"/>
      <c r="AE739" s="52">
        <f>IF(H739="","",HOUR(H739))</f>
        <v/>
      </c>
      <c r="AF739" s="52" t="n"/>
    </row>
    <row r="740" ht="19.5" customHeight="1" s="58">
      <c r="A740" s="62">
        <f>IF(G740="","",IF(G740=G739,"",COUNTIF($G$3:$G$976,G740)))</f>
        <v/>
      </c>
      <c r="B740" s="20" t="n"/>
      <c r="C740" s="63">
        <f>IF(G740="","",DAY(G740))</f>
        <v/>
      </c>
      <c r="D740" s="63">
        <f>IF(G740="","",MONTH(G740))</f>
        <v/>
      </c>
      <c r="E740" s="63">
        <f>IF(G740="","",YEAR(G740))</f>
        <v/>
      </c>
      <c r="F740" s="33">
        <f>IF(G740="","",CHOOSE(MONTH(G740),"Janeiro","Fevereiro","Março","Abril","Maio","Junho","Julho","Agosto","Setembro","Outubro","Novembro","Dezembro"))</f>
        <v/>
      </c>
      <c r="G740" s="64" t="n">
        <v>46076</v>
      </c>
      <c r="H740" s="65" t="n">
        <v>0.01982638888888889</v>
      </c>
      <c r="I740" s="66" t="inlineStr">
        <is>
          <t>https://docs.google.com/spreadsheets/d/1ZiCGoPjLCjuYvujDTXK9Ixbth3tekiLtFBzBrGjPCr4/edit?gid=0#gid=0</t>
        </is>
      </c>
      <c r="J740" s="67" t="inlineStr">
        <is>
          <t>Transferência de LOB (Safety) - [TIST]</t>
        </is>
      </c>
      <c r="K740" s="67" t="inlineStr"/>
      <c r="L740" s="68" t="b">
        <v>0</v>
      </c>
      <c r="M740" s="20" t="n"/>
      <c r="N740" s="69">
        <f>IF($J740="","",IFERROR(INDEX(B!$F$2:$F$61,MATCH($J740,B!$E$2:$E$61,0))&amp;"",""))</f>
        <v/>
      </c>
      <c r="O740" s="69">
        <f>IF($J740="","",IFERROR(INDEX(B!$G$2:$G$61,MATCH($J740,B!$E$2:$E$61,0))&amp;"",""))</f>
        <v/>
      </c>
      <c r="P740" s="69">
        <f>IF($J740="","",IFERROR(INDEX(B!$H$2:$H$61,MATCH($J740,B!$E$2:$E$61,0))&amp;"",""))</f>
        <v/>
      </c>
      <c r="Q740" s="69">
        <f>IF($J740="","",IFERROR(INDEX(B!$I$2:$I$61,MATCH($J740,B!$E$2:$E$61,0))&amp;"",""))</f>
        <v/>
      </c>
      <c r="R740" s="69">
        <f>IF($J740="","",IFERROR(INDEX(B!$J$2:$J$61,MATCH($J740,B!$E$2:$E$61,0))&amp;"",""))</f>
        <v/>
      </c>
      <c r="S740" s="69">
        <f>IF($J740="","",IFERROR(INDEX(B!$K$2:$K$61,MATCH($J740,B!$E$2:$E$61,0))&amp;"",""))</f>
        <v/>
      </c>
      <c r="T740" s="69">
        <f>IF($J740="","",IFERROR(INDEX(B!$L$2:$L$61,MATCH($J740,B!$E$2:$E$61,0))&amp;"",""))</f>
        <v/>
      </c>
      <c r="U740" s="20" t="n"/>
      <c r="V740" s="70">
        <f>IF($J740="","",IFERROR(INDEX(B!$M$2:$M$61,MATCH($J740,B!$E$2:$E$61,0))&amp;"",""))</f>
        <v/>
      </c>
      <c r="W740" s="71">
        <f>IF(I740="","",IFERROR(MID(I740,FIND("/d/",I740)+3,FIND("/edit",I740)-FIND("/d/",I740)-3),I740))</f>
        <v/>
      </c>
      <c r="X740" s="71">
        <f>IF($J740="","",IFERROR(INDEX(B!$C$2:$C$61,MATCH($J740,B!$E$2:$E$61,0))&amp;"",""))</f>
        <v/>
      </c>
      <c r="Y740" s="20" t="n"/>
      <c r="Z740" s="72">
        <f>IF($J740="",FALSE,ISNUMBER(SEARCH("scout",$K740)))</f>
        <v/>
      </c>
      <c r="AA740" s="72">
        <f>IF($J740="",FALSE,IFERROR(INDEX(B!$N$2:$N$61,MATCH($J740,B!$E$2:$E$61,0))="Sim",FALSE))</f>
        <v/>
      </c>
      <c r="AB740" s="72">
        <f>IF($J740="",FALSE,LEFT($X740,2)="XX")</f>
        <v/>
      </c>
      <c r="AC740" s="72">
        <f>IF($J740="",FALSE,IFERROR(INDEX(B!$P$2:$P$61,MATCH($J740,B!$E$2:$E$61,0))="Sim",FALSE))</f>
        <v/>
      </c>
      <c r="AD740" s="20" t="n"/>
      <c r="AE740" s="52">
        <f>IF(H740="","",HOUR(H740))</f>
        <v/>
      </c>
      <c r="AF740" s="52" t="n"/>
    </row>
    <row r="741" ht="19.5" customHeight="1" s="58">
      <c r="A741" s="62">
        <f>IF(G741="","",IF(G741=G740,"",COUNTIF($G$3:$G$976,G741)))</f>
        <v/>
      </c>
      <c r="B741" s="20" t="n"/>
      <c r="C741" s="63">
        <f>IF(G741="","",DAY(G741))</f>
        <v/>
      </c>
      <c r="D741" s="63">
        <f>IF(G741="","",MONTH(G741))</f>
        <v/>
      </c>
      <c r="E741" s="63">
        <f>IF(G741="","",YEAR(G741))</f>
        <v/>
      </c>
      <c r="F741" s="33">
        <f>IF(G741="","",CHOOSE(MONTH(G741),"Janeiro","Fevereiro","Março","Abril","Maio","Junho","Julho","Agosto","Setembro","Outubro","Novembro","Dezembro"))</f>
        <v/>
      </c>
      <c r="G741" s="64" t="n">
        <v>46076</v>
      </c>
      <c r="H741" s="65" t="n">
        <v>0.02798611111111111</v>
      </c>
      <c r="I741" s="66" t="inlineStr">
        <is>
          <t>https://docs.google.com/spreadsheets/d/1ZiCGoPjLCjuYvujDTXK9Ixbth3tekiLtFBzBrGjPCr4/edit?gid=0#gid=0</t>
        </is>
      </c>
      <c r="J741" s="67" t="inlineStr">
        <is>
          <t>No Need Response (Não precisa de resposta) - [NRN]</t>
        </is>
      </c>
      <c r="K741" s="67" t="inlineStr"/>
      <c r="L741" s="68" t="b">
        <v>0</v>
      </c>
      <c r="M741" s="20" t="n"/>
      <c r="N741" s="69">
        <f>IF($J741="","",IFERROR(INDEX(B!$F$2:$F$61,MATCH($J741,B!$E$2:$E$61,0))&amp;"",""))</f>
        <v/>
      </c>
      <c r="O741" s="69">
        <f>IF($J741="","",IFERROR(INDEX(B!$G$2:$G$61,MATCH($J741,B!$E$2:$E$61,0))&amp;"",""))</f>
        <v/>
      </c>
      <c r="P741" s="69">
        <f>IF($J741="","",IFERROR(INDEX(B!$H$2:$H$61,MATCH($J741,B!$E$2:$E$61,0))&amp;"",""))</f>
        <v/>
      </c>
      <c r="Q741" s="69">
        <f>IF($J741="","",IFERROR(INDEX(B!$I$2:$I$61,MATCH($J741,B!$E$2:$E$61,0))&amp;"",""))</f>
        <v/>
      </c>
      <c r="R741" s="69">
        <f>IF($J741="","",IFERROR(INDEX(B!$J$2:$J$61,MATCH($J741,B!$E$2:$E$61,0))&amp;"",""))</f>
        <v/>
      </c>
      <c r="S741" s="69">
        <f>IF($J741="","",IFERROR(INDEX(B!$K$2:$K$61,MATCH($J741,B!$E$2:$E$61,0))&amp;"",""))</f>
        <v/>
      </c>
      <c r="T741" s="69">
        <f>IF($J741="","",IFERROR(INDEX(B!$L$2:$L$61,MATCH($J741,B!$E$2:$E$61,0))&amp;"",""))</f>
        <v/>
      </c>
      <c r="U741" s="20" t="n"/>
      <c r="V741" s="70">
        <f>IF($J741="","",IFERROR(INDEX(B!$M$2:$M$61,MATCH($J741,B!$E$2:$E$61,0))&amp;"",""))</f>
        <v/>
      </c>
      <c r="W741" s="71">
        <f>IF(I741="","",IFERROR(MID(I741,FIND("/d/",I741)+3,FIND("/edit",I741)-FIND("/d/",I741)-3),I741))</f>
        <v/>
      </c>
      <c r="X741" s="71">
        <f>IF($J741="","",IFERROR(INDEX(B!$C$2:$C$61,MATCH($J741,B!$E$2:$E$61,0))&amp;"",""))</f>
        <v/>
      </c>
      <c r="Y741" s="20" t="n"/>
      <c r="Z741" s="72">
        <f>IF($J741="",FALSE,ISNUMBER(SEARCH("scout",$K741)))</f>
        <v/>
      </c>
      <c r="AA741" s="72">
        <f>IF($J741="",FALSE,IFERROR(INDEX(B!$N$2:$N$61,MATCH($J741,B!$E$2:$E$61,0))="Sim",FALSE))</f>
        <v/>
      </c>
      <c r="AB741" s="72">
        <f>IF($J741="",FALSE,LEFT($X741,2)="XX")</f>
        <v/>
      </c>
      <c r="AC741" s="72">
        <f>IF($J741="",FALSE,IFERROR(INDEX(B!$P$2:$P$61,MATCH($J741,B!$E$2:$E$61,0))="Sim",FALSE))</f>
        <v/>
      </c>
      <c r="AD741" s="20" t="n"/>
      <c r="AE741" s="52">
        <f>IF(H741="","",HOUR(H741))</f>
        <v/>
      </c>
      <c r="AF741" s="52" t="n"/>
    </row>
    <row r="742" ht="19.5" customHeight="1" s="58">
      <c r="A742" s="62">
        <f>IF(G742="","",IF(G742=G741,"",COUNTIF($G$3:$G$976,G742)))</f>
        <v/>
      </c>
      <c r="B742" s="20" t="n"/>
      <c r="C742" s="63">
        <f>IF(G742="","",DAY(G742))</f>
        <v/>
      </c>
      <c r="D742" s="63">
        <f>IF(G742="","",MONTH(G742))</f>
        <v/>
      </c>
      <c r="E742" s="63">
        <f>IF(G742="","",YEAR(G742))</f>
        <v/>
      </c>
      <c r="F742" s="33">
        <f>IF(G742="","",CHOOSE(MONTH(G742),"Janeiro","Fevereiro","Março","Abril","Maio","Junho","Julho","Agosto","Setembro","Outubro","Novembro","Dezembro"))</f>
        <v/>
      </c>
      <c r="G742" s="64" t="n">
        <v>46076</v>
      </c>
      <c r="H742" s="65" t="n">
        <v>0.03133101851851852</v>
      </c>
      <c r="I742" s="66" t="inlineStr">
        <is>
          <t>https://docs.google.com/spreadsheets/d/1ZiCGoPjLCjuYvujDTXK9Ixbth3tekiLtFBzBrGjPCr4/edit?gid=0#gid=0</t>
        </is>
      </c>
      <c r="J742" s="67" t="inlineStr">
        <is>
          <t>Não houve Taxa de Cancelamento - [NTX]</t>
        </is>
      </c>
      <c r="K742" s="67" t="inlineStr"/>
      <c r="L742" s="68" t="b">
        <v>0</v>
      </c>
      <c r="M742" s="20" t="n"/>
      <c r="N742" s="69">
        <f>IF($J742="","",IFERROR(INDEX(B!$F$2:$F$61,MATCH($J742,B!$E$2:$E$61,0))&amp;"",""))</f>
        <v/>
      </c>
      <c r="O742" s="69">
        <f>IF($J742="","",IFERROR(INDEX(B!$G$2:$G$61,MATCH($J742,B!$E$2:$E$61,0))&amp;"",""))</f>
        <v/>
      </c>
      <c r="P742" s="69">
        <f>IF($J742="","",IFERROR(INDEX(B!$H$2:$H$61,MATCH($J742,B!$E$2:$E$61,0))&amp;"",""))</f>
        <v/>
      </c>
      <c r="Q742" s="69">
        <f>IF($J742="","",IFERROR(INDEX(B!$I$2:$I$61,MATCH($J742,B!$E$2:$E$61,0))&amp;"",""))</f>
        <v/>
      </c>
      <c r="R742" s="69">
        <f>IF($J742="","",IFERROR(INDEX(B!$J$2:$J$61,MATCH($J742,B!$E$2:$E$61,0))&amp;"",""))</f>
        <v/>
      </c>
      <c r="S742" s="69">
        <f>IF($J742="","",IFERROR(INDEX(B!$K$2:$K$61,MATCH($J742,B!$E$2:$E$61,0))&amp;"",""))</f>
        <v/>
      </c>
      <c r="T742" s="69">
        <f>IF($J742="","",IFERROR(INDEX(B!$L$2:$L$61,MATCH($J742,B!$E$2:$E$61,0))&amp;"",""))</f>
        <v/>
      </c>
      <c r="U742" s="20" t="n"/>
      <c r="V742" s="70">
        <f>IF($J742="","",IFERROR(INDEX(B!$M$2:$M$61,MATCH($J742,B!$E$2:$E$61,0))&amp;"",""))</f>
        <v/>
      </c>
      <c r="W742" s="71">
        <f>IF(I742="","",IFERROR(MID(I742,FIND("/d/",I742)+3,FIND("/edit",I742)-FIND("/d/",I742)-3),I742))</f>
        <v/>
      </c>
      <c r="X742" s="71">
        <f>IF($J742="","",IFERROR(INDEX(B!$C$2:$C$61,MATCH($J742,B!$E$2:$E$61,0))&amp;"",""))</f>
        <v/>
      </c>
      <c r="Y742" s="20" t="n"/>
      <c r="Z742" s="72">
        <f>IF($J742="",FALSE,ISNUMBER(SEARCH("scout",$K742)))</f>
        <v/>
      </c>
      <c r="AA742" s="72">
        <f>IF($J742="",FALSE,IFERROR(INDEX(B!$N$2:$N$61,MATCH($J742,B!$E$2:$E$61,0))="Sim",FALSE))</f>
        <v/>
      </c>
      <c r="AB742" s="72">
        <f>IF($J742="",FALSE,LEFT($X742,2)="XX")</f>
        <v/>
      </c>
      <c r="AC742" s="72">
        <f>IF($J742="",FALSE,IFERROR(INDEX(B!$P$2:$P$61,MATCH($J742,B!$E$2:$E$61,0))="Sim",FALSE))</f>
        <v/>
      </c>
      <c r="AD742" s="20" t="n"/>
      <c r="AE742" s="52">
        <f>IF(H742="","",HOUR(H742))</f>
        <v/>
      </c>
      <c r="AF742" s="52" t="n"/>
    </row>
    <row r="743" ht="19.5" customHeight="1" s="58">
      <c r="A743" s="62">
        <f>IF(G743="","",IF(G743=G742,"",COUNTIF($G$3:$G$976,G743)))</f>
        <v/>
      </c>
      <c r="B743" s="20" t="n"/>
      <c r="C743" s="63">
        <f>IF(G743="","",DAY(G743))</f>
        <v/>
      </c>
      <c r="D743" s="63">
        <f>IF(G743="","",MONTH(G743))</f>
        <v/>
      </c>
      <c r="E743" s="63">
        <f>IF(G743="","",YEAR(G743))</f>
        <v/>
      </c>
      <c r="F743" s="33">
        <f>IF(G743="","",CHOOSE(MONTH(G743),"Janeiro","Fevereiro","Março","Abril","Maio","Junho","Julho","Agosto","Setembro","Outubro","Novembro","Dezembro"))</f>
        <v/>
      </c>
      <c r="G743" s="64" t="n">
        <v>46076</v>
      </c>
      <c r="H743" s="65" t="n">
        <v>0.0388425925925926</v>
      </c>
      <c r="I743" s="66" t="inlineStr">
        <is>
          <t>https://docs.google.com/spreadsheets/d/1ZiCGoPjLCjuYvujDTXK9Ixbth3tekiLtFBzBrGjPCr4/edit?gid=0#gid=0</t>
        </is>
      </c>
      <c r="J743" s="67" t="inlineStr">
        <is>
          <t>Taxa de Limpeza, Sem ajustes - [TXLO]</t>
        </is>
      </c>
      <c r="K743" s="67" t="inlineStr"/>
      <c r="L743" s="68" t="b">
        <v>0</v>
      </c>
      <c r="M743" s="20" t="n"/>
      <c r="N743" s="69">
        <f>IF($J743="","",IFERROR(INDEX(B!$F$2:$F$61,MATCH($J743,B!$E$2:$E$61,0))&amp;"",""))</f>
        <v/>
      </c>
      <c r="O743" s="69">
        <f>IF($J743="","",IFERROR(INDEX(B!$G$2:$G$61,MATCH($J743,B!$E$2:$E$61,0))&amp;"",""))</f>
        <v/>
      </c>
      <c r="P743" s="69">
        <f>IF($J743="","",IFERROR(INDEX(B!$H$2:$H$61,MATCH($J743,B!$E$2:$E$61,0))&amp;"",""))</f>
        <v/>
      </c>
      <c r="Q743" s="69">
        <f>IF($J743="","",IFERROR(INDEX(B!$I$2:$I$61,MATCH($J743,B!$E$2:$E$61,0))&amp;"",""))</f>
        <v/>
      </c>
      <c r="R743" s="69">
        <f>IF($J743="","",IFERROR(INDEX(B!$J$2:$J$61,MATCH($J743,B!$E$2:$E$61,0))&amp;"",""))</f>
        <v/>
      </c>
      <c r="S743" s="69">
        <f>IF($J743="","",IFERROR(INDEX(B!$K$2:$K$61,MATCH($J743,B!$E$2:$E$61,0))&amp;"",""))</f>
        <v/>
      </c>
      <c r="T743" s="69">
        <f>IF($J743="","",IFERROR(INDEX(B!$L$2:$L$61,MATCH($J743,B!$E$2:$E$61,0))&amp;"",""))</f>
        <v/>
      </c>
      <c r="U743" s="20" t="n"/>
      <c r="V743" s="70">
        <f>IF($J743="","",IFERROR(INDEX(B!$M$2:$M$61,MATCH($J743,B!$E$2:$E$61,0))&amp;"",""))</f>
        <v/>
      </c>
      <c r="W743" s="71">
        <f>IF(I743="","",IFERROR(MID(I743,FIND("/d/",I743)+3,FIND("/edit",I743)-FIND("/d/",I743)-3),I743))</f>
        <v/>
      </c>
      <c r="X743" s="71">
        <f>IF($J743="","",IFERROR(INDEX(B!$C$2:$C$61,MATCH($J743,B!$E$2:$E$61,0))&amp;"",""))</f>
        <v/>
      </c>
      <c r="Y743" s="20" t="n"/>
      <c r="Z743" s="72">
        <f>IF($J743="",FALSE,ISNUMBER(SEARCH("scout",$K743)))</f>
        <v/>
      </c>
      <c r="AA743" s="72">
        <f>IF($J743="",FALSE,IFERROR(INDEX(B!$N$2:$N$61,MATCH($J743,B!$E$2:$E$61,0))="Sim",FALSE))</f>
        <v/>
      </c>
      <c r="AB743" s="72">
        <f>IF($J743="",FALSE,LEFT($X743,2)="XX")</f>
        <v/>
      </c>
      <c r="AC743" s="72">
        <f>IF($J743="",FALSE,IFERROR(INDEX(B!$P$2:$P$61,MATCH($J743,B!$E$2:$E$61,0))="Sim",FALSE))</f>
        <v/>
      </c>
      <c r="AD743" s="20" t="n"/>
      <c r="AE743" s="52">
        <f>IF(H743="","",HOUR(H743))</f>
        <v/>
      </c>
      <c r="AF743" s="52" t="n"/>
    </row>
    <row r="744" ht="19.5" customHeight="1" s="58">
      <c r="A744" s="62">
        <f>IF(G744="","",IF(G744=G743,"",COUNTIF($G$3:$G$976,G744)))</f>
        <v/>
      </c>
      <c r="B744" s="20" t="n"/>
      <c r="C744" s="63">
        <f>IF(G744="","",DAY(G744))</f>
        <v/>
      </c>
      <c r="D744" s="63">
        <f>IF(G744="","",MONTH(G744))</f>
        <v/>
      </c>
      <c r="E744" s="63">
        <f>IF(G744="","",YEAR(G744))</f>
        <v/>
      </c>
      <c r="F744" s="33">
        <f>IF(G744="","",CHOOSE(MONTH(G744),"Janeiro","Fevereiro","Março","Abril","Maio","Junho","Julho","Agosto","Setembro","Outubro","Novembro","Dezembro"))</f>
        <v/>
      </c>
      <c r="G744" s="64" t="n">
        <v>46076</v>
      </c>
      <c r="H744" s="65" t="n">
        <v>0.05289351851851852</v>
      </c>
      <c r="I744" s="66" t="inlineStr">
        <is>
          <t>https://docs.google.com/spreadsheets/d/1ZiCGoPjLCjuYvujDTXK9Ixbth3tekiLtFBzBrGjPCr4/edit?gid=0#gid=0</t>
        </is>
      </c>
      <c r="J744" s="67" t="inlineStr">
        <is>
          <t>Taxa de Limpeza, Sem ajustes - [TXLO]</t>
        </is>
      </c>
      <c r="K744" s="67" t="inlineStr"/>
      <c r="L744" s="68" t="b">
        <v>0</v>
      </c>
      <c r="M744" s="20" t="n"/>
      <c r="N744" s="69">
        <f>IF($J744="","",IFERROR(INDEX(B!$F$2:$F$61,MATCH($J744,B!$E$2:$E$61,0))&amp;"",""))</f>
        <v/>
      </c>
      <c r="O744" s="69">
        <f>IF($J744="","",IFERROR(INDEX(B!$G$2:$G$61,MATCH($J744,B!$E$2:$E$61,0))&amp;"",""))</f>
        <v/>
      </c>
      <c r="P744" s="69">
        <f>IF($J744="","",IFERROR(INDEX(B!$H$2:$H$61,MATCH($J744,B!$E$2:$E$61,0))&amp;"",""))</f>
        <v/>
      </c>
      <c r="Q744" s="69">
        <f>IF($J744="","",IFERROR(INDEX(B!$I$2:$I$61,MATCH($J744,B!$E$2:$E$61,0))&amp;"",""))</f>
        <v/>
      </c>
      <c r="R744" s="69">
        <f>IF($J744="","",IFERROR(INDEX(B!$J$2:$J$61,MATCH($J744,B!$E$2:$E$61,0))&amp;"",""))</f>
        <v/>
      </c>
      <c r="S744" s="69">
        <f>IF($J744="","",IFERROR(INDEX(B!$K$2:$K$61,MATCH($J744,B!$E$2:$E$61,0))&amp;"",""))</f>
        <v/>
      </c>
      <c r="T744" s="69">
        <f>IF($J744="","",IFERROR(INDEX(B!$L$2:$L$61,MATCH($J744,B!$E$2:$E$61,0))&amp;"",""))</f>
        <v/>
      </c>
      <c r="U744" s="20" t="n"/>
      <c r="V744" s="70">
        <f>IF($J744="","",IFERROR(INDEX(B!$M$2:$M$61,MATCH($J744,B!$E$2:$E$61,0))&amp;"",""))</f>
        <v/>
      </c>
      <c r="W744" s="71">
        <f>IF(I744="","",IFERROR(MID(I744,FIND("/d/",I744)+3,FIND("/edit",I744)-FIND("/d/",I744)-3),I744))</f>
        <v/>
      </c>
      <c r="X744" s="71">
        <f>IF($J744="","",IFERROR(INDEX(B!$C$2:$C$61,MATCH($J744,B!$E$2:$E$61,0))&amp;"",""))</f>
        <v/>
      </c>
      <c r="Y744" s="20" t="n"/>
      <c r="Z744" s="72">
        <f>IF($J744="",FALSE,ISNUMBER(SEARCH("scout",$K744)))</f>
        <v/>
      </c>
      <c r="AA744" s="72">
        <f>IF($J744="",FALSE,IFERROR(INDEX(B!$N$2:$N$61,MATCH($J744,B!$E$2:$E$61,0))="Sim",FALSE))</f>
        <v/>
      </c>
      <c r="AB744" s="72">
        <f>IF($J744="",FALSE,LEFT($X744,2)="XX")</f>
        <v/>
      </c>
      <c r="AC744" s="72">
        <f>IF($J744="",FALSE,IFERROR(INDEX(B!$P$2:$P$61,MATCH($J744,B!$E$2:$E$61,0))="Sim",FALSE))</f>
        <v/>
      </c>
      <c r="AD744" s="20" t="n"/>
      <c r="AE744" s="52">
        <f>IF(H744="","",HOUR(H744))</f>
        <v/>
      </c>
      <c r="AF744" s="52" t="n"/>
    </row>
    <row r="745" ht="19.5" customHeight="1" s="58">
      <c r="A745" s="62">
        <f>IF(G745="","",IF(G745=G744,"",COUNTIF($G$3:$G$976,G745)))</f>
        <v/>
      </c>
      <c r="B745" s="20" t="n"/>
      <c r="C745" s="63">
        <f>IF(G745="","",DAY(G745))</f>
        <v/>
      </c>
      <c r="D745" s="63">
        <f>IF(G745="","",MONTH(G745))</f>
        <v/>
      </c>
      <c r="E745" s="63">
        <f>IF(G745="","",YEAR(G745))</f>
        <v/>
      </c>
      <c r="F745" s="33">
        <f>IF(G745="","",CHOOSE(MONTH(G745),"Janeiro","Fevereiro","Março","Abril","Maio","Junho","Julho","Agosto","Setembro","Outubro","Novembro","Dezembro"))</f>
        <v/>
      </c>
      <c r="G745" s="64" t="n">
        <v>46076</v>
      </c>
      <c r="H745" s="65" t="n">
        <v>0.05597222222222222</v>
      </c>
      <c r="I745" s="66" t="inlineStr">
        <is>
          <t>https://docs.google.com/spreadsheets/d/1ZiCGoPjLCjuYvujDTXK9Ixbth3tekiLtFBzBrGjPCr4/edit?gid=0#gid=0</t>
        </is>
      </c>
      <c r="J745" s="67" t="inlineStr">
        <is>
          <t>Não houve Taxa de Cancelamento - [NTX]</t>
        </is>
      </c>
      <c r="K745" s="67" t="inlineStr"/>
      <c r="L745" s="68" t="b">
        <v>1</v>
      </c>
      <c r="M745" s="20" t="n"/>
      <c r="N745" s="69">
        <f>IF($J745="","",IFERROR(INDEX(B!$F$2:$F$61,MATCH($J745,B!$E$2:$E$61,0))&amp;"",""))</f>
        <v/>
      </c>
      <c r="O745" s="69">
        <f>IF($J745="","",IFERROR(INDEX(B!$G$2:$G$61,MATCH($J745,B!$E$2:$E$61,0))&amp;"",""))</f>
        <v/>
      </c>
      <c r="P745" s="69">
        <f>IF($J745="","",IFERROR(INDEX(B!$H$2:$H$61,MATCH($J745,B!$E$2:$E$61,0))&amp;"",""))</f>
        <v/>
      </c>
      <c r="Q745" s="69">
        <f>IF($J745="","",IFERROR(INDEX(B!$I$2:$I$61,MATCH($J745,B!$E$2:$E$61,0))&amp;"",""))</f>
        <v/>
      </c>
      <c r="R745" s="69">
        <f>IF($J745="","",IFERROR(INDEX(B!$J$2:$J$61,MATCH($J745,B!$E$2:$E$61,0))&amp;"",""))</f>
        <v/>
      </c>
      <c r="S745" s="69">
        <f>IF($J745="","",IFERROR(INDEX(B!$K$2:$K$61,MATCH($J745,B!$E$2:$E$61,0))&amp;"",""))</f>
        <v/>
      </c>
      <c r="T745" s="69">
        <f>IF($J745="","",IFERROR(INDEX(B!$L$2:$L$61,MATCH($J745,B!$E$2:$E$61,0))&amp;"",""))</f>
        <v/>
      </c>
      <c r="U745" s="20" t="n"/>
      <c r="V745" s="70">
        <f>IF($J745="","",IFERROR(INDEX(B!$M$2:$M$61,MATCH($J745,B!$E$2:$E$61,0))&amp;"",""))</f>
        <v/>
      </c>
      <c r="W745" s="71">
        <f>IF(I745="","",IFERROR(MID(I745,FIND("/d/",I745)+3,FIND("/edit",I745)-FIND("/d/",I745)-3),I745))</f>
        <v/>
      </c>
      <c r="X745" s="71">
        <f>IF($J745="","",IFERROR(INDEX(B!$C$2:$C$61,MATCH($J745,B!$E$2:$E$61,0))&amp;"",""))</f>
        <v/>
      </c>
      <c r="Y745" s="20" t="n"/>
      <c r="Z745" s="72">
        <f>IF($J745="",FALSE,ISNUMBER(SEARCH("scout",$K745)))</f>
        <v/>
      </c>
      <c r="AA745" s="72">
        <f>IF($J745="",FALSE,IFERROR(INDEX(B!$N$2:$N$61,MATCH($J745,B!$E$2:$E$61,0))="Sim",FALSE))</f>
        <v/>
      </c>
      <c r="AB745" s="72">
        <f>IF($J745="",FALSE,LEFT($X745,2)="XX")</f>
        <v/>
      </c>
      <c r="AC745" s="72">
        <f>IF($J745="",FALSE,IFERROR(INDEX(B!$P$2:$P$61,MATCH($J745,B!$E$2:$E$61,0))="Sim",FALSE))</f>
        <v/>
      </c>
      <c r="AD745" s="20" t="n"/>
      <c r="AE745" s="52">
        <f>IF(H745="","",HOUR(H745))</f>
        <v/>
      </c>
      <c r="AF745" s="52" t="n"/>
    </row>
    <row r="746" ht="19.5" customHeight="1" s="58">
      <c r="A746" s="62">
        <f>IF(G746="","",IF(G746=G745,"",COUNTIF($G$3:$G$976,G746)))</f>
        <v/>
      </c>
      <c r="B746" s="20" t="n"/>
      <c r="C746" s="63">
        <f>IF(G746="","",DAY(G746))</f>
        <v/>
      </c>
      <c r="D746" s="63">
        <f>IF(G746="","",MONTH(G746))</f>
        <v/>
      </c>
      <c r="E746" s="63">
        <f>IF(G746="","",YEAR(G746))</f>
        <v/>
      </c>
      <c r="F746" s="33">
        <f>IF(G746="","",CHOOSE(MONTH(G746),"Janeiro","Fevereiro","Março","Abril","Maio","Junho","Julho","Agosto","Setembro","Outubro","Novembro","Dezembro"))</f>
        <v/>
      </c>
      <c r="G746" s="64" t="n">
        <v>46076</v>
      </c>
      <c r="H746" s="65" t="n">
        <v>0.09395833333333334</v>
      </c>
      <c r="I746" s="66" t="inlineStr">
        <is>
          <t>https://docs.google.com/spreadsheets/d/1ZiCGoPjLCjuYvujDTXK9Ixbth3tekiLtFBzBrGjPCr4/edit?gid=0#gid=0</t>
        </is>
      </c>
      <c r="J746" s="67" t="inlineStr">
        <is>
          <t>Taxa de Limpeza, Reembolsado ao cliente - [TXLR]</t>
        </is>
      </c>
      <c r="K746" s="67" t="inlineStr"/>
      <c r="L746" s="68" t="b">
        <v>1</v>
      </c>
      <c r="M746" s="20" t="n"/>
      <c r="N746" s="69">
        <f>IF($J746="","",IFERROR(INDEX(B!$F$2:$F$61,MATCH($J746,B!$E$2:$E$61,0))&amp;"",""))</f>
        <v/>
      </c>
      <c r="O746" s="69">
        <f>IF($J746="","",IFERROR(INDEX(B!$G$2:$G$61,MATCH($J746,B!$E$2:$E$61,0))&amp;"",""))</f>
        <v/>
      </c>
      <c r="P746" s="69">
        <f>IF($J746="","",IFERROR(INDEX(B!$H$2:$H$61,MATCH($J746,B!$E$2:$E$61,0))&amp;"",""))</f>
        <v/>
      </c>
      <c r="Q746" s="69">
        <f>IF($J746="","",IFERROR(INDEX(B!$I$2:$I$61,MATCH($J746,B!$E$2:$E$61,0))&amp;"",""))</f>
        <v/>
      </c>
      <c r="R746" s="69">
        <f>IF($J746="","",IFERROR(INDEX(B!$J$2:$J$61,MATCH($J746,B!$E$2:$E$61,0))&amp;"",""))</f>
        <v/>
      </c>
      <c r="S746" s="69">
        <f>IF($J746="","",IFERROR(INDEX(B!$K$2:$K$61,MATCH($J746,B!$E$2:$E$61,0))&amp;"",""))</f>
        <v/>
      </c>
      <c r="T746" s="69">
        <f>IF($J746="","",IFERROR(INDEX(B!$L$2:$L$61,MATCH($J746,B!$E$2:$E$61,0))&amp;"",""))</f>
        <v/>
      </c>
      <c r="U746" s="20" t="n"/>
      <c r="V746" s="70">
        <f>IF($J746="","",IFERROR(INDEX(B!$M$2:$M$61,MATCH($J746,B!$E$2:$E$61,0))&amp;"",""))</f>
        <v/>
      </c>
      <c r="W746" s="71">
        <f>IF(I746="","",IFERROR(MID(I746,FIND("/d/",I746)+3,FIND("/edit",I746)-FIND("/d/",I746)-3),I746))</f>
        <v/>
      </c>
      <c r="X746" s="71">
        <f>IF($J746="","",IFERROR(INDEX(B!$C$2:$C$61,MATCH($J746,B!$E$2:$E$61,0))&amp;"",""))</f>
        <v/>
      </c>
      <c r="Y746" s="20" t="n"/>
      <c r="Z746" s="72">
        <f>IF($J746="",FALSE,ISNUMBER(SEARCH("scout",$K746)))</f>
        <v/>
      </c>
      <c r="AA746" s="72">
        <f>IF($J746="",FALSE,IFERROR(INDEX(B!$N$2:$N$61,MATCH($J746,B!$E$2:$E$61,0))="Sim",FALSE))</f>
        <v/>
      </c>
      <c r="AB746" s="72">
        <f>IF($J746="",FALSE,LEFT($X746,2)="XX")</f>
        <v/>
      </c>
      <c r="AC746" s="72">
        <f>IF($J746="",FALSE,IFERROR(INDEX(B!$P$2:$P$61,MATCH($J746,B!$E$2:$E$61,0))="Sim",FALSE))</f>
        <v/>
      </c>
      <c r="AD746" s="20" t="n"/>
      <c r="AE746" s="52">
        <f>IF(H746="","",HOUR(H746))</f>
        <v/>
      </c>
      <c r="AF746" s="52" t="n"/>
    </row>
    <row r="747" ht="19.5" customHeight="1" s="58">
      <c r="A747" s="62">
        <f>IF(G747="","",IF(G747=G746,"",COUNTIF($G$3:$G$976,G747)))</f>
        <v/>
      </c>
      <c r="B747" s="20" t="n"/>
      <c r="C747" s="63">
        <f>IF(G747="","",DAY(G747))</f>
        <v/>
      </c>
      <c r="D747" s="63">
        <f>IF(G747="","",MONTH(G747))</f>
        <v/>
      </c>
      <c r="E747" s="63">
        <f>IF(G747="","",YEAR(G747))</f>
        <v/>
      </c>
      <c r="F747" s="33">
        <f>IF(G747="","",CHOOSE(MONTH(G747),"Janeiro","Fevereiro","Março","Abril","Maio","Junho","Julho","Agosto","Setembro","Outubro","Novembro","Dezembro"))</f>
        <v/>
      </c>
      <c r="G747" s="64" t="n">
        <v>46076</v>
      </c>
      <c r="H747" s="65" t="n">
        <v>0.09422453703703704</v>
      </c>
      <c r="I747" s="66" t="inlineStr">
        <is>
          <t>https://docs.google.com/spreadsheets/d/1ZiCGoPjLCjuYvujDTXK9Ixbth3tekiLtFBzBrGjPCr4/edit?gid=0#gid=0</t>
        </is>
      </c>
      <c r="J747" s="67" t="inlineStr">
        <is>
          <t>Transferência de LOB (Driver) - [TIDV]</t>
        </is>
      </c>
      <c r="K747" s="67" t="inlineStr">
        <is>
          <t>Scout</t>
        </is>
      </c>
      <c r="L747" s="68" t="b">
        <v>0</v>
      </c>
      <c r="M747" s="20" t="n"/>
      <c r="N747" s="69">
        <f>IF($J747="","",IFERROR(INDEX(B!$F$2:$F$61,MATCH($J747,B!$E$2:$E$61,0))&amp;"",""))</f>
        <v/>
      </c>
      <c r="O747" s="69">
        <f>IF($J747="","",IFERROR(INDEX(B!$G$2:$G$61,MATCH($J747,B!$E$2:$E$61,0))&amp;"",""))</f>
        <v/>
      </c>
      <c r="P747" s="69">
        <f>IF($J747="","",IFERROR(INDEX(B!$H$2:$H$61,MATCH($J747,B!$E$2:$E$61,0))&amp;"",""))</f>
        <v/>
      </c>
      <c r="Q747" s="69">
        <f>IF($J747="","",IFERROR(INDEX(B!$I$2:$I$61,MATCH($J747,B!$E$2:$E$61,0))&amp;"",""))</f>
        <v/>
      </c>
      <c r="R747" s="69">
        <f>IF($J747="","",IFERROR(INDEX(B!$J$2:$J$61,MATCH($J747,B!$E$2:$E$61,0))&amp;"",""))</f>
        <v/>
      </c>
      <c r="S747" s="69">
        <f>IF($J747="","",IFERROR(INDEX(B!$K$2:$K$61,MATCH($J747,B!$E$2:$E$61,0))&amp;"",""))</f>
        <v/>
      </c>
      <c r="T747" s="69">
        <f>IF($J747="","",IFERROR(INDEX(B!$L$2:$L$61,MATCH($J747,B!$E$2:$E$61,0))&amp;"",""))</f>
        <v/>
      </c>
      <c r="U747" s="20" t="n"/>
      <c r="V747" s="70">
        <f>IF($J747="","",IFERROR(INDEX(B!$M$2:$M$61,MATCH($J747,B!$E$2:$E$61,0))&amp;"",""))</f>
        <v/>
      </c>
      <c r="W747" s="71">
        <f>IF(I747="","",IFERROR(MID(I747,FIND("/d/",I747)+3,FIND("/edit",I747)-FIND("/d/",I747)-3),I747))</f>
        <v/>
      </c>
      <c r="X747" s="71">
        <f>IF($J747="","",IFERROR(INDEX(B!$C$2:$C$61,MATCH($J747,B!$E$2:$E$61,0))&amp;"",""))</f>
        <v/>
      </c>
      <c r="Y747" s="20" t="n"/>
      <c r="Z747" s="72">
        <f>IF($J747="",FALSE,ISNUMBER(SEARCH("scout",$K747)))</f>
        <v/>
      </c>
      <c r="AA747" s="72">
        <f>IF($J747="",FALSE,IFERROR(INDEX(B!$N$2:$N$61,MATCH($J747,B!$E$2:$E$61,0))="Sim",FALSE))</f>
        <v/>
      </c>
      <c r="AB747" s="72">
        <f>IF($J747="",FALSE,LEFT($X747,2)="XX")</f>
        <v/>
      </c>
      <c r="AC747" s="72">
        <f>IF($J747="",FALSE,IFERROR(INDEX(B!$P$2:$P$61,MATCH($J747,B!$E$2:$E$61,0))="Sim",FALSE))</f>
        <v/>
      </c>
      <c r="AD747" s="20" t="n"/>
      <c r="AE747" s="52">
        <f>IF(H747="","",HOUR(H747))</f>
        <v/>
      </c>
      <c r="AF747" s="52" t="n"/>
    </row>
    <row r="748" ht="19.5" customHeight="1" s="58">
      <c r="A748" s="62">
        <f>IF(G748="","",IF(G748=G747,"",COUNTIF($G$3:$G$976,G748)))</f>
        <v/>
      </c>
      <c r="B748" s="20" t="n"/>
      <c r="C748" s="63">
        <f>IF(G748="","",DAY(G748))</f>
        <v/>
      </c>
      <c r="D748" s="63">
        <f>IF(G748="","",MONTH(G748))</f>
        <v/>
      </c>
      <c r="E748" s="63">
        <f>IF(G748="","",YEAR(G748))</f>
        <v/>
      </c>
      <c r="F748" s="33">
        <f>IF(G748="","",CHOOSE(MONTH(G748),"Janeiro","Fevereiro","Março","Abril","Maio","Junho","Julho","Agosto","Setembro","Outubro","Novembro","Dezembro"))</f>
        <v/>
      </c>
      <c r="G748" s="64" t="n">
        <v>46076</v>
      </c>
      <c r="H748" s="65" t="n">
        <v>0.0974074074074074</v>
      </c>
      <c r="I748" s="66" t="inlineStr">
        <is>
          <t>https://docs.google.com/spreadsheets/d/1ZiCGoPjLCjuYvujDTXK9Ixbth3tekiLtFBzBrGjPCr4/edit?gid=0#gid=0</t>
        </is>
      </c>
      <c r="J748" s="67" t="inlineStr">
        <is>
          <t>Não houve Taxa de Cancelamento - [NTX]</t>
        </is>
      </c>
      <c r="K748" s="67" t="inlineStr"/>
      <c r="L748" s="68" t="b">
        <v>0</v>
      </c>
      <c r="M748" s="20" t="n"/>
      <c r="N748" s="69">
        <f>IF($J748="","",IFERROR(INDEX(B!$F$2:$F$61,MATCH($J748,B!$E$2:$E$61,0))&amp;"",""))</f>
        <v/>
      </c>
      <c r="O748" s="69">
        <f>IF($J748="","",IFERROR(INDEX(B!$G$2:$G$61,MATCH($J748,B!$E$2:$E$61,0))&amp;"",""))</f>
        <v/>
      </c>
      <c r="P748" s="69">
        <f>IF($J748="","",IFERROR(INDEX(B!$H$2:$H$61,MATCH($J748,B!$E$2:$E$61,0))&amp;"",""))</f>
        <v/>
      </c>
      <c r="Q748" s="69">
        <f>IF($J748="","",IFERROR(INDEX(B!$I$2:$I$61,MATCH($J748,B!$E$2:$E$61,0))&amp;"",""))</f>
        <v/>
      </c>
      <c r="R748" s="69">
        <f>IF($J748="","",IFERROR(INDEX(B!$J$2:$J$61,MATCH($J748,B!$E$2:$E$61,0))&amp;"",""))</f>
        <v/>
      </c>
      <c r="S748" s="69">
        <f>IF($J748="","",IFERROR(INDEX(B!$K$2:$K$61,MATCH($J748,B!$E$2:$E$61,0))&amp;"",""))</f>
        <v/>
      </c>
      <c r="T748" s="69">
        <f>IF($J748="","",IFERROR(INDEX(B!$L$2:$L$61,MATCH($J748,B!$E$2:$E$61,0))&amp;"",""))</f>
        <v/>
      </c>
      <c r="U748" s="20" t="n"/>
      <c r="V748" s="70">
        <f>IF($J748="","",IFERROR(INDEX(B!$M$2:$M$61,MATCH($J748,B!$E$2:$E$61,0))&amp;"",""))</f>
        <v/>
      </c>
      <c r="W748" s="71">
        <f>IF(I748="","",IFERROR(MID(I748,FIND("/d/",I748)+3,FIND("/edit",I748)-FIND("/d/",I748)-3),I748))</f>
        <v/>
      </c>
      <c r="X748" s="71">
        <f>IF($J748="","",IFERROR(INDEX(B!$C$2:$C$61,MATCH($J748,B!$E$2:$E$61,0))&amp;"",""))</f>
        <v/>
      </c>
      <c r="Y748" s="20" t="n"/>
      <c r="Z748" s="72">
        <f>IF($J748="",FALSE,ISNUMBER(SEARCH("scout",$K748)))</f>
        <v/>
      </c>
      <c r="AA748" s="72">
        <f>IF($J748="",FALSE,IFERROR(INDEX(B!$N$2:$N$61,MATCH($J748,B!$E$2:$E$61,0))="Sim",FALSE))</f>
        <v/>
      </c>
      <c r="AB748" s="72">
        <f>IF($J748="",FALSE,LEFT($X748,2)="XX")</f>
        <v/>
      </c>
      <c r="AC748" s="72">
        <f>IF($J748="",FALSE,IFERROR(INDEX(B!$P$2:$P$61,MATCH($J748,B!$E$2:$E$61,0))="Sim",FALSE))</f>
        <v/>
      </c>
      <c r="AD748" s="20" t="n"/>
      <c r="AE748" s="52">
        <f>IF(H748="","",HOUR(H748))</f>
        <v/>
      </c>
      <c r="AF748" s="52" t="n"/>
    </row>
    <row r="749" ht="19.5" customHeight="1" s="58">
      <c r="A749" s="62">
        <f>IF(G749="","",IF(G749=G748,"",COUNTIF($G$3:$G$976,G749)))</f>
        <v/>
      </c>
      <c r="B749" s="20" t="n"/>
      <c r="C749" s="63">
        <f>IF(G749="","",DAY(G749))</f>
        <v/>
      </c>
      <c r="D749" s="63">
        <f>IF(G749="","",MONTH(G749))</f>
        <v/>
      </c>
      <c r="E749" s="63">
        <f>IF(G749="","",YEAR(G749))</f>
        <v/>
      </c>
      <c r="F749" s="33">
        <f>IF(G749="","",CHOOSE(MONTH(G749),"Janeiro","Fevereiro","Março","Abril","Maio","Junho","Julho","Agosto","Setembro","Outubro","Novembro","Dezembro"))</f>
        <v/>
      </c>
      <c r="G749" s="64" t="n">
        <v>46077</v>
      </c>
      <c r="H749" s="65" t="n">
        <v>0.0005787037037037037</v>
      </c>
      <c r="I749" s="66" t="inlineStr">
        <is>
          <t>https://docs.google.com/spreadsheets/d/1ZiCGoPjLCjuYvujDTXK9Ixbth3tekiLtFBzBrGjPCr4/edit?gid=0#gid=0</t>
        </is>
      </c>
      <c r="J749" s="67" t="inlineStr">
        <is>
          <t>Taxa de Cancelamento Cobrada Corretamente - [TXCO]</t>
        </is>
      </c>
      <c r="K749" s="67" t="inlineStr"/>
      <c r="L749" s="68" t="b">
        <v>0</v>
      </c>
      <c r="M749" s="20" t="n"/>
      <c r="N749" s="69">
        <f>IF($J749="","",IFERROR(INDEX(B!$F$2:$F$61,MATCH($J749,B!$E$2:$E$61,0))&amp;"",""))</f>
        <v/>
      </c>
      <c r="O749" s="69">
        <f>IF($J749="","",IFERROR(INDEX(B!$G$2:$G$61,MATCH($J749,B!$E$2:$E$61,0))&amp;"",""))</f>
        <v/>
      </c>
      <c r="P749" s="69">
        <f>IF($J749="","",IFERROR(INDEX(B!$H$2:$H$61,MATCH($J749,B!$E$2:$E$61,0))&amp;"",""))</f>
        <v/>
      </c>
      <c r="Q749" s="69">
        <f>IF($J749="","",IFERROR(INDEX(B!$I$2:$I$61,MATCH($J749,B!$E$2:$E$61,0))&amp;"",""))</f>
        <v/>
      </c>
      <c r="R749" s="69">
        <f>IF($J749="","",IFERROR(INDEX(B!$J$2:$J$61,MATCH($J749,B!$E$2:$E$61,0))&amp;"",""))</f>
        <v/>
      </c>
      <c r="S749" s="69">
        <f>IF($J749="","",IFERROR(INDEX(B!$K$2:$K$61,MATCH($J749,B!$E$2:$E$61,0))&amp;"",""))</f>
        <v/>
      </c>
      <c r="T749" s="69">
        <f>IF($J749="","",IFERROR(INDEX(B!$L$2:$L$61,MATCH($J749,B!$E$2:$E$61,0))&amp;"",""))</f>
        <v/>
      </c>
      <c r="U749" s="20" t="n"/>
      <c r="V749" s="70">
        <f>IF($J749="","",IFERROR(INDEX(B!$M$2:$M$61,MATCH($J749,B!$E$2:$E$61,0))&amp;"",""))</f>
        <v/>
      </c>
      <c r="W749" s="71">
        <f>IF(I749="","",IFERROR(MID(I749,FIND("/d/",I749)+3,FIND("/edit",I749)-FIND("/d/",I749)-3),I749))</f>
        <v/>
      </c>
      <c r="X749" s="71">
        <f>IF($J749="","",IFERROR(INDEX(B!$C$2:$C$61,MATCH($J749,B!$E$2:$E$61,0))&amp;"",""))</f>
        <v/>
      </c>
      <c r="Y749" s="20" t="n"/>
      <c r="Z749" s="72">
        <f>IF($J749="",FALSE,ISNUMBER(SEARCH("scout",$K749)))</f>
        <v/>
      </c>
      <c r="AA749" s="72">
        <f>IF($J749="",FALSE,IFERROR(INDEX(B!$N$2:$N$61,MATCH($J749,B!$E$2:$E$61,0))="Sim",FALSE))</f>
        <v/>
      </c>
      <c r="AB749" s="72">
        <f>IF($J749="",FALSE,LEFT($X749,2)="XX")</f>
        <v/>
      </c>
      <c r="AC749" s="72">
        <f>IF($J749="",FALSE,IFERROR(INDEX(B!$P$2:$P$61,MATCH($J749,B!$E$2:$E$61,0))="Sim",FALSE))</f>
        <v/>
      </c>
      <c r="AD749" s="20" t="n"/>
      <c r="AE749" s="52">
        <f>IF(H749="","",HOUR(H749))</f>
        <v/>
      </c>
      <c r="AF749" s="52" t="n"/>
    </row>
    <row r="750" ht="19.5" customHeight="1" s="58">
      <c r="A750" s="62">
        <f>IF(G750="","",IF(G750=G749,"",COUNTIF($G$3:$G$976,G750)))</f>
        <v/>
      </c>
      <c r="B750" s="20" t="n"/>
      <c r="C750" s="63">
        <f>IF(G750="","",DAY(G750))</f>
        <v/>
      </c>
      <c r="D750" s="63">
        <f>IF(G750="","",MONTH(G750))</f>
        <v/>
      </c>
      <c r="E750" s="63">
        <f>IF(G750="","",YEAR(G750))</f>
        <v/>
      </c>
      <c r="F750" s="33">
        <f>IF(G750="","",CHOOSE(MONTH(G750),"Janeiro","Fevereiro","Março","Abril","Maio","Junho","Julho","Agosto","Setembro","Outubro","Novembro","Dezembro"))</f>
        <v/>
      </c>
      <c r="G750" s="64" t="n">
        <v>46077</v>
      </c>
      <c r="H750" s="65" t="n">
        <v>0.01320601851851852</v>
      </c>
      <c r="I750" s="66" t="inlineStr">
        <is>
          <t>https://docs.google.com/spreadsheets/d/1ZiCGoPjLCjuYvujDTXK9Ixbth3tekiLtFBzBrGjPCr4/edit?gid=0#gid=0</t>
        </is>
      </c>
      <c r="J750" s="67" t="inlineStr">
        <is>
          <t>Taxa de Limpeza - [TXL]</t>
        </is>
      </c>
      <c r="K750" s="67" t="inlineStr"/>
      <c r="L750" s="68" t="b">
        <v>0</v>
      </c>
      <c r="M750" s="20" t="n"/>
      <c r="N750" s="69">
        <f>IF($J750="","",IFERROR(INDEX(B!$F$2:$F$61,MATCH($J750,B!$E$2:$E$61,0))&amp;"",""))</f>
        <v/>
      </c>
      <c r="O750" s="69">
        <f>IF($J750="","",IFERROR(INDEX(B!$G$2:$G$61,MATCH($J750,B!$E$2:$E$61,0))&amp;"",""))</f>
        <v/>
      </c>
      <c r="P750" s="69">
        <f>IF($J750="","",IFERROR(INDEX(B!$H$2:$H$61,MATCH($J750,B!$E$2:$E$61,0))&amp;"",""))</f>
        <v/>
      </c>
      <c r="Q750" s="69">
        <f>IF($J750="","",IFERROR(INDEX(B!$I$2:$I$61,MATCH($J750,B!$E$2:$E$61,0))&amp;"",""))</f>
        <v/>
      </c>
      <c r="R750" s="69">
        <f>IF($J750="","",IFERROR(INDEX(B!$J$2:$J$61,MATCH($J750,B!$E$2:$E$61,0))&amp;"",""))</f>
        <v/>
      </c>
      <c r="S750" s="69">
        <f>IF($J750="","",IFERROR(INDEX(B!$K$2:$K$61,MATCH($J750,B!$E$2:$E$61,0))&amp;"",""))</f>
        <v/>
      </c>
      <c r="T750" s="69">
        <f>IF($J750="","",IFERROR(INDEX(B!$L$2:$L$61,MATCH($J750,B!$E$2:$E$61,0))&amp;"",""))</f>
        <v/>
      </c>
      <c r="U750" s="20" t="n"/>
      <c r="V750" s="70">
        <f>IF($J750="","",IFERROR(INDEX(B!$M$2:$M$61,MATCH($J750,B!$E$2:$E$61,0))&amp;"",""))</f>
        <v/>
      </c>
      <c r="W750" s="71">
        <f>IF(I750="","",IFERROR(MID(I750,FIND("/d/",I750)+3,FIND("/edit",I750)-FIND("/d/",I750)-3),I750))</f>
        <v/>
      </c>
      <c r="X750" s="71">
        <f>IF($J750="","",IFERROR(INDEX(B!$C$2:$C$61,MATCH($J750,B!$E$2:$E$61,0))&amp;"",""))</f>
        <v/>
      </c>
      <c r="Y750" s="20" t="n"/>
      <c r="Z750" s="72">
        <f>IF($J750="",FALSE,ISNUMBER(SEARCH("scout",$K750)))</f>
        <v/>
      </c>
      <c r="AA750" s="72">
        <f>IF($J750="",FALSE,IFERROR(INDEX(B!$N$2:$N$61,MATCH($J750,B!$E$2:$E$61,0))="Sim",FALSE))</f>
        <v/>
      </c>
      <c r="AB750" s="72">
        <f>IF($J750="",FALSE,LEFT($X750,2)="XX")</f>
        <v/>
      </c>
      <c r="AC750" s="72">
        <f>IF($J750="",FALSE,IFERROR(INDEX(B!$P$2:$P$61,MATCH($J750,B!$E$2:$E$61,0))="Sim",FALSE))</f>
        <v/>
      </c>
      <c r="AD750" s="20" t="n"/>
      <c r="AE750" s="52">
        <f>IF(H750="","",HOUR(H750))</f>
        <v/>
      </c>
      <c r="AF750" s="52" t="n"/>
    </row>
    <row r="751" ht="19.5" customHeight="1" s="58">
      <c r="A751" s="62">
        <f>IF(G751="","",IF(G751=G750,"",COUNTIF($G$3:$G$976,G751)))</f>
        <v/>
      </c>
      <c r="B751" s="20" t="n"/>
      <c r="C751" s="63">
        <f>IF(G751="","",DAY(G751))</f>
        <v/>
      </c>
      <c r="D751" s="63">
        <f>IF(G751="","",MONTH(G751))</f>
        <v/>
      </c>
      <c r="E751" s="63">
        <f>IF(G751="","",YEAR(G751))</f>
        <v/>
      </c>
      <c r="F751" s="33">
        <f>IF(G751="","",CHOOSE(MONTH(G751),"Janeiro","Fevereiro","Março","Abril","Maio","Junho","Julho","Agosto","Setembro","Outubro","Novembro","Dezembro"))</f>
        <v/>
      </c>
      <c r="G751" s="64" t="n">
        <v>46077</v>
      </c>
      <c r="H751" s="65" t="n">
        <v>0.01354166666666667</v>
      </c>
      <c r="I751" s="66" t="inlineStr">
        <is>
          <t>https://docs.google.com/spreadsheets/d/1ZiCGoPjLCjuYvujDTXK9Ixbth3tekiLtFBzBrGjPCr4/edit?gid=0#gid=0</t>
        </is>
      </c>
      <c r="J751" s="67" t="inlineStr">
        <is>
          <t>Comprovante de Pagamento - [CP]</t>
        </is>
      </c>
      <c r="K751" s="67" t="inlineStr"/>
      <c r="L751" s="68" t="b">
        <v>0</v>
      </c>
      <c r="M751" s="20" t="n"/>
      <c r="N751" s="69">
        <f>IF($J751="","",IFERROR(INDEX(B!$F$2:$F$61,MATCH($J751,B!$E$2:$E$61,0))&amp;"",""))</f>
        <v/>
      </c>
      <c r="O751" s="69">
        <f>IF($J751="","",IFERROR(INDEX(B!$G$2:$G$61,MATCH($J751,B!$E$2:$E$61,0))&amp;"",""))</f>
        <v/>
      </c>
      <c r="P751" s="69">
        <f>IF($J751="","",IFERROR(INDEX(B!$H$2:$H$61,MATCH($J751,B!$E$2:$E$61,0))&amp;"",""))</f>
        <v/>
      </c>
      <c r="Q751" s="69">
        <f>IF($J751="","",IFERROR(INDEX(B!$I$2:$I$61,MATCH($J751,B!$E$2:$E$61,0))&amp;"",""))</f>
        <v/>
      </c>
      <c r="R751" s="69">
        <f>IF($J751="","",IFERROR(INDEX(B!$J$2:$J$61,MATCH($J751,B!$E$2:$E$61,0))&amp;"",""))</f>
        <v/>
      </c>
      <c r="S751" s="69">
        <f>IF($J751="","",IFERROR(INDEX(B!$K$2:$K$61,MATCH($J751,B!$E$2:$E$61,0))&amp;"",""))</f>
        <v/>
      </c>
      <c r="T751" s="69">
        <f>IF($J751="","",IFERROR(INDEX(B!$L$2:$L$61,MATCH($J751,B!$E$2:$E$61,0))&amp;"",""))</f>
        <v/>
      </c>
      <c r="U751" s="20" t="n"/>
      <c r="V751" s="70">
        <f>IF($J751="","",IFERROR(INDEX(B!$M$2:$M$61,MATCH($J751,B!$E$2:$E$61,0))&amp;"",""))</f>
        <v/>
      </c>
      <c r="W751" s="71">
        <f>IF(I751="","",IFERROR(MID(I751,FIND("/d/",I751)+3,FIND("/edit",I751)-FIND("/d/",I751)-3),I751))</f>
        <v/>
      </c>
      <c r="X751" s="71">
        <f>IF($J751="","",IFERROR(INDEX(B!$C$2:$C$61,MATCH($J751,B!$E$2:$E$61,0))&amp;"",""))</f>
        <v/>
      </c>
      <c r="Y751" s="20" t="n"/>
      <c r="Z751" s="72">
        <f>IF($J751="",FALSE,ISNUMBER(SEARCH("scout",$K751)))</f>
        <v/>
      </c>
      <c r="AA751" s="72">
        <f>IF($J751="",FALSE,IFERROR(INDEX(B!$N$2:$N$61,MATCH($J751,B!$E$2:$E$61,0))="Sim",FALSE))</f>
        <v/>
      </c>
      <c r="AB751" s="72">
        <f>IF($J751="",FALSE,LEFT($X751,2)="XX")</f>
        <v/>
      </c>
      <c r="AC751" s="72">
        <f>IF($J751="",FALSE,IFERROR(INDEX(B!$P$2:$P$61,MATCH($J751,B!$E$2:$E$61,0))="Sim",FALSE))</f>
        <v/>
      </c>
      <c r="AD751" s="20" t="n"/>
      <c r="AE751" s="52">
        <f>IF(H751="","",HOUR(H751))</f>
        <v/>
      </c>
      <c r="AF751" s="52" t="n"/>
    </row>
    <row r="752" ht="19.5" customHeight="1" s="58">
      <c r="A752" s="62">
        <f>IF(G752="","",IF(G752=G751,"",COUNTIF($G$3:$G$976,G752)))</f>
        <v/>
      </c>
      <c r="B752" s="20" t="n"/>
      <c r="C752" s="63">
        <f>IF(G752="","",DAY(G752))</f>
        <v/>
      </c>
      <c r="D752" s="63">
        <f>IF(G752="","",MONTH(G752))</f>
        <v/>
      </c>
      <c r="E752" s="63">
        <f>IF(G752="","",YEAR(G752))</f>
        <v/>
      </c>
      <c r="F752" s="33">
        <f>IF(G752="","",CHOOSE(MONTH(G752),"Janeiro","Fevereiro","Março","Abril","Maio","Junho","Julho","Agosto","Setembro","Outubro","Novembro","Dezembro"))</f>
        <v/>
      </c>
      <c r="G752" s="64" t="n">
        <v>46077</v>
      </c>
      <c r="H752" s="65" t="n">
        <v>0.01726851851851852</v>
      </c>
      <c r="I752" s="66" t="inlineStr">
        <is>
          <t>https://docs.google.com/spreadsheets/d/1ZiCGoPjLCjuYvujDTXK9Ixbth3tekiLtFBzBrGjPCr4/edit?gid=0#gid=0</t>
        </is>
      </c>
      <c r="J752" s="67" t="inlineStr">
        <is>
          <t>Não houve Taxa de Cancelamento - [NTX]</t>
        </is>
      </c>
      <c r="K752" s="67" t="inlineStr">
        <is>
          <t>Scout</t>
        </is>
      </c>
      <c r="L752" s="68" t="b">
        <v>0</v>
      </c>
      <c r="M752" s="20" t="n"/>
      <c r="N752" s="69">
        <f>IF($J752="","",IFERROR(INDEX(B!$F$2:$F$61,MATCH($J752,B!$E$2:$E$61,0))&amp;"",""))</f>
        <v/>
      </c>
      <c r="O752" s="69">
        <f>IF($J752="","",IFERROR(INDEX(B!$G$2:$G$61,MATCH($J752,B!$E$2:$E$61,0))&amp;"",""))</f>
        <v/>
      </c>
      <c r="P752" s="69">
        <f>IF($J752="","",IFERROR(INDEX(B!$H$2:$H$61,MATCH($J752,B!$E$2:$E$61,0))&amp;"",""))</f>
        <v/>
      </c>
      <c r="Q752" s="69">
        <f>IF($J752="","",IFERROR(INDEX(B!$I$2:$I$61,MATCH($J752,B!$E$2:$E$61,0))&amp;"",""))</f>
        <v/>
      </c>
      <c r="R752" s="69">
        <f>IF($J752="","",IFERROR(INDEX(B!$J$2:$J$61,MATCH($J752,B!$E$2:$E$61,0))&amp;"",""))</f>
        <v/>
      </c>
      <c r="S752" s="69">
        <f>IF($J752="","",IFERROR(INDEX(B!$K$2:$K$61,MATCH($J752,B!$E$2:$E$61,0))&amp;"",""))</f>
        <v/>
      </c>
      <c r="T752" s="69">
        <f>IF($J752="","",IFERROR(INDEX(B!$L$2:$L$61,MATCH($J752,B!$E$2:$E$61,0))&amp;"",""))</f>
        <v/>
      </c>
      <c r="U752" s="20" t="n"/>
      <c r="V752" s="70">
        <f>IF($J752="","",IFERROR(INDEX(B!$M$2:$M$61,MATCH($J752,B!$E$2:$E$61,0))&amp;"",""))</f>
        <v/>
      </c>
      <c r="W752" s="71">
        <f>IF(I752="","",IFERROR(MID(I752,FIND("/d/",I752)+3,FIND("/edit",I752)-FIND("/d/",I752)-3),I752))</f>
        <v/>
      </c>
      <c r="X752" s="71">
        <f>IF($J752="","",IFERROR(INDEX(B!$C$2:$C$61,MATCH($J752,B!$E$2:$E$61,0))&amp;"",""))</f>
        <v/>
      </c>
      <c r="Y752" s="20" t="n"/>
      <c r="Z752" s="72">
        <f>IF($J752="",FALSE,ISNUMBER(SEARCH("scout",$K752)))</f>
        <v/>
      </c>
      <c r="AA752" s="72">
        <f>IF($J752="",FALSE,IFERROR(INDEX(B!$N$2:$N$61,MATCH($J752,B!$E$2:$E$61,0))="Sim",FALSE))</f>
        <v/>
      </c>
      <c r="AB752" s="72">
        <f>IF($J752="",FALSE,LEFT($X752,2)="XX")</f>
        <v/>
      </c>
      <c r="AC752" s="72">
        <f>IF($J752="",FALSE,IFERROR(INDEX(B!$P$2:$P$61,MATCH($J752,B!$E$2:$E$61,0))="Sim",FALSE))</f>
        <v/>
      </c>
      <c r="AD752" s="20" t="n"/>
      <c r="AE752" s="52">
        <f>IF(H752="","",HOUR(H752))</f>
        <v/>
      </c>
      <c r="AF752" s="52" t="n"/>
    </row>
    <row r="753" ht="19.5" customHeight="1" s="58">
      <c r="A753" s="62">
        <f>IF(G753="","",IF(G753=G752,"",COUNTIF($G$3:$G$976,G753)))</f>
        <v/>
      </c>
      <c r="B753" s="20" t="n"/>
      <c r="C753" s="63">
        <f>IF(G753="","",DAY(G753))</f>
        <v/>
      </c>
      <c r="D753" s="63">
        <f>IF(G753="","",MONTH(G753))</f>
        <v/>
      </c>
      <c r="E753" s="63">
        <f>IF(G753="","",YEAR(G753))</f>
        <v/>
      </c>
      <c r="F753" s="33">
        <f>IF(G753="","",CHOOSE(MONTH(G753),"Janeiro","Fevereiro","Março","Abril","Maio","Junho","Julho","Agosto","Setembro","Outubro","Novembro","Dezembro"))</f>
        <v/>
      </c>
      <c r="G753" s="64" t="n">
        <v>46077</v>
      </c>
      <c r="H753" s="65" t="n">
        <v>0.02443287037037037</v>
      </c>
      <c r="I753" s="66" t="inlineStr">
        <is>
          <t>https://docs.google.com/spreadsheets/d/1ZiCGoPjLCjuYvujDTXK9Ixbth3tekiLtFBzBrGjPCr4/edit?gid=0#gid=0</t>
        </is>
      </c>
      <c r="J753" s="67" t="inlineStr">
        <is>
          <t>Taxa de Limpeza, Reembolsado ao cliente - [TXLR]</t>
        </is>
      </c>
      <c r="K753" s="67" t="inlineStr"/>
      <c r="L753" s="68" t="b">
        <v>0</v>
      </c>
      <c r="M753" s="20" t="n"/>
      <c r="N753" s="69">
        <f>IF($J753="","",IFERROR(INDEX(B!$F$2:$F$61,MATCH($J753,B!$E$2:$E$61,0))&amp;"",""))</f>
        <v/>
      </c>
      <c r="O753" s="69">
        <f>IF($J753="","",IFERROR(INDEX(B!$G$2:$G$61,MATCH($J753,B!$E$2:$E$61,0))&amp;"",""))</f>
        <v/>
      </c>
      <c r="P753" s="69">
        <f>IF($J753="","",IFERROR(INDEX(B!$H$2:$H$61,MATCH($J753,B!$E$2:$E$61,0))&amp;"",""))</f>
        <v/>
      </c>
      <c r="Q753" s="69">
        <f>IF($J753="","",IFERROR(INDEX(B!$I$2:$I$61,MATCH($J753,B!$E$2:$E$61,0))&amp;"",""))</f>
        <v/>
      </c>
      <c r="R753" s="69">
        <f>IF($J753="","",IFERROR(INDEX(B!$J$2:$J$61,MATCH($J753,B!$E$2:$E$61,0))&amp;"",""))</f>
        <v/>
      </c>
      <c r="S753" s="69">
        <f>IF($J753="","",IFERROR(INDEX(B!$K$2:$K$61,MATCH($J753,B!$E$2:$E$61,0))&amp;"",""))</f>
        <v/>
      </c>
      <c r="T753" s="69">
        <f>IF($J753="","",IFERROR(INDEX(B!$L$2:$L$61,MATCH($J753,B!$E$2:$E$61,0))&amp;"",""))</f>
        <v/>
      </c>
      <c r="U753" s="20" t="n"/>
      <c r="V753" s="70">
        <f>IF($J753="","",IFERROR(INDEX(B!$M$2:$M$61,MATCH($J753,B!$E$2:$E$61,0))&amp;"",""))</f>
        <v/>
      </c>
      <c r="W753" s="71">
        <f>IF(I753="","",IFERROR(MID(I753,FIND("/d/",I753)+3,FIND("/edit",I753)-FIND("/d/",I753)-3),I753))</f>
        <v/>
      </c>
      <c r="X753" s="71">
        <f>IF($J753="","",IFERROR(INDEX(B!$C$2:$C$61,MATCH($J753,B!$E$2:$E$61,0))&amp;"",""))</f>
        <v/>
      </c>
      <c r="Y753" s="20" t="n"/>
      <c r="Z753" s="72">
        <f>IF($J753="",FALSE,ISNUMBER(SEARCH("scout",$K753)))</f>
        <v/>
      </c>
      <c r="AA753" s="72">
        <f>IF($J753="",FALSE,IFERROR(INDEX(B!$N$2:$N$61,MATCH($J753,B!$E$2:$E$61,0))="Sim",FALSE))</f>
        <v/>
      </c>
      <c r="AB753" s="72">
        <f>IF($J753="",FALSE,LEFT($X753,2)="XX")</f>
        <v/>
      </c>
      <c r="AC753" s="72">
        <f>IF($J753="",FALSE,IFERROR(INDEX(B!$P$2:$P$61,MATCH($J753,B!$E$2:$E$61,0))="Sim",FALSE))</f>
        <v/>
      </c>
      <c r="AD753" s="20" t="n"/>
      <c r="AE753" s="52">
        <f>IF(H753="","",HOUR(H753))</f>
        <v/>
      </c>
      <c r="AF753" s="52" t="n"/>
    </row>
    <row r="754" ht="19.5" customHeight="1" s="58">
      <c r="A754" s="62">
        <f>IF(G754="","",IF(G754=G753,"",COUNTIF($G$3:$G$976,G754)))</f>
        <v/>
      </c>
      <c r="B754" s="20" t="n"/>
      <c r="C754" s="63">
        <f>IF(G754="","",DAY(G754))</f>
        <v/>
      </c>
      <c r="D754" s="63">
        <f>IF(G754="","",MONTH(G754))</f>
        <v/>
      </c>
      <c r="E754" s="63">
        <f>IF(G754="","",YEAR(G754))</f>
        <v/>
      </c>
      <c r="F754" s="33">
        <f>IF(G754="","",CHOOSE(MONTH(G754),"Janeiro","Fevereiro","Março","Abril","Maio","Junho","Julho","Agosto","Setembro","Outubro","Novembro","Dezembro"))</f>
        <v/>
      </c>
      <c r="G754" s="64" t="n">
        <v>46077</v>
      </c>
      <c r="H754" s="65" t="n">
        <v>0.02472222222222222</v>
      </c>
      <c r="I754" s="66" t="inlineStr">
        <is>
          <t>https://docs.google.com/spreadsheets/d/1ZiCGoPjLCjuYvujDTXK9Ixbth3tekiLtFBzBrGjPCr4/edit?gid=0#gid=0</t>
        </is>
      </c>
      <c r="J754" s="67" t="inlineStr">
        <is>
          <t>Overpaid, Excede o limite Com comprovante - [OPEC]</t>
        </is>
      </c>
      <c r="K754" s="67" t="inlineStr"/>
      <c r="L754" s="68" t="b">
        <v>0</v>
      </c>
      <c r="M754" s="20" t="n"/>
      <c r="N754" s="69">
        <f>IF($J754="","",IFERROR(INDEX(B!$F$2:$F$61,MATCH($J754,B!$E$2:$E$61,0))&amp;"",""))</f>
        <v/>
      </c>
      <c r="O754" s="69">
        <f>IF($J754="","",IFERROR(INDEX(B!$G$2:$G$61,MATCH($J754,B!$E$2:$E$61,0))&amp;"",""))</f>
        <v/>
      </c>
      <c r="P754" s="69">
        <f>IF($J754="","",IFERROR(INDEX(B!$H$2:$H$61,MATCH($J754,B!$E$2:$E$61,0))&amp;"",""))</f>
        <v/>
      </c>
      <c r="Q754" s="69">
        <f>IF($J754="","",IFERROR(INDEX(B!$I$2:$I$61,MATCH($J754,B!$E$2:$E$61,0))&amp;"",""))</f>
        <v/>
      </c>
      <c r="R754" s="69">
        <f>IF($J754="","",IFERROR(INDEX(B!$J$2:$J$61,MATCH($J754,B!$E$2:$E$61,0))&amp;"",""))</f>
        <v/>
      </c>
      <c r="S754" s="69">
        <f>IF($J754="","",IFERROR(INDEX(B!$K$2:$K$61,MATCH($J754,B!$E$2:$E$61,0))&amp;"",""))</f>
        <v/>
      </c>
      <c r="T754" s="69">
        <f>IF($J754="","",IFERROR(INDEX(B!$L$2:$L$61,MATCH($J754,B!$E$2:$E$61,0))&amp;"",""))</f>
        <v/>
      </c>
      <c r="U754" s="20" t="n"/>
      <c r="V754" s="70">
        <f>IF($J754="","",IFERROR(INDEX(B!$M$2:$M$61,MATCH($J754,B!$E$2:$E$61,0))&amp;"",""))</f>
        <v/>
      </c>
      <c r="W754" s="71">
        <f>IF(I754="","",IFERROR(MID(I754,FIND("/d/",I754)+3,FIND("/edit",I754)-FIND("/d/",I754)-3),I754))</f>
        <v/>
      </c>
      <c r="X754" s="71">
        <f>IF($J754="","",IFERROR(INDEX(B!$C$2:$C$61,MATCH($J754,B!$E$2:$E$61,0))&amp;"",""))</f>
        <v/>
      </c>
      <c r="Y754" s="20" t="n"/>
      <c r="Z754" s="72">
        <f>IF($J754="",FALSE,ISNUMBER(SEARCH("scout",$K754)))</f>
        <v/>
      </c>
      <c r="AA754" s="72">
        <f>IF($J754="",FALSE,IFERROR(INDEX(B!$N$2:$N$61,MATCH($J754,B!$E$2:$E$61,0))="Sim",FALSE))</f>
        <v/>
      </c>
      <c r="AB754" s="72">
        <f>IF($J754="",FALSE,LEFT($X754,2)="XX")</f>
        <v/>
      </c>
      <c r="AC754" s="72">
        <f>IF($J754="",FALSE,IFERROR(INDEX(B!$P$2:$P$61,MATCH($J754,B!$E$2:$E$61,0))="Sim",FALSE))</f>
        <v/>
      </c>
      <c r="AD754" s="20" t="n"/>
      <c r="AE754" s="52">
        <f>IF(H754="","",HOUR(H754))</f>
        <v/>
      </c>
      <c r="AF754" s="52" t="n"/>
    </row>
    <row r="755" ht="19.5" customHeight="1" s="58">
      <c r="A755" s="62">
        <f>IF(G755="","",IF(G755=G754,"",COUNTIF($G$3:$G$976,G755)))</f>
        <v/>
      </c>
      <c r="B755" s="20" t="n"/>
      <c r="C755" s="63">
        <f>IF(G755="","",DAY(G755))</f>
        <v/>
      </c>
      <c r="D755" s="63">
        <f>IF(G755="","",MONTH(G755))</f>
        <v/>
      </c>
      <c r="E755" s="63">
        <f>IF(G755="","",YEAR(G755))</f>
        <v/>
      </c>
      <c r="F755" s="33">
        <f>IF(G755="","",CHOOSE(MONTH(G755),"Janeiro","Fevereiro","Março","Abril","Maio","Junho","Julho","Agosto","Setembro","Outubro","Novembro","Dezembro"))</f>
        <v/>
      </c>
      <c r="G755" s="64" t="n">
        <v>46077</v>
      </c>
      <c r="H755" s="65" t="n">
        <v>0.02577546296296296</v>
      </c>
      <c r="I755" s="66" t="inlineStr">
        <is>
          <t>https://docs.google.com/spreadsheets/d/1ZiCGoPjLCjuYvujDTXK9Ixbth3tekiLtFBzBrGjPCr4/edit?gid=0#gid=0</t>
        </is>
      </c>
      <c r="J755" s="67" t="inlineStr">
        <is>
          <t>Taxa de Cancelamento - [TXC]</t>
        </is>
      </c>
      <c r="K755" s="67" t="inlineStr"/>
      <c r="L755" s="68" t="b">
        <v>0</v>
      </c>
      <c r="M755" s="20" t="n"/>
      <c r="N755" s="69">
        <f>IF($J755="","",IFERROR(INDEX(B!$F$2:$F$61,MATCH($J755,B!$E$2:$E$61,0))&amp;"",""))</f>
        <v/>
      </c>
      <c r="O755" s="69">
        <f>IF($J755="","",IFERROR(INDEX(B!$G$2:$G$61,MATCH($J755,B!$E$2:$E$61,0))&amp;"",""))</f>
        <v/>
      </c>
      <c r="P755" s="69">
        <f>IF($J755="","",IFERROR(INDEX(B!$H$2:$H$61,MATCH($J755,B!$E$2:$E$61,0))&amp;"",""))</f>
        <v/>
      </c>
      <c r="Q755" s="69">
        <f>IF($J755="","",IFERROR(INDEX(B!$I$2:$I$61,MATCH($J755,B!$E$2:$E$61,0))&amp;"",""))</f>
        <v/>
      </c>
      <c r="R755" s="69">
        <f>IF($J755="","",IFERROR(INDEX(B!$J$2:$J$61,MATCH($J755,B!$E$2:$E$61,0))&amp;"",""))</f>
        <v/>
      </c>
      <c r="S755" s="69">
        <f>IF($J755="","",IFERROR(INDEX(B!$K$2:$K$61,MATCH($J755,B!$E$2:$E$61,0))&amp;"",""))</f>
        <v/>
      </c>
      <c r="T755" s="69">
        <f>IF($J755="","",IFERROR(INDEX(B!$L$2:$L$61,MATCH($J755,B!$E$2:$E$61,0))&amp;"",""))</f>
        <v/>
      </c>
      <c r="U755" s="20" t="n"/>
      <c r="V755" s="70">
        <f>IF($J755="","",IFERROR(INDEX(B!$M$2:$M$61,MATCH($J755,B!$E$2:$E$61,0))&amp;"",""))</f>
        <v/>
      </c>
      <c r="W755" s="71">
        <f>IF(I755="","",IFERROR(MID(I755,FIND("/d/",I755)+3,FIND("/edit",I755)-FIND("/d/",I755)-3),I755))</f>
        <v/>
      </c>
      <c r="X755" s="71">
        <f>IF($J755="","",IFERROR(INDEX(B!$C$2:$C$61,MATCH($J755,B!$E$2:$E$61,0))&amp;"",""))</f>
        <v/>
      </c>
      <c r="Y755" s="20" t="n"/>
      <c r="Z755" s="72">
        <f>IF($J755="",FALSE,ISNUMBER(SEARCH("scout",$K755)))</f>
        <v/>
      </c>
      <c r="AA755" s="72">
        <f>IF($J755="",FALSE,IFERROR(INDEX(B!$N$2:$N$61,MATCH($J755,B!$E$2:$E$61,0))="Sim",FALSE))</f>
        <v/>
      </c>
      <c r="AB755" s="72">
        <f>IF($J755="",FALSE,LEFT($X755,2)="XX")</f>
        <v/>
      </c>
      <c r="AC755" s="72">
        <f>IF($J755="",FALSE,IFERROR(INDEX(B!$P$2:$P$61,MATCH($J755,B!$E$2:$E$61,0))="Sim",FALSE))</f>
        <v/>
      </c>
      <c r="AD755" s="20" t="n"/>
      <c r="AE755" s="52">
        <f>IF(H755="","",HOUR(H755))</f>
        <v/>
      </c>
      <c r="AF755" s="52" t="n"/>
    </row>
    <row r="756" ht="19.5" customHeight="1" s="58">
      <c r="A756" s="62">
        <f>IF(G756="","",IF(G756=G755,"",COUNTIF($G$3:$G$976,G756)))</f>
        <v/>
      </c>
      <c r="B756" s="20" t="n"/>
      <c r="C756" s="63">
        <f>IF(G756="","",DAY(G756))</f>
        <v/>
      </c>
      <c r="D756" s="63">
        <f>IF(G756="","",MONTH(G756))</f>
        <v/>
      </c>
      <c r="E756" s="63">
        <f>IF(G756="","",YEAR(G756))</f>
        <v/>
      </c>
      <c r="F756" s="33">
        <f>IF(G756="","",CHOOSE(MONTH(G756),"Janeiro","Fevereiro","Março","Abril","Maio","Junho","Julho","Agosto","Setembro","Outubro","Novembro","Dezembro"))</f>
        <v/>
      </c>
      <c r="G756" s="64" t="n">
        <v>46077</v>
      </c>
      <c r="H756" s="65" t="n">
        <v>0.03100694444444444</v>
      </c>
      <c r="I756" s="66" t="inlineStr">
        <is>
          <t>https://docs.google.com/spreadsheets/d/1ZiCGoPjLCjuYvujDTXK9Ixbth3tekiLtFBzBrGjPCr4/edit?gid=0#gid=0</t>
        </is>
      </c>
      <c r="J756" s="67" t="inlineStr">
        <is>
          <t>Erro de Gps (Problema Técnico) - [GPS]</t>
        </is>
      </c>
      <c r="K756" s="67" t="inlineStr">
        <is>
          <t>Scout</t>
        </is>
      </c>
      <c r="L756" s="68" t="b">
        <v>0</v>
      </c>
      <c r="M756" s="20" t="n"/>
      <c r="N756" s="69">
        <f>IF($J756="","",IFERROR(INDEX(B!$F$2:$F$61,MATCH($J756,B!$E$2:$E$61,0))&amp;"",""))</f>
        <v/>
      </c>
      <c r="O756" s="69">
        <f>IF($J756="","",IFERROR(INDEX(B!$G$2:$G$61,MATCH($J756,B!$E$2:$E$61,0))&amp;"",""))</f>
        <v/>
      </c>
      <c r="P756" s="69">
        <f>IF($J756="","",IFERROR(INDEX(B!$H$2:$H$61,MATCH($J756,B!$E$2:$E$61,0))&amp;"",""))</f>
        <v/>
      </c>
      <c r="Q756" s="69">
        <f>IF($J756="","",IFERROR(INDEX(B!$I$2:$I$61,MATCH($J756,B!$E$2:$E$61,0))&amp;"",""))</f>
        <v/>
      </c>
      <c r="R756" s="69">
        <f>IF($J756="","",IFERROR(INDEX(B!$J$2:$J$61,MATCH($J756,B!$E$2:$E$61,0))&amp;"",""))</f>
        <v/>
      </c>
      <c r="S756" s="69">
        <f>IF($J756="","",IFERROR(INDEX(B!$K$2:$K$61,MATCH($J756,B!$E$2:$E$61,0))&amp;"",""))</f>
        <v/>
      </c>
      <c r="T756" s="69">
        <f>IF($J756="","",IFERROR(INDEX(B!$L$2:$L$61,MATCH($J756,B!$E$2:$E$61,0))&amp;"",""))</f>
        <v/>
      </c>
      <c r="U756" s="20" t="n"/>
      <c r="V756" s="70">
        <f>IF($J756="","",IFERROR(INDEX(B!$M$2:$M$61,MATCH($J756,B!$E$2:$E$61,0))&amp;"",""))</f>
        <v/>
      </c>
      <c r="W756" s="71">
        <f>IF(I756="","",IFERROR(MID(I756,FIND("/d/",I756)+3,FIND("/edit",I756)-FIND("/d/",I756)-3),I756))</f>
        <v/>
      </c>
      <c r="X756" s="71">
        <f>IF($J756="","",IFERROR(INDEX(B!$C$2:$C$61,MATCH($J756,B!$E$2:$E$61,0))&amp;"",""))</f>
        <v/>
      </c>
      <c r="Y756" s="20" t="n"/>
      <c r="Z756" s="72">
        <f>IF($J756="",FALSE,ISNUMBER(SEARCH("scout",$K756)))</f>
        <v/>
      </c>
      <c r="AA756" s="72">
        <f>IF($J756="",FALSE,IFERROR(INDEX(B!$N$2:$N$61,MATCH($J756,B!$E$2:$E$61,0))="Sim",FALSE))</f>
        <v/>
      </c>
      <c r="AB756" s="72">
        <f>IF($J756="",FALSE,LEFT($X756,2)="XX")</f>
        <v/>
      </c>
      <c r="AC756" s="72">
        <f>IF($J756="",FALSE,IFERROR(INDEX(B!$P$2:$P$61,MATCH($J756,B!$E$2:$E$61,0))="Sim",FALSE))</f>
        <v/>
      </c>
      <c r="AD756" s="20" t="n"/>
      <c r="AE756" s="52">
        <f>IF(H756="","",HOUR(H756))</f>
        <v/>
      </c>
      <c r="AF756" s="52" t="n"/>
    </row>
    <row r="757" ht="19.5" customHeight="1" s="58">
      <c r="A757" s="62">
        <f>IF(G757="","",IF(G757=G756,"",COUNTIF($G$3:$G$976,G757)))</f>
        <v/>
      </c>
      <c r="B757" s="20" t="n"/>
      <c r="C757" s="63">
        <f>IF(G757="","",DAY(G757))</f>
        <v/>
      </c>
      <c r="D757" s="63">
        <f>IF(G757="","",MONTH(G757))</f>
        <v/>
      </c>
      <c r="E757" s="63">
        <f>IF(G757="","",YEAR(G757))</f>
        <v/>
      </c>
      <c r="F757" s="33">
        <f>IF(G757="","",CHOOSE(MONTH(G757),"Janeiro","Fevereiro","Março","Abril","Maio","Junho","Julho","Agosto","Setembro","Outubro","Novembro","Dezembro"))</f>
        <v/>
      </c>
      <c r="G757" s="64" t="n">
        <v>46077</v>
      </c>
      <c r="H757" s="65" t="n">
        <v>0.03157407407407407</v>
      </c>
      <c r="I757" s="66" t="inlineStr">
        <is>
          <t>https://docs.google.com/spreadsheets/d/1ZiCGoPjLCjuYvujDTXK9Ixbth3tekiLtFBzBrGjPCr4/edit?gid=0#gid=0</t>
        </is>
      </c>
      <c r="J757" s="67" t="inlineStr">
        <is>
          <t>Transferência de LOB (Safety) - [TIST]</t>
        </is>
      </c>
      <c r="K757" s="67" t="inlineStr"/>
      <c r="L757" s="68" t="b">
        <v>0</v>
      </c>
      <c r="M757" s="20" t="n"/>
      <c r="N757" s="69">
        <f>IF($J757="","",IFERROR(INDEX(B!$F$2:$F$61,MATCH($J757,B!$E$2:$E$61,0))&amp;"",""))</f>
        <v/>
      </c>
      <c r="O757" s="69">
        <f>IF($J757="","",IFERROR(INDEX(B!$G$2:$G$61,MATCH($J757,B!$E$2:$E$61,0))&amp;"",""))</f>
        <v/>
      </c>
      <c r="P757" s="69">
        <f>IF($J757="","",IFERROR(INDEX(B!$H$2:$H$61,MATCH($J757,B!$E$2:$E$61,0))&amp;"",""))</f>
        <v/>
      </c>
      <c r="Q757" s="69">
        <f>IF($J757="","",IFERROR(INDEX(B!$I$2:$I$61,MATCH($J757,B!$E$2:$E$61,0))&amp;"",""))</f>
        <v/>
      </c>
      <c r="R757" s="69">
        <f>IF($J757="","",IFERROR(INDEX(B!$J$2:$J$61,MATCH($J757,B!$E$2:$E$61,0))&amp;"",""))</f>
        <v/>
      </c>
      <c r="S757" s="69">
        <f>IF($J757="","",IFERROR(INDEX(B!$K$2:$K$61,MATCH($J757,B!$E$2:$E$61,0))&amp;"",""))</f>
        <v/>
      </c>
      <c r="T757" s="69">
        <f>IF($J757="","",IFERROR(INDEX(B!$L$2:$L$61,MATCH($J757,B!$E$2:$E$61,0))&amp;"",""))</f>
        <v/>
      </c>
      <c r="U757" s="20" t="n"/>
      <c r="V757" s="70">
        <f>IF($J757="","",IFERROR(INDEX(B!$M$2:$M$61,MATCH($J757,B!$E$2:$E$61,0))&amp;"",""))</f>
        <v/>
      </c>
      <c r="W757" s="71">
        <f>IF(I757="","",IFERROR(MID(I757,FIND("/d/",I757)+3,FIND("/edit",I757)-FIND("/d/",I757)-3),I757))</f>
        <v/>
      </c>
      <c r="X757" s="71">
        <f>IF($J757="","",IFERROR(INDEX(B!$C$2:$C$61,MATCH($J757,B!$E$2:$E$61,0))&amp;"",""))</f>
        <v/>
      </c>
      <c r="Y757" s="20" t="n"/>
      <c r="Z757" s="72">
        <f>IF($J757="",FALSE,ISNUMBER(SEARCH("scout",$K757)))</f>
        <v/>
      </c>
      <c r="AA757" s="72">
        <f>IF($J757="",FALSE,IFERROR(INDEX(B!$N$2:$N$61,MATCH($J757,B!$E$2:$E$61,0))="Sim",FALSE))</f>
        <v/>
      </c>
      <c r="AB757" s="72">
        <f>IF($J757="",FALSE,LEFT($X757,2)="XX")</f>
        <v/>
      </c>
      <c r="AC757" s="72">
        <f>IF($J757="",FALSE,IFERROR(INDEX(B!$P$2:$P$61,MATCH($J757,B!$E$2:$E$61,0))="Sim",FALSE))</f>
        <v/>
      </c>
      <c r="AD757" s="20" t="n"/>
      <c r="AE757" s="52">
        <f>IF(H757="","",HOUR(H757))</f>
        <v/>
      </c>
      <c r="AF757" s="52" t="n"/>
    </row>
    <row r="758" ht="19.5" customHeight="1" s="58">
      <c r="A758" s="62">
        <f>IF(G758="","",IF(G758=G757,"",COUNTIF($G$3:$G$976,G758)))</f>
        <v/>
      </c>
      <c r="B758" s="20" t="n"/>
      <c r="C758" s="63">
        <f>IF(G758="","",DAY(G758))</f>
        <v/>
      </c>
      <c r="D758" s="63">
        <f>IF(G758="","",MONTH(G758))</f>
        <v/>
      </c>
      <c r="E758" s="63">
        <f>IF(G758="","",YEAR(G758))</f>
        <v/>
      </c>
      <c r="F758" s="33">
        <f>IF(G758="","",CHOOSE(MONTH(G758),"Janeiro","Fevereiro","Março","Abril","Maio","Junho","Julho","Agosto","Setembro","Outubro","Novembro","Dezembro"))</f>
        <v/>
      </c>
      <c r="G758" s="64" t="n">
        <v>46077</v>
      </c>
      <c r="H758" s="65" t="n">
        <v>0.03465277777777778</v>
      </c>
      <c r="I758" s="66" t="inlineStr">
        <is>
          <t>https://docs.google.com/spreadsheets/d/1ZiCGoPjLCjuYvujDTXK9Ixbth3tekiLtFBzBrGjPCr4/edit?gid=0#gid=0</t>
        </is>
      </c>
      <c r="J758" s="67" t="inlineStr">
        <is>
          <t>Pushback (Agradecimento) - [XXA]</t>
        </is>
      </c>
      <c r="K758" s="67" t="inlineStr"/>
      <c r="L758" s="68" t="b">
        <v>0</v>
      </c>
      <c r="M758" s="20" t="n"/>
      <c r="N758" s="69">
        <f>IF($J758="","",IFERROR(INDEX(B!$F$2:$F$61,MATCH($J758,B!$E$2:$E$61,0))&amp;"",""))</f>
        <v/>
      </c>
      <c r="O758" s="69">
        <f>IF($J758="","",IFERROR(INDEX(B!$G$2:$G$61,MATCH($J758,B!$E$2:$E$61,0))&amp;"",""))</f>
        <v/>
      </c>
      <c r="P758" s="69">
        <f>IF($J758="","",IFERROR(INDEX(B!$H$2:$H$61,MATCH($J758,B!$E$2:$E$61,0))&amp;"",""))</f>
        <v/>
      </c>
      <c r="Q758" s="69">
        <f>IF($J758="","",IFERROR(INDEX(B!$I$2:$I$61,MATCH($J758,B!$E$2:$E$61,0))&amp;"",""))</f>
        <v/>
      </c>
      <c r="R758" s="69">
        <f>IF($J758="","",IFERROR(INDEX(B!$J$2:$J$61,MATCH($J758,B!$E$2:$E$61,0))&amp;"",""))</f>
        <v/>
      </c>
      <c r="S758" s="69">
        <f>IF($J758="","",IFERROR(INDEX(B!$K$2:$K$61,MATCH($J758,B!$E$2:$E$61,0))&amp;"",""))</f>
        <v/>
      </c>
      <c r="T758" s="69">
        <f>IF($J758="","",IFERROR(INDEX(B!$L$2:$L$61,MATCH($J758,B!$E$2:$E$61,0))&amp;"",""))</f>
        <v/>
      </c>
      <c r="U758" s="20" t="n"/>
      <c r="V758" s="70">
        <f>IF($J758="","",IFERROR(INDEX(B!$M$2:$M$61,MATCH($J758,B!$E$2:$E$61,0))&amp;"",""))</f>
        <v/>
      </c>
      <c r="W758" s="71">
        <f>IF(I758="","",IFERROR(MID(I758,FIND("/d/",I758)+3,FIND("/edit",I758)-FIND("/d/",I758)-3),I758))</f>
        <v/>
      </c>
      <c r="X758" s="71">
        <f>IF($J758="","",IFERROR(INDEX(B!$C$2:$C$61,MATCH($J758,B!$E$2:$E$61,0))&amp;"",""))</f>
        <v/>
      </c>
      <c r="Y758" s="20" t="n"/>
      <c r="Z758" s="72">
        <f>IF($J758="",FALSE,ISNUMBER(SEARCH("scout",$K758)))</f>
        <v/>
      </c>
      <c r="AA758" s="72">
        <f>IF($J758="",FALSE,IFERROR(INDEX(B!$N$2:$N$61,MATCH($J758,B!$E$2:$E$61,0))="Sim",FALSE))</f>
        <v/>
      </c>
      <c r="AB758" s="72">
        <f>IF($J758="",FALSE,LEFT($X758,2)="XX")</f>
        <v/>
      </c>
      <c r="AC758" s="72">
        <f>IF($J758="",FALSE,IFERROR(INDEX(B!$P$2:$P$61,MATCH($J758,B!$E$2:$E$61,0))="Sim",FALSE))</f>
        <v/>
      </c>
      <c r="AD758" s="20" t="n"/>
      <c r="AE758" s="52">
        <f>IF(H758="","",HOUR(H758))</f>
        <v/>
      </c>
      <c r="AF758" s="52" t="n"/>
    </row>
    <row r="759" ht="19.5" customHeight="1" s="58">
      <c r="A759" s="62">
        <f>IF(G759="","",IF(G759=G758,"",COUNTIF($G$3:$G$976,G759)))</f>
        <v/>
      </c>
      <c r="B759" s="20" t="n"/>
      <c r="C759" s="63">
        <f>IF(G759="","",DAY(G759))</f>
        <v/>
      </c>
      <c r="D759" s="63">
        <f>IF(G759="","",MONTH(G759))</f>
        <v/>
      </c>
      <c r="E759" s="63">
        <f>IF(G759="","",YEAR(G759))</f>
        <v/>
      </c>
      <c r="F759" s="33">
        <f>IF(G759="","",CHOOSE(MONTH(G759),"Janeiro","Fevereiro","Março","Abril","Maio","Junho","Julho","Agosto","Setembro","Outubro","Novembro","Dezembro"))</f>
        <v/>
      </c>
      <c r="G759" s="64" t="n">
        <v>46077</v>
      </c>
      <c r="H759" s="65" t="n">
        <v>0.03582175925925926</v>
      </c>
      <c r="I759" s="66" t="inlineStr">
        <is>
          <t>https://docs.google.com/spreadsheets/d/1ZiCGoPjLCjuYvujDTXK9Ixbth3tekiLtFBzBrGjPCr4/edit?gid=0#gid=0</t>
        </is>
      </c>
      <c r="J759" s="67" t="inlineStr">
        <is>
          <t>Erro de Gps (Problema Técnico) - [GPS]</t>
        </is>
      </c>
      <c r="K759" s="67" t="inlineStr"/>
      <c r="L759" s="68" t="b">
        <v>0</v>
      </c>
      <c r="M759" s="20" t="n"/>
      <c r="N759" s="69">
        <f>IF($J759="","",IFERROR(INDEX(B!$F$2:$F$61,MATCH($J759,B!$E$2:$E$61,0))&amp;"",""))</f>
        <v/>
      </c>
      <c r="O759" s="69">
        <f>IF($J759="","",IFERROR(INDEX(B!$G$2:$G$61,MATCH($J759,B!$E$2:$E$61,0))&amp;"",""))</f>
        <v/>
      </c>
      <c r="P759" s="69">
        <f>IF($J759="","",IFERROR(INDEX(B!$H$2:$H$61,MATCH($J759,B!$E$2:$E$61,0))&amp;"",""))</f>
        <v/>
      </c>
      <c r="Q759" s="69">
        <f>IF($J759="","",IFERROR(INDEX(B!$I$2:$I$61,MATCH($J759,B!$E$2:$E$61,0))&amp;"",""))</f>
        <v/>
      </c>
      <c r="R759" s="69">
        <f>IF($J759="","",IFERROR(INDEX(B!$J$2:$J$61,MATCH($J759,B!$E$2:$E$61,0))&amp;"",""))</f>
        <v/>
      </c>
      <c r="S759" s="69">
        <f>IF($J759="","",IFERROR(INDEX(B!$K$2:$K$61,MATCH($J759,B!$E$2:$E$61,0))&amp;"",""))</f>
        <v/>
      </c>
      <c r="T759" s="69">
        <f>IF($J759="","",IFERROR(INDEX(B!$L$2:$L$61,MATCH($J759,B!$E$2:$E$61,0))&amp;"",""))</f>
        <v/>
      </c>
      <c r="U759" s="20" t="n"/>
      <c r="V759" s="70">
        <f>IF($J759="","",IFERROR(INDEX(B!$M$2:$M$61,MATCH($J759,B!$E$2:$E$61,0))&amp;"",""))</f>
        <v/>
      </c>
      <c r="W759" s="71">
        <f>IF(I759="","",IFERROR(MID(I759,FIND("/d/",I759)+3,FIND("/edit",I759)-FIND("/d/",I759)-3),I759))</f>
        <v/>
      </c>
      <c r="X759" s="71">
        <f>IF($J759="","",IFERROR(INDEX(B!$C$2:$C$61,MATCH($J759,B!$E$2:$E$61,0))&amp;"",""))</f>
        <v/>
      </c>
      <c r="Y759" s="20" t="n"/>
      <c r="Z759" s="72">
        <f>IF($J759="",FALSE,ISNUMBER(SEARCH("scout",$K759)))</f>
        <v/>
      </c>
      <c r="AA759" s="72">
        <f>IF($J759="",FALSE,IFERROR(INDEX(B!$N$2:$N$61,MATCH($J759,B!$E$2:$E$61,0))="Sim",FALSE))</f>
        <v/>
      </c>
      <c r="AB759" s="72">
        <f>IF($J759="",FALSE,LEFT($X759,2)="XX")</f>
        <v/>
      </c>
      <c r="AC759" s="72">
        <f>IF($J759="",FALSE,IFERROR(INDEX(B!$P$2:$P$61,MATCH($J759,B!$E$2:$E$61,0))="Sim",FALSE))</f>
        <v/>
      </c>
      <c r="AD759" s="20" t="n"/>
      <c r="AE759" s="52">
        <f>IF(H759="","",HOUR(H759))</f>
        <v/>
      </c>
      <c r="AF759" s="52" t="n"/>
    </row>
    <row r="760" ht="19.5" customHeight="1" s="58">
      <c r="A760" s="62">
        <f>IF(G760="","",IF(G760=G759,"",COUNTIF($G$3:$G$976,G760)))</f>
        <v/>
      </c>
      <c r="B760" s="20" t="n"/>
      <c r="C760" s="63">
        <f>IF(G760="","",DAY(G760))</f>
        <v/>
      </c>
      <c r="D760" s="63">
        <f>IF(G760="","",MONTH(G760))</f>
        <v/>
      </c>
      <c r="E760" s="63">
        <f>IF(G760="","",YEAR(G760))</f>
        <v/>
      </c>
      <c r="F760" s="33">
        <f>IF(G760="","",CHOOSE(MONTH(G760),"Janeiro","Fevereiro","Março","Abril","Maio","Junho","Julho","Agosto","Setembro","Outubro","Novembro","Dezembro"))</f>
        <v/>
      </c>
      <c r="G760" s="64" t="n">
        <v>46077</v>
      </c>
      <c r="H760" s="65" t="n">
        <v>0.03650462962962963</v>
      </c>
      <c r="I760" s="66" t="inlineStr">
        <is>
          <t>https://docs.google.com/spreadsheets/d/1ZiCGoPjLCjuYvujDTXK9Ixbth3tekiLtFBzBrGjPCr4/edit?gid=0#gid=0</t>
        </is>
      </c>
      <c r="J760" s="67" t="inlineStr">
        <is>
          <t>Overpaid, Não excede o limite, Com comprovante - [OPNC]</t>
        </is>
      </c>
      <c r="K760" s="67" t="inlineStr"/>
      <c r="L760" s="68" t="b">
        <v>0</v>
      </c>
      <c r="M760" s="20" t="n"/>
      <c r="N760" s="69">
        <f>IF($J760="","",IFERROR(INDEX(B!$F$2:$F$61,MATCH($J760,B!$E$2:$E$61,0))&amp;"",""))</f>
        <v/>
      </c>
      <c r="O760" s="69">
        <f>IF($J760="","",IFERROR(INDEX(B!$G$2:$G$61,MATCH($J760,B!$E$2:$E$61,0))&amp;"",""))</f>
        <v/>
      </c>
      <c r="P760" s="69">
        <f>IF($J760="","",IFERROR(INDEX(B!$H$2:$H$61,MATCH($J760,B!$E$2:$E$61,0))&amp;"",""))</f>
        <v/>
      </c>
      <c r="Q760" s="69">
        <f>IF($J760="","",IFERROR(INDEX(B!$I$2:$I$61,MATCH($J760,B!$E$2:$E$61,0))&amp;"",""))</f>
        <v/>
      </c>
      <c r="R760" s="69">
        <f>IF($J760="","",IFERROR(INDEX(B!$J$2:$J$61,MATCH($J760,B!$E$2:$E$61,0))&amp;"",""))</f>
        <v/>
      </c>
      <c r="S760" s="69">
        <f>IF($J760="","",IFERROR(INDEX(B!$K$2:$K$61,MATCH($J760,B!$E$2:$E$61,0))&amp;"",""))</f>
        <v/>
      </c>
      <c r="T760" s="69">
        <f>IF($J760="","",IFERROR(INDEX(B!$L$2:$L$61,MATCH($J760,B!$E$2:$E$61,0))&amp;"",""))</f>
        <v/>
      </c>
      <c r="U760" s="20" t="n"/>
      <c r="V760" s="70">
        <f>IF($J760="","",IFERROR(INDEX(B!$M$2:$M$61,MATCH($J760,B!$E$2:$E$61,0))&amp;"",""))</f>
        <v/>
      </c>
      <c r="W760" s="71">
        <f>IF(I760="","",IFERROR(MID(I760,FIND("/d/",I760)+3,FIND("/edit",I760)-FIND("/d/",I760)-3),I760))</f>
        <v/>
      </c>
      <c r="X760" s="71">
        <f>IF($J760="","",IFERROR(INDEX(B!$C$2:$C$61,MATCH($J760,B!$E$2:$E$61,0))&amp;"",""))</f>
        <v/>
      </c>
      <c r="Y760" s="20" t="n"/>
      <c r="Z760" s="72">
        <f>IF($J760="",FALSE,ISNUMBER(SEARCH("scout",$K760)))</f>
        <v/>
      </c>
      <c r="AA760" s="72">
        <f>IF($J760="",FALSE,IFERROR(INDEX(B!$N$2:$N$61,MATCH($J760,B!$E$2:$E$61,0))="Sim",FALSE))</f>
        <v/>
      </c>
      <c r="AB760" s="72">
        <f>IF($J760="",FALSE,LEFT($X760,2)="XX")</f>
        <v/>
      </c>
      <c r="AC760" s="72">
        <f>IF($J760="",FALSE,IFERROR(INDEX(B!$P$2:$P$61,MATCH($J760,B!$E$2:$E$61,0))="Sim",FALSE))</f>
        <v/>
      </c>
      <c r="AD760" s="20" t="n"/>
      <c r="AE760" s="52">
        <f>IF(H760="","",HOUR(H760))</f>
        <v/>
      </c>
      <c r="AF760" s="52" t="n"/>
    </row>
    <row r="761" ht="19.5" customHeight="1" s="58">
      <c r="A761" s="62">
        <f>IF(G761="","",IF(G761=G760,"",COUNTIF($G$3:$G$976,G761)))</f>
        <v/>
      </c>
      <c r="B761" s="20" t="n"/>
      <c r="C761" s="63">
        <f>IF(G761="","",DAY(G761))</f>
        <v/>
      </c>
      <c r="D761" s="63">
        <f>IF(G761="","",MONTH(G761))</f>
        <v/>
      </c>
      <c r="E761" s="63">
        <f>IF(G761="","",YEAR(G761))</f>
        <v/>
      </c>
      <c r="F761" s="33">
        <f>IF(G761="","",CHOOSE(MONTH(G761),"Janeiro","Fevereiro","Março","Abril","Maio","Junho","Julho","Agosto","Setembro","Outubro","Novembro","Dezembro"))</f>
        <v/>
      </c>
      <c r="G761" s="64" t="n">
        <v>46077</v>
      </c>
      <c r="H761" s="65" t="n">
        <v>0.0434375</v>
      </c>
      <c r="I761" s="66" t="inlineStr">
        <is>
          <t>https://docs.google.com/spreadsheets/d/1ZiCGoPjLCjuYvujDTXK9Ixbth3tekiLtFBzBrGjPCr4/edit?gid=0#gid=0</t>
        </is>
      </c>
      <c r="J761" s="67" t="inlineStr">
        <is>
          <t>Taxa de Limpeza, Reembolsado ao cliente - [TXLR]</t>
        </is>
      </c>
      <c r="K761" s="67" t="inlineStr"/>
      <c r="L761" s="68" t="b">
        <v>0</v>
      </c>
      <c r="M761" s="20" t="n"/>
      <c r="N761" s="69">
        <f>IF($J761="","",IFERROR(INDEX(B!$F$2:$F$61,MATCH($J761,B!$E$2:$E$61,0))&amp;"",""))</f>
        <v/>
      </c>
      <c r="O761" s="69">
        <f>IF($J761="","",IFERROR(INDEX(B!$G$2:$G$61,MATCH($J761,B!$E$2:$E$61,0))&amp;"",""))</f>
        <v/>
      </c>
      <c r="P761" s="69">
        <f>IF($J761="","",IFERROR(INDEX(B!$H$2:$H$61,MATCH($J761,B!$E$2:$E$61,0))&amp;"",""))</f>
        <v/>
      </c>
      <c r="Q761" s="69">
        <f>IF($J761="","",IFERROR(INDEX(B!$I$2:$I$61,MATCH($J761,B!$E$2:$E$61,0))&amp;"",""))</f>
        <v/>
      </c>
      <c r="R761" s="69">
        <f>IF($J761="","",IFERROR(INDEX(B!$J$2:$J$61,MATCH($J761,B!$E$2:$E$61,0))&amp;"",""))</f>
        <v/>
      </c>
      <c r="S761" s="69">
        <f>IF($J761="","",IFERROR(INDEX(B!$K$2:$K$61,MATCH($J761,B!$E$2:$E$61,0))&amp;"",""))</f>
        <v/>
      </c>
      <c r="T761" s="69">
        <f>IF($J761="","",IFERROR(INDEX(B!$L$2:$L$61,MATCH($J761,B!$E$2:$E$61,0))&amp;"",""))</f>
        <v/>
      </c>
      <c r="U761" s="20" t="n"/>
      <c r="V761" s="70">
        <f>IF($J761="","",IFERROR(INDEX(B!$M$2:$M$61,MATCH($J761,B!$E$2:$E$61,0))&amp;"",""))</f>
        <v/>
      </c>
      <c r="W761" s="71">
        <f>IF(I761="","",IFERROR(MID(I761,FIND("/d/",I761)+3,FIND("/edit",I761)-FIND("/d/",I761)-3),I761))</f>
        <v/>
      </c>
      <c r="X761" s="71">
        <f>IF($J761="","",IFERROR(INDEX(B!$C$2:$C$61,MATCH($J761,B!$E$2:$E$61,0))&amp;"",""))</f>
        <v/>
      </c>
      <c r="Y761" s="20" t="n"/>
      <c r="Z761" s="72">
        <f>IF($J761="",FALSE,ISNUMBER(SEARCH("scout",$K761)))</f>
        <v/>
      </c>
      <c r="AA761" s="72">
        <f>IF($J761="",FALSE,IFERROR(INDEX(B!$N$2:$N$61,MATCH($J761,B!$E$2:$E$61,0))="Sim",FALSE))</f>
        <v/>
      </c>
      <c r="AB761" s="72">
        <f>IF($J761="",FALSE,LEFT($X761,2)="XX")</f>
        <v/>
      </c>
      <c r="AC761" s="72">
        <f>IF($J761="",FALSE,IFERROR(INDEX(B!$P$2:$P$61,MATCH($J761,B!$E$2:$E$61,0))="Sim",FALSE))</f>
        <v/>
      </c>
      <c r="AD761" s="20" t="n"/>
      <c r="AE761" s="52">
        <f>IF(H761="","",HOUR(H761))</f>
        <v/>
      </c>
      <c r="AF761" s="52" t="n"/>
    </row>
    <row r="762" ht="19.5" customHeight="1" s="58">
      <c r="A762" s="62">
        <f>IF(G762="","",IF(G762=G761,"",COUNTIF($G$3:$G$976,G762)))</f>
        <v/>
      </c>
      <c r="B762" s="20" t="n"/>
      <c r="C762" s="63">
        <f>IF(G762="","",DAY(G762))</f>
        <v/>
      </c>
      <c r="D762" s="63">
        <f>IF(G762="","",MONTH(G762))</f>
        <v/>
      </c>
      <c r="E762" s="63">
        <f>IF(G762="","",YEAR(G762))</f>
        <v/>
      </c>
      <c r="F762" s="33">
        <f>IF(G762="","",CHOOSE(MONTH(G762),"Janeiro","Fevereiro","Março","Abril","Maio","Junho","Julho","Agosto","Setembro","Outubro","Novembro","Dezembro"))</f>
        <v/>
      </c>
      <c r="G762" s="64" t="n">
        <v>46077</v>
      </c>
      <c r="H762" s="65" t="n">
        <v>0.04971064814814815</v>
      </c>
      <c r="I762" s="66" t="inlineStr">
        <is>
          <t>https://docs.google.com/spreadsheets/d/1ZiCGoPjLCjuYvujDTXK9Ixbth3tekiLtFBzBrGjPCr4/edit?gid=0#gid=0</t>
        </is>
      </c>
      <c r="J762" s="67" t="inlineStr">
        <is>
          <t>Não houve Taxa de Cancelamento - [NTX]</t>
        </is>
      </c>
      <c r="K762" s="67" t="inlineStr"/>
      <c r="L762" s="68" t="b">
        <v>0</v>
      </c>
      <c r="M762" s="20" t="n"/>
      <c r="N762" s="69">
        <f>IF($J762="","",IFERROR(INDEX(B!$F$2:$F$61,MATCH($J762,B!$E$2:$E$61,0))&amp;"",""))</f>
        <v/>
      </c>
      <c r="O762" s="69">
        <f>IF($J762="","",IFERROR(INDEX(B!$G$2:$G$61,MATCH($J762,B!$E$2:$E$61,0))&amp;"",""))</f>
        <v/>
      </c>
      <c r="P762" s="69">
        <f>IF($J762="","",IFERROR(INDEX(B!$H$2:$H$61,MATCH($J762,B!$E$2:$E$61,0))&amp;"",""))</f>
        <v/>
      </c>
      <c r="Q762" s="69">
        <f>IF($J762="","",IFERROR(INDEX(B!$I$2:$I$61,MATCH($J762,B!$E$2:$E$61,0))&amp;"",""))</f>
        <v/>
      </c>
      <c r="R762" s="69">
        <f>IF($J762="","",IFERROR(INDEX(B!$J$2:$J$61,MATCH($J762,B!$E$2:$E$61,0))&amp;"",""))</f>
        <v/>
      </c>
      <c r="S762" s="69">
        <f>IF($J762="","",IFERROR(INDEX(B!$K$2:$K$61,MATCH($J762,B!$E$2:$E$61,0))&amp;"",""))</f>
        <v/>
      </c>
      <c r="T762" s="69">
        <f>IF($J762="","",IFERROR(INDEX(B!$L$2:$L$61,MATCH($J762,B!$E$2:$E$61,0))&amp;"",""))</f>
        <v/>
      </c>
      <c r="U762" s="20" t="n"/>
      <c r="V762" s="70">
        <f>IF($J762="","",IFERROR(INDEX(B!$M$2:$M$61,MATCH($J762,B!$E$2:$E$61,0))&amp;"",""))</f>
        <v/>
      </c>
      <c r="W762" s="71">
        <f>IF(I762="","",IFERROR(MID(I762,FIND("/d/",I762)+3,FIND("/edit",I762)-FIND("/d/",I762)-3),I762))</f>
        <v/>
      </c>
      <c r="X762" s="71">
        <f>IF($J762="","",IFERROR(INDEX(B!$C$2:$C$61,MATCH($J762,B!$E$2:$E$61,0))&amp;"",""))</f>
        <v/>
      </c>
      <c r="Y762" s="20" t="n"/>
      <c r="Z762" s="72">
        <f>IF($J762="",FALSE,ISNUMBER(SEARCH("scout",$K762)))</f>
        <v/>
      </c>
      <c r="AA762" s="72">
        <f>IF($J762="",FALSE,IFERROR(INDEX(B!$N$2:$N$61,MATCH($J762,B!$E$2:$E$61,0))="Sim",FALSE))</f>
        <v/>
      </c>
      <c r="AB762" s="72">
        <f>IF($J762="",FALSE,LEFT($X762,2)="XX")</f>
        <v/>
      </c>
      <c r="AC762" s="72">
        <f>IF($J762="",FALSE,IFERROR(INDEX(B!$P$2:$P$61,MATCH($J762,B!$E$2:$E$61,0))="Sim",FALSE))</f>
        <v/>
      </c>
      <c r="AD762" s="20" t="n"/>
      <c r="AE762" s="52">
        <f>IF(H762="","",HOUR(H762))</f>
        <v/>
      </c>
      <c r="AF762" s="52" t="n"/>
    </row>
    <row r="763" ht="19.5" customHeight="1" s="58">
      <c r="A763" s="62">
        <f>IF(G763="","",IF(G763=G762,"",COUNTIF($G$3:$G$976,G763)))</f>
        <v/>
      </c>
      <c r="B763" s="20" t="n"/>
      <c r="C763" s="63">
        <f>IF(G763="","",DAY(G763))</f>
        <v/>
      </c>
      <c r="D763" s="63">
        <f>IF(G763="","",MONTH(G763))</f>
        <v/>
      </c>
      <c r="E763" s="63">
        <f>IF(G763="","",YEAR(G763))</f>
        <v/>
      </c>
      <c r="F763" s="33">
        <f>IF(G763="","",CHOOSE(MONTH(G763),"Janeiro","Fevereiro","Março","Abril","Maio","Junho","Julho","Agosto","Setembro","Outubro","Novembro","Dezembro"))</f>
        <v/>
      </c>
      <c r="G763" s="64" t="n">
        <v>46077</v>
      </c>
      <c r="H763" s="65" t="n">
        <v>0.05557870370370371</v>
      </c>
      <c r="I763" s="66" t="inlineStr">
        <is>
          <t>https://docs.google.com/spreadsheets/d/1ZiCGoPjLCjuYvujDTXK9Ixbth3tekiLtFBzBrGjPCr4/edit?gid=0#gid=0</t>
        </is>
      </c>
      <c r="J763" s="67" t="inlineStr">
        <is>
          <t>Overpaid, Excede o limite Com comprovante - [OPEC]</t>
        </is>
      </c>
      <c r="K763" s="67" t="inlineStr"/>
      <c r="L763" s="68" t="b">
        <v>0</v>
      </c>
      <c r="M763" s="20" t="n"/>
      <c r="N763" s="69">
        <f>IF($J763="","",IFERROR(INDEX(B!$F$2:$F$61,MATCH($J763,B!$E$2:$E$61,0))&amp;"",""))</f>
        <v/>
      </c>
      <c r="O763" s="69">
        <f>IF($J763="","",IFERROR(INDEX(B!$G$2:$G$61,MATCH($J763,B!$E$2:$E$61,0))&amp;"",""))</f>
        <v/>
      </c>
      <c r="P763" s="69">
        <f>IF($J763="","",IFERROR(INDEX(B!$H$2:$H$61,MATCH($J763,B!$E$2:$E$61,0))&amp;"",""))</f>
        <v/>
      </c>
      <c r="Q763" s="69">
        <f>IF($J763="","",IFERROR(INDEX(B!$I$2:$I$61,MATCH($J763,B!$E$2:$E$61,0))&amp;"",""))</f>
        <v/>
      </c>
      <c r="R763" s="69">
        <f>IF($J763="","",IFERROR(INDEX(B!$J$2:$J$61,MATCH($J763,B!$E$2:$E$61,0))&amp;"",""))</f>
        <v/>
      </c>
      <c r="S763" s="69">
        <f>IF($J763="","",IFERROR(INDEX(B!$K$2:$K$61,MATCH($J763,B!$E$2:$E$61,0))&amp;"",""))</f>
        <v/>
      </c>
      <c r="T763" s="69">
        <f>IF($J763="","",IFERROR(INDEX(B!$L$2:$L$61,MATCH($J763,B!$E$2:$E$61,0))&amp;"",""))</f>
        <v/>
      </c>
      <c r="U763" s="20" t="n"/>
      <c r="V763" s="70">
        <f>IF($J763="","",IFERROR(INDEX(B!$M$2:$M$61,MATCH($J763,B!$E$2:$E$61,0))&amp;"",""))</f>
        <v/>
      </c>
      <c r="W763" s="71">
        <f>IF(I763="","",IFERROR(MID(I763,FIND("/d/",I763)+3,FIND("/edit",I763)-FIND("/d/",I763)-3),I763))</f>
        <v/>
      </c>
      <c r="X763" s="71">
        <f>IF($J763="","",IFERROR(INDEX(B!$C$2:$C$61,MATCH($J763,B!$E$2:$E$61,0))&amp;"",""))</f>
        <v/>
      </c>
      <c r="Y763" s="20" t="n"/>
      <c r="Z763" s="72">
        <f>IF($J763="",FALSE,ISNUMBER(SEARCH("scout",$K763)))</f>
        <v/>
      </c>
      <c r="AA763" s="72">
        <f>IF($J763="",FALSE,IFERROR(INDEX(B!$N$2:$N$61,MATCH($J763,B!$E$2:$E$61,0))="Sim",FALSE))</f>
        <v/>
      </c>
      <c r="AB763" s="72">
        <f>IF($J763="",FALSE,LEFT($X763,2)="XX")</f>
        <v/>
      </c>
      <c r="AC763" s="72">
        <f>IF($J763="",FALSE,IFERROR(INDEX(B!$P$2:$P$61,MATCH($J763,B!$E$2:$E$61,0))="Sim",FALSE))</f>
        <v/>
      </c>
      <c r="AD763" s="20" t="n"/>
      <c r="AE763" s="52">
        <f>IF(H763="","",HOUR(H763))</f>
        <v/>
      </c>
      <c r="AF763" s="52" t="n"/>
    </row>
    <row r="764" ht="19.5" customHeight="1" s="58">
      <c r="A764" s="62">
        <f>IF(G764="","",IF(G764=G763,"",COUNTIF($G$3:$G$976,G764)))</f>
        <v/>
      </c>
      <c r="B764" s="20" t="n"/>
      <c r="C764" s="63">
        <f>IF(G764="","",DAY(G764))</f>
        <v/>
      </c>
      <c r="D764" s="63">
        <f>IF(G764="","",MONTH(G764))</f>
        <v/>
      </c>
      <c r="E764" s="63">
        <f>IF(G764="","",YEAR(G764))</f>
        <v/>
      </c>
      <c r="F764" s="33">
        <f>IF(G764="","",CHOOSE(MONTH(G764),"Janeiro","Fevereiro","Março","Abril","Maio","Junho","Julho","Agosto","Setembro","Outubro","Novembro","Dezembro"))</f>
        <v/>
      </c>
      <c r="G764" s="64" t="n">
        <v>46077</v>
      </c>
      <c r="H764" s="65" t="n">
        <v>0.06136574074074074</v>
      </c>
      <c r="I764" s="66" t="inlineStr">
        <is>
          <t>https://docs.google.com/spreadsheets/d/1ZiCGoPjLCjuYvujDTXK9Ixbth3tekiLtFBzBrGjPCr4/edit?gid=0#gid=0</t>
        </is>
      </c>
      <c r="J764" s="67" t="inlineStr">
        <is>
          <t>Pushback - [XX]</t>
        </is>
      </c>
      <c r="K764" s="67" t="inlineStr"/>
      <c r="L764" s="68" t="b">
        <v>0</v>
      </c>
      <c r="M764" s="20" t="n"/>
      <c r="N764" s="69">
        <f>IF($J764="","",IFERROR(INDEX(B!$F$2:$F$61,MATCH($J764,B!$E$2:$E$61,0))&amp;"",""))</f>
        <v/>
      </c>
      <c r="O764" s="69">
        <f>IF($J764="","",IFERROR(INDEX(B!$G$2:$G$61,MATCH($J764,B!$E$2:$E$61,0))&amp;"",""))</f>
        <v/>
      </c>
      <c r="P764" s="69">
        <f>IF($J764="","",IFERROR(INDEX(B!$H$2:$H$61,MATCH($J764,B!$E$2:$E$61,0))&amp;"",""))</f>
        <v/>
      </c>
      <c r="Q764" s="69">
        <f>IF($J764="","",IFERROR(INDEX(B!$I$2:$I$61,MATCH($J764,B!$E$2:$E$61,0))&amp;"",""))</f>
        <v/>
      </c>
      <c r="R764" s="69">
        <f>IF($J764="","",IFERROR(INDEX(B!$J$2:$J$61,MATCH($J764,B!$E$2:$E$61,0))&amp;"",""))</f>
        <v/>
      </c>
      <c r="S764" s="69">
        <f>IF($J764="","",IFERROR(INDEX(B!$K$2:$K$61,MATCH($J764,B!$E$2:$E$61,0))&amp;"",""))</f>
        <v/>
      </c>
      <c r="T764" s="69">
        <f>IF($J764="","",IFERROR(INDEX(B!$L$2:$L$61,MATCH($J764,B!$E$2:$E$61,0))&amp;"",""))</f>
        <v/>
      </c>
      <c r="U764" s="20" t="n"/>
      <c r="V764" s="70">
        <f>IF($J764="","",IFERROR(INDEX(B!$M$2:$M$61,MATCH($J764,B!$E$2:$E$61,0))&amp;"",""))</f>
        <v/>
      </c>
      <c r="W764" s="71">
        <f>IF(I764="","",IFERROR(MID(I764,FIND("/d/",I764)+3,FIND("/edit",I764)-FIND("/d/",I764)-3),I764))</f>
        <v/>
      </c>
      <c r="X764" s="71">
        <f>IF($J764="","",IFERROR(INDEX(B!$C$2:$C$61,MATCH($J764,B!$E$2:$E$61,0))&amp;"",""))</f>
        <v/>
      </c>
      <c r="Y764" s="20" t="n"/>
      <c r="Z764" s="72">
        <f>IF($J764="",FALSE,ISNUMBER(SEARCH("scout",$K764)))</f>
        <v/>
      </c>
      <c r="AA764" s="72">
        <f>IF($J764="",FALSE,IFERROR(INDEX(B!$N$2:$N$61,MATCH($J764,B!$E$2:$E$61,0))="Sim",FALSE))</f>
        <v/>
      </c>
      <c r="AB764" s="72">
        <f>IF($J764="",FALSE,LEFT($X764,2)="XX")</f>
        <v/>
      </c>
      <c r="AC764" s="72">
        <f>IF($J764="",FALSE,IFERROR(INDEX(B!$P$2:$P$61,MATCH($J764,B!$E$2:$E$61,0))="Sim",FALSE))</f>
        <v/>
      </c>
      <c r="AD764" s="20" t="n"/>
      <c r="AE764" s="52">
        <f>IF(H764="","",HOUR(H764))</f>
        <v/>
      </c>
      <c r="AF764" s="52" t="n"/>
    </row>
    <row r="765" ht="19.5" customHeight="1" s="58">
      <c r="A765" s="62">
        <f>IF(G765="","",IF(G765=G764,"",COUNTIF($G$3:$G$976,G765)))</f>
        <v/>
      </c>
      <c r="B765" s="20" t="n"/>
      <c r="C765" s="63">
        <f>IF(G765="","",DAY(G765))</f>
        <v/>
      </c>
      <c r="D765" s="63">
        <f>IF(G765="","",MONTH(G765))</f>
        <v/>
      </c>
      <c r="E765" s="63">
        <f>IF(G765="","",YEAR(G765))</f>
        <v/>
      </c>
      <c r="F765" s="33">
        <f>IF(G765="","",CHOOSE(MONTH(G765),"Janeiro","Fevereiro","Março","Abril","Maio","Junho","Julho","Agosto","Setembro","Outubro","Novembro","Dezembro"))</f>
        <v/>
      </c>
      <c r="G765" s="64" t="n">
        <v>46077</v>
      </c>
      <c r="H765" s="65" t="n">
        <v>0.06403935185185185</v>
      </c>
      <c r="I765" s="66" t="inlineStr">
        <is>
          <t>https://docs.google.com/spreadsheets/d/1ZiCGoPjLCjuYvujDTXK9Ixbth3tekiLtFBzBrGjPCr4/edit?gid=0#gid=0</t>
        </is>
      </c>
      <c r="J765" s="67" t="inlineStr">
        <is>
          <t>Mais informações (Quanto Pagou?) - [AAV]</t>
        </is>
      </c>
      <c r="K765" s="67" t="inlineStr"/>
      <c r="L765" s="68" t="b">
        <v>0</v>
      </c>
      <c r="M765" s="20" t="n"/>
      <c r="N765" s="69">
        <f>IF($J765="","",IFERROR(INDEX(B!$F$2:$F$61,MATCH($J765,B!$E$2:$E$61,0))&amp;"",""))</f>
        <v/>
      </c>
      <c r="O765" s="69">
        <f>IF($J765="","",IFERROR(INDEX(B!$G$2:$G$61,MATCH($J765,B!$E$2:$E$61,0))&amp;"",""))</f>
        <v/>
      </c>
      <c r="P765" s="69">
        <f>IF($J765="","",IFERROR(INDEX(B!$H$2:$H$61,MATCH($J765,B!$E$2:$E$61,0))&amp;"",""))</f>
        <v/>
      </c>
      <c r="Q765" s="69">
        <f>IF($J765="","",IFERROR(INDEX(B!$I$2:$I$61,MATCH($J765,B!$E$2:$E$61,0))&amp;"",""))</f>
        <v/>
      </c>
      <c r="R765" s="69">
        <f>IF($J765="","",IFERROR(INDEX(B!$J$2:$J$61,MATCH($J765,B!$E$2:$E$61,0))&amp;"",""))</f>
        <v/>
      </c>
      <c r="S765" s="69">
        <f>IF($J765="","",IFERROR(INDEX(B!$K$2:$K$61,MATCH($J765,B!$E$2:$E$61,0))&amp;"",""))</f>
        <v/>
      </c>
      <c r="T765" s="69">
        <f>IF($J765="","",IFERROR(INDEX(B!$L$2:$L$61,MATCH($J765,B!$E$2:$E$61,0))&amp;"",""))</f>
        <v/>
      </c>
      <c r="U765" s="20" t="n"/>
      <c r="V765" s="70">
        <f>IF($J765="","",IFERROR(INDEX(B!$M$2:$M$61,MATCH($J765,B!$E$2:$E$61,0))&amp;"",""))</f>
        <v/>
      </c>
      <c r="W765" s="71">
        <f>IF(I765="","",IFERROR(MID(I765,FIND("/d/",I765)+3,FIND("/edit",I765)-FIND("/d/",I765)-3),I765))</f>
        <v/>
      </c>
      <c r="X765" s="71">
        <f>IF($J765="","",IFERROR(INDEX(B!$C$2:$C$61,MATCH($J765,B!$E$2:$E$61,0))&amp;"",""))</f>
        <v/>
      </c>
      <c r="Y765" s="20" t="n"/>
      <c r="Z765" s="72">
        <f>IF($J765="",FALSE,ISNUMBER(SEARCH("scout",$K765)))</f>
        <v/>
      </c>
      <c r="AA765" s="72">
        <f>IF($J765="",FALSE,IFERROR(INDEX(B!$N$2:$N$61,MATCH($J765,B!$E$2:$E$61,0))="Sim",FALSE))</f>
        <v/>
      </c>
      <c r="AB765" s="72">
        <f>IF($J765="",FALSE,LEFT($X765,2)="XX")</f>
        <v/>
      </c>
      <c r="AC765" s="72">
        <f>IF($J765="",FALSE,IFERROR(INDEX(B!$P$2:$P$61,MATCH($J765,B!$E$2:$E$61,0))="Sim",FALSE))</f>
        <v/>
      </c>
      <c r="AD765" s="20" t="n"/>
      <c r="AE765" s="52">
        <f>IF(H765="","",HOUR(H765))</f>
        <v/>
      </c>
      <c r="AF765" s="52" t="n"/>
    </row>
    <row r="766" ht="19.5" customHeight="1" s="58">
      <c r="A766" s="62">
        <f>IF(G766="","",IF(G766=G765,"",COUNTIF($G$3:$G$976,G766)))</f>
        <v/>
      </c>
      <c r="B766" s="20" t="n"/>
      <c r="C766" s="63">
        <f>IF(G766="","",DAY(G766))</f>
        <v/>
      </c>
      <c r="D766" s="63">
        <f>IF(G766="","",MONTH(G766))</f>
        <v/>
      </c>
      <c r="E766" s="63">
        <f>IF(G766="","",YEAR(G766))</f>
        <v/>
      </c>
      <c r="F766" s="33">
        <f>IF(G766="","",CHOOSE(MONTH(G766),"Janeiro","Fevereiro","Março","Abril","Maio","Junho","Julho","Agosto","Setembro","Outubro","Novembro","Dezembro"))</f>
        <v/>
      </c>
      <c r="G766" s="64" t="n">
        <v>46077</v>
      </c>
      <c r="H766" s="65" t="n">
        <v>0.06700231481481482</v>
      </c>
      <c r="I766" s="66" t="inlineStr">
        <is>
          <t>https://docs.google.com/spreadsheets/d/1ZiCGoPjLCjuYvujDTXK9Ixbth3tekiLtFBzBrGjPCr4/edit?gid=0#gid=0</t>
        </is>
      </c>
      <c r="J766" s="67" t="inlineStr">
        <is>
          <t>Transferência de LOB (Driver) - [TIDV]</t>
        </is>
      </c>
      <c r="K766" s="67" t="inlineStr"/>
      <c r="L766" s="68" t="b">
        <v>0</v>
      </c>
      <c r="M766" s="20" t="n"/>
      <c r="N766" s="69">
        <f>IF($J766="","",IFERROR(INDEX(B!$F$2:$F$61,MATCH($J766,B!$E$2:$E$61,0))&amp;"",""))</f>
        <v/>
      </c>
      <c r="O766" s="69">
        <f>IF($J766="","",IFERROR(INDEX(B!$G$2:$G$61,MATCH($J766,B!$E$2:$E$61,0))&amp;"",""))</f>
        <v/>
      </c>
      <c r="P766" s="69">
        <f>IF($J766="","",IFERROR(INDEX(B!$H$2:$H$61,MATCH($J766,B!$E$2:$E$61,0))&amp;"",""))</f>
        <v/>
      </c>
      <c r="Q766" s="69">
        <f>IF($J766="","",IFERROR(INDEX(B!$I$2:$I$61,MATCH($J766,B!$E$2:$E$61,0))&amp;"",""))</f>
        <v/>
      </c>
      <c r="R766" s="69">
        <f>IF($J766="","",IFERROR(INDEX(B!$J$2:$J$61,MATCH($J766,B!$E$2:$E$61,0))&amp;"",""))</f>
        <v/>
      </c>
      <c r="S766" s="69">
        <f>IF($J766="","",IFERROR(INDEX(B!$K$2:$K$61,MATCH($J766,B!$E$2:$E$61,0))&amp;"",""))</f>
        <v/>
      </c>
      <c r="T766" s="69">
        <f>IF($J766="","",IFERROR(INDEX(B!$L$2:$L$61,MATCH($J766,B!$E$2:$E$61,0))&amp;"",""))</f>
        <v/>
      </c>
      <c r="U766" s="20" t="n"/>
      <c r="V766" s="70">
        <f>IF($J766="","",IFERROR(INDEX(B!$M$2:$M$61,MATCH($J766,B!$E$2:$E$61,0))&amp;"",""))</f>
        <v/>
      </c>
      <c r="W766" s="71">
        <f>IF(I766="","",IFERROR(MID(I766,FIND("/d/",I766)+3,FIND("/edit",I766)-FIND("/d/",I766)-3),I766))</f>
        <v/>
      </c>
      <c r="X766" s="71">
        <f>IF($J766="","",IFERROR(INDEX(B!$C$2:$C$61,MATCH($J766,B!$E$2:$E$61,0))&amp;"",""))</f>
        <v/>
      </c>
      <c r="Y766" s="20" t="n"/>
      <c r="Z766" s="72">
        <f>IF($J766="",FALSE,ISNUMBER(SEARCH("scout",$K766)))</f>
        <v/>
      </c>
      <c r="AA766" s="72">
        <f>IF($J766="",FALSE,IFERROR(INDEX(B!$N$2:$N$61,MATCH($J766,B!$E$2:$E$61,0))="Sim",FALSE))</f>
        <v/>
      </c>
      <c r="AB766" s="72">
        <f>IF($J766="",FALSE,LEFT($X766,2)="XX")</f>
        <v/>
      </c>
      <c r="AC766" s="72">
        <f>IF($J766="",FALSE,IFERROR(INDEX(B!$P$2:$P$61,MATCH($J766,B!$E$2:$E$61,0))="Sim",FALSE))</f>
        <v/>
      </c>
      <c r="AD766" s="20" t="n"/>
      <c r="AE766" s="52">
        <f>IF(H766="","",HOUR(H766))</f>
        <v/>
      </c>
      <c r="AF766" s="52" t="n"/>
    </row>
    <row r="767" ht="19.5" customHeight="1" s="58">
      <c r="A767" s="62">
        <f>IF(G767="","",IF(G767=G766,"",COUNTIF($G$3:$G$976,G767)))</f>
        <v/>
      </c>
      <c r="B767" s="20" t="n"/>
      <c r="C767" s="63">
        <f>IF(G767="","",DAY(G767))</f>
        <v/>
      </c>
      <c r="D767" s="63">
        <f>IF(G767="","",MONTH(G767))</f>
        <v/>
      </c>
      <c r="E767" s="63">
        <f>IF(G767="","",YEAR(G767))</f>
        <v/>
      </c>
      <c r="F767" s="33">
        <f>IF(G767="","",CHOOSE(MONTH(G767),"Janeiro","Fevereiro","Março","Abril","Maio","Junho","Julho","Agosto","Setembro","Outubro","Novembro","Dezembro"))</f>
        <v/>
      </c>
      <c r="G767" s="64" t="n">
        <v>46077</v>
      </c>
      <c r="H767" s="65" t="n">
        <v>0.07168981481481482</v>
      </c>
      <c r="I767" s="66" t="inlineStr">
        <is>
          <t>https://docs.google.com/spreadsheets/d/1ZiCGoPjLCjuYvujDTXK9Ixbth3tekiLtFBzBrGjPCr4/edit?gid=0#gid=0</t>
        </is>
      </c>
      <c r="J767" s="67" t="inlineStr">
        <is>
          <t>Taxa de Limpeza - [TXL]</t>
        </is>
      </c>
      <c r="K767" s="67" t="inlineStr"/>
      <c r="L767" s="68" t="b">
        <v>0</v>
      </c>
      <c r="M767" s="20" t="n"/>
      <c r="N767" s="69">
        <f>IF($J767="","",IFERROR(INDEX(B!$F$2:$F$61,MATCH($J767,B!$E$2:$E$61,0))&amp;"",""))</f>
        <v/>
      </c>
      <c r="O767" s="69">
        <f>IF($J767="","",IFERROR(INDEX(B!$G$2:$G$61,MATCH($J767,B!$E$2:$E$61,0))&amp;"",""))</f>
        <v/>
      </c>
      <c r="P767" s="69">
        <f>IF($J767="","",IFERROR(INDEX(B!$H$2:$H$61,MATCH($J767,B!$E$2:$E$61,0))&amp;"",""))</f>
        <v/>
      </c>
      <c r="Q767" s="69">
        <f>IF($J767="","",IFERROR(INDEX(B!$I$2:$I$61,MATCH($J767,B!$E$2:$E$61,0))&amp;"",""))</f>
        <v/>
      </c>
      <c r="R767" s="69">
        <f>IF($J767="","",IFERROR(INDEX(B!$J$2:$J$61,MATCH($J767,B!$E$2:$E$61,0))&amp;"",""))</f>
        <v/>
      </c>
      <c r="S767" s="69">
        <f>IF($J767="","",IFERROR(INDEX(B!$K$2:$K$61,MATCH($J767,B!$E$2:$E$61,0))&amp;"",""))</f>
        <v/>
      </c>
      <c r="T767" s="69">
        <f>IF($J767="","",IFERROR(INDEX(B!$L$2:$L$61,MATCH($J767,B!$E$2:$E$61,0))&amp;"",""))</f>
        <v/>
      </c>
      <c r="U767" s="20" t="n"/>
      <c r="V767" s="70">
        <f>IF($J767="","",IFERROR(INDEX(B!$M$2:$M$61,MATCH($J767,B!$E$2:$E$61,0))&amp;"",""))</f>
        <v/>
      </c>
      <c r="W767" s="71">
        <f>IF(I767="","",IFERROR(MID(I767,FIND("/d/",I767)+3,FIND("/edit",I767)-FIND("/d/",I767)-3),I767))</f>
        <v/>
      </c>
      <c r="X767" s="71">
        <f>IF($J767="","",IFERROR(INDEX(B!$C$2:$C$61,MATCH($J767,B!$E$2:$E$61,0))&amp;"",""))</f>
        <v/>
      </c>
      <c r="Y767" s="20" t="n"/>
      <c r="Z767" s="72">
        <f>IF($J767="",FALSE,ISNUMBER(SEARCH("scout",$K767)))</f>
        <v/>
      </c>
      <c r="AA767" s="72">
        <f>IF($J767="",FALSE,IFERROR(INDEX(B!$N$2:$N$61,MATCH($J767,B!$E$2:$E$61,0))="Sim",FALSE))</f>
        <v/>
      </c>
      <c r="AB767" s="72">
        <f>IF($J767="",FALSE,LEFT($X767,2)="XX")</f>
        <v/>
      </c>
      <c r="AC767" s="72">
        <f>IF($J767="",FALSE,IFERROR(INDEX(B!$P$2:$P$61,MATCH($J767,B!$E$2:$E$61,0))="Sim",FALSE))</f>
        <v/>
      </c>
      <c r="AD767" s="20" t="n"/>
      <c r="AE767" s="52">
        <f>IF(H767="","",HOUR(H767))</f>
        <v/>
      </c>
      <c r="AF767" s="52" t="n"/>
    </row>
    <row r="768" ht="19.5" customHeight="1" s="58">
      <c r="A768" s="62">
        <f>IF(G768="","",IF(G768=G767,"",COUNTIF($G$3:$G$976,G768)))</f>
        <v/>
      </c>
      <c r="B768" s="20" t="n"/>
      <c r="C768" s="63">
        <f>IF(G768="","",DAY(G768))</f>
        <v/>
      </c>
      <c r="D768" s="63">
        <f>IF(G768="","",MONTH(G768))</f>
        <v/>
      </c>
      <c r="E768" s="63">
        <f>IF(G768="","",YEAR(G768))</f>
        <v/>
      </c>
      <c r="F768" s="33">
        <f>IF(G768="","",CHOOSE(MONTH(G768),"Janeiro","Fevereiro","Março","Abril","Maio","Junho","Julho","Agosto","Setembro","Outubro","Novembro","Dezembro"))</f>
        <v/>
      </c>
      <c r="G768" s="64" t="n">
        <v>46077</v>
      </c>
      <c r="H768" s="65" t="n">
        <v>0.08119212962962963</v>
      </c>
      <c r="I768" s="66" t="inlineStr">
        <is>
          <t>https://docs.google.com/spreadsheets/d/1ZiCGoPjLCjuYvujDTXK9Ixbth3tekiLtFBzBrGjPCr4/edit?gid=0#gid=0</t>
        </is>
      </c>
      <c r="J768" s="67" t="inlineStr">
        <is>
          <t>Taxa de Limpeza, Reembolsado ao cliente - [TXLR]</t>
        </is>
      </c>
      <c r="K768" s="67" t="inlineStr"/>
      <c r="L768" s="68" t="b">
        <v>1</v>
      </c>
      <c r="M768" s="20" t="n"/>
      <c r="N768" s="69">
        <f>IF($J768="","",IFERROR(INDEX(B!$F$2:$F$61,MATCH($J768,B!$E$2:$E$61,0))&amp;"",""))</f>
        <v/>
      </c>
      <c r="O768" s="69">
        <f>IF($J768="","",IFERROR(INDEX(B!$G$2:$G$61,MATCH($J768,B!$E$2:$E$61,0))&amp;"",""))</f>
        <v/>
      </c>
      <c r="P768" s="69">
        <f>IF($J768="","",IFERROR(INDEX(B!$H$2:$H$61,MATCH($J768,B!$E$2:$E$61,0))&amp;"",""))</f>
        <v/>
      </c>
      <c r="Q768" s="69">
        <f>IF($J768="","",IFERROR(INDEX(B!$I$2:$I$61,MATCH($J768,B!$E$2:$E$61,0))&amp;"",""))</f>
        <v/>
      </c>
      <c r="R768" s="69">
        <f>IF($J768="","",IFERROR(INDEX(B!$J$2:$J$61,MATCH($J768,B!$E$2:$E$61,0))&amp;"",""))</f>
        <v/>
      </c>
      <c r="S768" s="69">
        <f>IF($J768="","",IFERROR(INDEX(B!$K$2:$K$61,MATCH($J768,B!$E$2:$E$61,0))&amp;"",""))</f>
        <v/>
      </c>
      <c r="T768" s="69">
        <f>IF($J768="","",IFERROR(INDEX(B!$L$2:$L$61,MATCH($J768,B!$E$2:$E$61,0))&amp;"",""))</f>
        <v/>
      </c>
      <c r="U768" s="20" t="n"/>
      <c r="V768" s="70">
        <f>IF($J768="","",IFERROR(INDEX(B!$M$2:$M$61,MATCH($J768,B!$E$2:$E$61,0))&amp;"",""))</f>
        <v/>
      </c>
      <c r="W768" s="71">
        <f>IF(I768="","",IFERROR(MID(I768,FIND("/d/",I768)+3,FIND("/edit",I768)-FIND("/d/",I768)-3),I768))</f>
        <v/>
      </c>
      <c r="X768" s="71">
        <f>IF($J768="","",IFERROR(INDEX(B!$C$2:$C$61,MATCH($J768,B!$E$2:$E$61,0))&amp;"",""))</f>
        <v/>
      </c>
      <c r="Y768" s="20" t="n"/>
      <c r="Z768" s="72">
        <f>IF($J768="",FALSE,ISNUMBER(SEARCH("scout",$K768)))</f>
        <v/>
      </c>
      <c r="AA768" s="72">
        <f>IF($J768="",FALSE,IFERROR(INDEX(B!$N$2:$N$61,MATCH($J768,B!$E$2:$E$61,0))="Sim",FALSE))</f>
        <v/>
      </c>
      <c r="AB768" s="72">
        <f>IF($J768="",FALSE,LEFT($X768,2)="XX")</f>
        <v/>
      </c>
      <c r="AC768" s="72">
        <f>IF($J768="",FALSE,IFERROR(INDEX(B!$P$2:$P$61,MATCH($J768,B!$E$2:$E$61,0))="Sim",FALSE))</f>
        <v/>
      </c>
      <c r="AD768" s="20" t="n"/>
      <c r="AE768" s="52">
        <f>IF(H768="","",HOUR(H768))</f>
        <v/>
      </c>
      <c r="AF768" s="52" t="n"/>
    </row>
    <row r="769" ht="19.5" customHeight="1" s="58">
      <c r="A769" s="62">
        <f>IF(G769="","",IF(G769=G768,"",COUNTIF($G$3:$G$976,G769)))</f>
        <v/>
      </c>
      <c r="B769" s="20" t="n"/>
      <c r="C769" s="63">
        <f>IF(G769="","",DAY(G769))</f>
        <v/>
      </c>
      <c r="D769" s="63">
        <f>IF(G769="","",MONTH(G769))</f>
        <v/>
      </c>
      <c r="E769" s="63">
        <f>IF(G769="","",YEAR(G769))</f>
        <v/>
      </c>
      <c r="F769" s="33">
        <f>IF(G769="","",CHOOSE(MONTH(G769),"Janeiro","Fevereiro","Março","Abril","Maio","Junho","Julho","Agosto","Setembro","Outubro","Novembro","Dezembro"))</f>
        <v/>
      </c>
      <c r="G769" s="64" t="n">
        <v>46077</v>
      </c>
      <c r="H769" s="65" t="n">
        <v>0.08186342592592592</v>
      </c>
      <c r="I769" s="66" t="inlineStr">
        <is>
          <t>https://docs.google.com/spreadsheets/d/1ZiCGoPjLCjuYvujDTXK9Ixbth3tekiLtFBzBrGjPCr4/edit?gid=0#gid=0</t>
        </is>
      </c>
      <c r="J769" s="67" t="inlineStr">
        <is>
          <t>Pushback (Agradecimento) - [XXA]</t>
        </is>
      </c>
      <c r="K769" s="67" t="inlineStr"/>
      <c r="L769" s="68" t="b">
        <v>0</v>
      </c>
      <c r="M769" s="20" t="n"/>
      <c r="N769" s="69">
        <f>IF($J769="","",IFERROR(INDEX(B!$F$2:$F$61,MATCH($J769,B!$E$2:$E$61,0))&amp;"",""))</f>
        <v/>
      </c>
      <c r="O769" s="69">
        <f>IF($J769="","",IFERROR(INDEX(B!$G$2:$G$61,MATCH($J769,B!$E$2:$E$61,0))&amp;"",""))</f>
        <v/>
      </c>
      <c r="P769" s="69">
        <f>IF($J769="","",IFERROR(INDEX(B!$H$2:$H$61,MATCH($J769,B!$E$2:$E$61,0))&amp;"",""))</f>
        <v/>
      </c>
      <c r="Q769" s="69">
        <f>IF($J769="","",IFERROR(INDEX(B!$I$2:$I$61,MATCH($J769,B!$E$2:$E$61,0))&amp;"",""))</f>
        <v/>
      </c>
      <c r="R769" s="69">
        <f>IF($J769="","",IFERROR(INDEX(B!$J$2:$J$61,MATCH($J769,B!$E$2:$E$61,0))&amp;"",""))</f>
        <v/>
      </c>
      <c r="S769" s="69">
        <f>IF($J769="","",IFERROR(INDEX(B!$K$2:$K$61,MATCH($J769,B!$E$2:$E$61,0))&amp;"",""))</f>
        <v/>
      </c>
      <c r="T769" s="69">
        <f>IF($J769="","",IFERROR(INDEX(B!$L$2:$L$61,MATCH($J769,B!$E$2:$E$61,0))&amp;"",""))</f>
        <v/>
      </c>
      <c r="U769" s="20" t="n"/>
      <c r="V769" s="70">
        <f>IF($J769="","",IFERROR(INDEX(B!$M$2:$M$61,MATCH($J769,B!$E$2:$E$61,0))&amp;"",""))</f>
        <v/>
      </c>
      <c r="W769" s="71">
        <f>IF(I769="","",IFERROR(MID(I769,FIND("/d/",I769)+3,FIND("/edit",I769)-FIND("/d/",I769)-3),I769))</f>
        <v/>
      </c>
      <c r="X769" s="71">
        <f>IF($J769="","",IFERROR(INDEX(B!$C$2:$C$61,MATCH($J769,B!$E$2:$E$61,0))&amp;"",""))</f>
        <v/>
      </c>
      <c r="Y769" s="20" t="n"/>
      <c r="Z769" s="72">
        <f>IF($J769="",FALSE,ISNUMBER(SEARCH("scout",$K769)))</f>
        <v/>
      </c>
      <c r="AA769" s="72">
        <f>IF($J769="",FALSE,IFERROR(INDEX(B!$N$2:$N$61,MATCH($J769,B!$E$2:$E$61,0))="Sim",FALSE))</f>
        <v/>
      </c>
      <c r="AB769" s="72">
        <f>IF($J769="",FALSE,LEFT($X769,2)="XX")</f>
        <v/>
      </c>
      <c r="AC769" s="72">
        <f>IF($J769="",FALSE,IFERROR(INDEX(B!$P$2:$P$61,MATCH($J769,B!$E$2:$E$61,0))="Sim",FALSE))</f>
        <v/>
      </c>
      <c r="AD769" s="20" t="n"/>
      <c r="AE769" s="52">
        <f>IF(H769="","",HOUR(H769))</f>
        <v/>
      </c>
      <c r="AF769" s="52" t="n"/>
    </row>
    <row r="770" ht="19.5" customHeight="1" s="58">
      <c r="A770" s="62">
        <f>IF(G770="","",IF(G770=G769,"",COUNTIF($G$3:$G$976,G770)))</f>
        <v/>
      </c>
      <c r="B770" s="20" t="n"/>
      <c r="C770" s="63">
        <f>IF(G770="","",DAY(G770))</f>
        <v/>
      </c>
      <c r="D770" s="63">
        <f>IF(G770="","",MONTH(G770))</f>
        <v/>
      </c>
      <c r="E770" s="63">
        <f>IF(G770="","",YEAR(G770))</f>
        <v/>
      </c>
      <c r="F770" s="33">
        <f>IF(G770="","",CHOOSE(MONTH(G770),"Janeiro","Fevereiro","Março","Abril","Maio","Junho","Julho","Agosto","Setembro","Outubro","Novembro","Dezembro"))</f>
        <v/>
      </c>
      <c r="G770" s="64" t="n">
        <v>46077</v>
      </c>
      <c r="H770" s="65" t="n">
        <v>0.08305555555555555</v>
      </c>
      <c r="I770" s="66" t="inlineStr">
        <is>
          <t>https://docs.google.com/spreadsheets/d/1ZiCGoPjLCjuYvujDTXK9Ixbth3tekiLtFBzBrGjPCr4/edit?gid=0#gid=0</t>
        </is>
      </c>
      <c r="J770" s="67" t="inlineStr">
        <is>
          <t>Transferência de LOB (Driver) - [TIDV]</t>
        </is>
      </c>
      <c r="K770" s="67" t="inlineStr"/>
      <c r="L770" s="68" t="b">
        <v>0</v>
      </c>
      <c r="M770" s="20" t="n"/>
      <c r="N770" s="69">
        <f>IF($J770="","",IFERROR(INDEX(B!$F$2:$F$61,MATCH($J770,B!$E$2:$E$61,0))&amp;"",""))</f>
        <v/>
      </c>
      <c r="O770" s="69">
        <f>IF($J770="","",IFERROR(INDEX(B!$G$2:$G$61,MATCH($J770,B!$E$2:$E$61,0))&amp;"",""))</f>
        <v/>
      </c>
      <c r="P770" s="69">
        <f>IF($J770="","",IFERROR(INDEX(B!$H$2:$H$61,MATCH($J770,B!$E$2:$E$61,0))&amp;"",""))</f>
        <v/>
      </c>
      <c r="Q770" s="69">
        <f>IF($J770="","",IFERROR(INDEX(B!$I$2:$I$61,MATCH($J770,B!$E$2:$E$61,0))&amp;"",""))</f>
        <v/>
      </c>
      <c r="R770" s="69">
        <f>IF($J770="","",IFERROR(INDEX(B!$J$2:$J$61,MATCH($J770,B!$E$2:$E$61,0))&amp;"",""))</f>
        <v/>
      </c>
      <c r="S770" s="69">
        <f>IF($J770="","",IFERROR(INDEX(B!$K$2:$K$61,MATCH($J770,B!$E$2:$E$61,0))&amp;"",""))</f>
        <v/>
      </c>
      <c r="T770" s="69">
        <f>IF($J770="","",IFERROR(INDEX(B!$L$2:$L$61,MATCH($J770,B!$E$2:$E$61,0))&amp;"",""))</f>
        <v/>
      </c>
      <c r="U770" s="20" t="n"/>
      <c r="V770" s="70">
        <f>IF($J770="","",IFERROR(INDEX(B!$M$2:$M$61,MATCH($J770,B!$E$2:$E$61,0))&amp;"",""))</f>
        <v/>
      </c>
      <c r="W770" s="71">
        <f>IF(I770="","",IFERROR(MID(I770,FIND("/d/",I770)+3,FIND("/edit",I770)-FIND("/d/",I770)-3),I770))</f>
        <v/>
      </c>
      <c r="X770" s="71">
        <f>IF($J770="","",IFERROR(INDEX(B!$C$2:$C$61,MATCH($J770,B!$E$2:$E$61,0))&amp;"",""))</f>
        <v/>
      </c>
      <c r="Y770" s="20" t="n"/>
      <c r="Z770" s="72">
        <f>IF($J770="",FALSE,ISNUMBER(SEARCH("scout",$K770)))</f>
        <v/>
      </c>
      <c r="AA770" s="72">
        <f>IF($J770="",FALSE,IFERROR(INDEX(B!$N$2:$N$61,MATCH($J770,B!$E$2:$E$61,0))="Sim",FALSE))</f>
        <v/>
      </c>
      <c r="AB770" s="72">
        <f>IF($J770="",FALSE,LEFT($X770,2)="XX")</f>
        <v/>
      </c>
      <c r="AC770" s="72">
        <f>IF($J770="",FALSE,IFERROR(INDEX(B!$P$2:$P$61,MATCH($J770,B!$E$2:$E$61,0))="Sim",FALSE))</f>
        <v/>
      </c>
      <c r="AD770" s="20" t="n"/>
      <c r="AE770" s="52">
        <f>IF(H770="","",HOUR(H770))</f>
        <v/>
      </c>
      <c r="AF770" s="52" t="n"/>
    </row>
    <row r="771" ht="19.5" customHeight="1" s="58">
      <c r="A771" s="62">
        <f>IF(G771="","",IF(G771=G770,"",COUNTIF($G$3:$G$976,G771)))</f>
        <v/>
      </c>
      <c r="B771" s="20" t="n"/>
      <c r="C771" s="63">
        <f>IF(G771="","",DAY(G771))</f>
        <v/>
      </c>
      <c r="D771" s="63">
        <f>IF(G771="","",MONTH(G771))</f>
        <v/>
      </c>
      <c r="E771" s="63">
        <f>IF(G771="","",YEAR(G771))</f>
        <v/>
      </c>
      <c r="F771" s="33">
        <f>IF(G771="","",CHOOSE(MONTH(G771),"Janeiro","Fevereiro","Março","Abril","Maio","Junho","Julho","Agosto","Setembro","Outubro","Novembro","Dezembro"))</f>
        <v/>
      </c>
      <c r="G771" s="64" t="n">
        <v>46077</v>
      </c>
      <c r="H771" s="65" t="n">
        <v>0.08679398148148149</v>
      </c>
      <c r="I771" s="66" t="inlineStr">
        <is>
          <t>https://docs.google.com/spreadsheets/d/1ZiCGoPjLCjuYvujDTXK9Ixbth3tekiLtFBzBrGjPCr4/edit?gid=0#gid=0</t>
        </is>
      </c>
      <c r="J771" s="67" t="inlineStr">
        <is>
          <t>Overpaid, Excede o limite Com comprovante - [OPEC]</t>
        </is>
      </c>
      <c r="K771" s="67" t="inlineStr"/>
      <c r="L771" s="68" t="b">
        <v>1</v>
      </c>
      <c r="M771" s="20" t="n"/>
      <c r="N771" s="69">
        <f>IF($J771="","",IFERROR(INDEX(B!$F$2:$F$61,MATCH($J771,B!$E$2:$E$61,0))&amp;"",""))</f>
        <v/>
      </c>
      <c r="O771" s="69">
        <f>IF($J771="","",IFERROR(INDEX(B!$G$2:$G$61,MATCH($J771,B!$E$2:$E$61,0))&amp;"",""))</f>
        <v/>
      </c>
      <c r="P771" s="69">
        <f>IF($J771="","",IFERROR(INDEX(B!$H$2:$H$61,MATCH($J771,B!$E$2:$E$61,0))&amp;"",""))</f>
        <v/>
      </c>
      <c r="Q771" s="69">
        <f>IF($J771="","",IFERROR(INDEX(B!$I$2:$I$61,MATCH($J771,B!$E$2:$E$61,0))&amp;"",""))</f>
        <v/>
      </c>
      <c r="R771" s="69">
        <f>IF($J771="","",IFERROR(INDEX(B!$J$2:$J$61,MATCH($J771,B!$E$2:$E$61,0))&amp;"",""))</f>
        <v/>
      </c>
      <c r="S771" s="69">
        <f>IF($J771="","",IFERROR(INDEX(B!$K$2:$K$61,MATCH($J771,B!$E$2:$E$61,0))&amp;"",""))</f>
        <v/>
      </c>
      <c r="T771" s="69">
        <f>IF($J771="","",IFERROR(INDEX(B!$L$2:$L$61,MATCH($J771,B!$E$2:$E$61,0))&amp;"",""))</f>
        <v/>
      </c>
      <c r="U771" s="20" t="n"/>
      <c r="V771" s="70">
        <f>IF($J771="","",IFERROR(INDEX(B!$M$2:$M$61,MATCH($J771,B!$E$2:$E$61,0))&amp;"",""))</f>
        <v/>
      </c>
      <c r="W771" s="71">
        <f>IF(I771="","",IFERROR(MID(I771,FIND("/d/",I771)+3,FIND("/edit",I771)-FIND("/d/",I771)-3),I771))</f>
        <v/>
      </c>
      <c r="X771" s="71">
        <f>IF($J771="","",IFERROR(INDEX(B!$C$2:$C$61,MATCH($J771,B!$E$2:$E$61,0))&amp;"",""))</f>
        <v/>
      </c>
      <c r="Y771" s="20" t="n"/>
      <c r="Z771" s="72">
        <f>IF($J771="",FALSE,ISNUMBER(SEARCH("scout",$K771)))</f>
        <v/>
      </c>
      <c r="AA771" s="72">
        <f>IF($J771="",FALSE,IFERROR(INDEX(B!$N$2:$N$61,MATCH($J771,B!$E$2:$E$61,0))="Sim",FALSE))</f>
        <v/>
      </c>
      <c r="AB771" s="72">
        <f>IF($J771="",FALSE,LEFT($X771,2)="XX")</f>
        <v/>
      </c>
      <c r="AC771" s="72">
        <f>IF($J771="",FALSE,IFERROR(INDEX(B!$P$2:$P$61,MATCH($J771,B!$E$2:$E$61,0))="Sim",FALSE))</f>
        <v/>
      </c>
      <c r="AD771" s="20" t="n"/>
      <c r="AE771" s="52">
        <f>IF(H771="","",HOUR(H771))</f>
        <v/>
      </c>
      <c r="AF771" s="52" t="n"/>
    </row>
    <row r="772" ht="19.5" customHeight="1" s="58">
      <c r="A772" s="62">
        <f>IF(G772="","",IF(G772=G771,"",COUNTIF($G$3:$G$976,G772)))</f>
        <v/>
      </c>
      <c r="B772" s="20" t="n"/>
      <c r="C772" s="63">
        <f>IF(G772="","",DAY(G772))</f>
        <v/>
      </c>
      <c r="D772" s="63">
        <f>IF(G772="","",MONTH(G772))</f>
        <v/>
      </c>
      <c r="E772" s="63">
        <f>IF(G772="","",YEAR(G772))</f>
        <v/>
      </c>
      <c r="F772" s="33">
        <f>IF(G772="","",CHOOSE(MONTH(G772),"Janeiro","Fevereiro","Março","Abril","Maio","Junho","Julho","Agosto","Setembro","Outubro","Novembro","Dezembro"))</f>
        <v/>
      </c>
      <c r="G772" s="64" t="n">
        <v>46077</v>
      </c>
      <c r="H772" s="65" t="n">
        <v>0.09177083333333333</v>
      </c>
      <c r="I772" s="66" t="inlineStr">
        <is>
          <t>https://docs.google.com/spreadsheets/d/1ZiCGoPjLCjuYvujDTXK9Ixbth3tekiLtFBzBrGjPCr4/edit?gid=0#gid=0</t>
        </is>
      </c>
      <c r="J772" s="67" t="inlineStr">
        <is>
          <t>Transferência de LOB (Geral não especificado) - [TI]</t>
        </is>
      </c>
      <c r="K772" s="67" t="inlineStr"/>
      <c r="L772" s="68" t="b">
        <v>1</v>
      </c>
      <c r="M772" s="20" t="n"/>
      <c r="N772" s="69">
        <f>IF($J772="","",IFERROR(INDEX(B!$F$2:$F$61,MATCH($J772,B!$E$2:$E$61,0))&amp;"",""))</f>
        <v/>
      </c>
      <c r="O772" s="69">
        <f>IF($J772="","",IFERROR(INDEX(B!$G$2:$G$61,MATCH($J772,B!$E$2:$E$61,0))&amp;"",""))</f>
        <v/>
      </c>
      <c r="P772" s="69">
        <f>IF($J772="","",IFERROR(INDEX(B!$H$2:$H$61,MATCH($J772,B!$E$2:$E$61,0))&amp;"",""))</f>
        <v/>
      </c>
      <c r="Q772" s="69">
        <f>IF($J772="","",IFERROR(INDEX(B!$I$2:$I$61,MATCH($J772,B!$E$2:$E$61,0))&amp;"",""))</f>
        <v/>
      </c>
      <c r="R772" s="69">
        <f>IF($J772="","",IFERROR(INDEX(B!$J$2:$J$61,MATCH($J772,B!$E$2:$E$61,0))&amp;"",""))</f>
        <v/>
      </c>
      <c r="S772" s="69">
        <f>IF($J772="","",IFERROR(INDEX(B!$K$2:$K$61,MATCH($J772,B!$E$2:$E$61,0))&amp;"",""))</f>
        <v/>
      </c>
      <c r="T772" s="69">
        <f>IF($J772="","",IFERROR(INDEX(B!$L$2:$L$61,MATCH($J772,B!$E$2:$E$61,0))&amp;"",""))</f>
        <v/>
      </c>
      <c r="U772" s="20" t="n"/>
      <c r="V772" s="70">
        <f>IF($J772="","",IFERROR(INDEX(B!$M$2:$M$61,MATCH($J772,B!$E$2:$E$61,0))&amp;"",""))</f>
        <v/>
      </c>
      <c r="W772" s="71">
        <f>IF(I772="","",IFERROR(MID(I772,FIND("/d/",I772)+3,FIND("/edit",I772)-FIND("/d/",I772)-3),I772))</f>
        <v/>
      </c>
      <c r="X772" s="71">
        <f>IF($J772="","",IFERROR(INDEX(B!$C$2:$C$61,MATCH($J772,B!$E$2:$E$61,0))&amp;"",""))</f>
        <v/>
      </c>
      <c r="Y772" s="20" t="n"/>
      <c r="Z772" s="72">
        <f>IF($J772="",FALSE,ISNUMBER(SEARCH("scout",$K772)))</f>
        <v/>
      </c>
      <c r="AA772" s="72">
        <f>IF($J772="",FALSE,IFERROR(INDEX(B!$N$2:$N$61,MATCH($J772,B!$E$2:$E$61,0))="Sim",FALSE))</f>
        <v/>
      </c>
      <c r="AB772" s="72">
        <f>IF($J772="",FALSE,LEFT($X772,2)="XX")</f>
        <v/>
      </c>
      <c r="AC772" s="72">
        <f>IF($J772="",FALSE,IFERROR(INDEX(B!$P$2:$P$61,MATCH($J772,B!$E$2:$E$61,0))="Sim",FALSE))</f>
        <v/>
      </c>
      <c r="AD772" s="20" t="n"/>
      <c r="AE772" s="52">
        <f>IF(H772="","",HOUR(H772))</f>
        <v/>
      </c>
      <c r="AF772" s="52" t="n"/>
    </row>
    <row r="773" ht="19.5" customHeight="1" s="58">
      <c r="A773" s="62">
        <f>IF(G773="","",IF(G773=G772,"",COUNTIF($G$3:$G$976,G773)))</f>
        <v/>
      </c>
      <c r="B773" s="20" t="n"/>
      <c r="C773" s="63">
        <f>IF(G773="","",DAY(G773))</f>
        <v/>
      </c>
      <c r="D773" s="63">
        <f>IF(G773="","",MONTH(G773))</f>
        <v/>
      </c>
      <c r="E773" s="63">
        <f>IF(G773="","",YEAR(G773))</f>
        <v/>
      </c>
      <c r="F773" s="33">
        <f>IF(G773="","",CHOOSE(MONTH(G773),"Janeiro","Fevereiro","Março","Abril","Maio","Junho","Julho","Agosto","Setembro","Outubro","Novembro","Dezembro"))</f>
        <v/>
      </c>
      <c r="G773" s="64" t="n">
        <v>46077</v>
      </c>
      <c r="H773" s="65" t="n">
        <v>0.09199074074074073</v>
      </c>
      <c r="I773" s="66" t="inlineStr">
        <is>
          <t>https://docs.google.com/spreadsheets/d/1ZiCGoPjLCjuYvujDTXK9Ixbth3tekiLtFBzBrGjPCr4/edit?gid=0#gid=0</t>
        </is>
      </c>
      <c r="J773" s="67" t="inlineStr">
        <is>
          <t>Overpaid, Excede o limite, Sem comprovante - [OPEN]</t>
        </is>
      </c>
      <c r="K773" s="67" t="inlineStr"/>
      <c r="L773" s="68" t="b">
        <v>0</v>
      </c>
      <c r="M773" s="20" t="n"/>
      <c r="N773" s="69">
        <f>IF($J773="","",IFERROR(INDEX(B!$F$2:$F$61,MATCH($J773,B!$E$2:$E$61,0))&amp;"",""))</f>
        <v/>
      </c>
      <c r="O773" s="69">
        <f>IF($J773="","",IFERROR(INDEX(B!$G$2:$G$61,MATCH($J773,B!$E$2:$E$61,0))&amp;"",""))</f>
        <v/>
      </c>
      <c r="P773" s="69">
        <f>IF($J773="","",IFERROR(INDEX(B!$H$2:$H$61,MATCH($J773,B!$E$2:$E$61,0))&amp;"",""))</f>
        <v/>
      </c>
      <c r="Q773" s="69">
        <f>IF($J773="","",IFERROR(INDEX(B!$I$2:$I$61,MATCH($J773,B!$E$2:$E$61,0))&amp;"",""))</f>
        <v/>
      </c>
      <c r="R773" s="69">
        <f>IF($J773="","",IFERROR(INDEX(B!$J$2:$J$61,MATCH($J773,B!$E$2:$E$61,0))&amp;"",""))</f>
        <v/>
      </c>
      <c r="S773" s="69">
        <f>IF($J773="","",IFERROR(INDEX(B!$K$2:$K$61,MATCH($J773,B!$E$2:$E$61,0))&amp;"",""))</f>
        <v/>
      </c>
      <c r="T773" s="69">
        <f>IF($J773="","",IFERROR(INDEX(B!$L$2:$L$61,MATCH($J773,B!$E$2:$E$61,0))&amp;"",""))</f>
        <v/>
      </c>
      <c r="U773" s="20" t="n"/>
      <c r="V773" s="70">
        <f>IF($J773="","",IFERROR(INDEX(B!$M$2:$M$61,MATCH($J773,B!$E$2:$E$61,0))&amp;"",""))</f>
        <v/>
      </c>
      <c r="W773" s="71">
        <f>IF(I773="","",IFERROR(MID(I773,FIND("/d/",I773)+3,FIND("/edit",I773)-FIND("/d/",I773)-3),I773))</f>
        <v/>
      </c>
      <c r="X773" s="71">
        <f>IF($J773="","",IFERROR(INDEX(B!$C$2:$C$61,MATCH($J773,B!$E$2:$E$61,0))&amp;"",""))</f>
        <v/>
      </c>
      <c r="Y773" s="20" t="n"/>
      <c r="Z773" s="72">
        <f>IF($J773="",FALSE,ISNUMBER(SEARCH("scout",$K773)))</f>
        <v/>
      </c>
      <c r="AA773" s="72">
        <f>IF($J773="",FALSE,IFERROR(INDEX(B!$N$2:$N$61,MATCH($J773,B!$E$2:$E$61,0))="Sim",FALSE))</f>
        <v/>
      </c>
      <c r="AB773" s="72">
        <f>IF($J773="",FALSE,LEFT($X773,2)="XX")</f>
        <v/>
      </c>
      <c r="AC773" s="72">
        <f>IF($J773="",FALSE,IFERROR(INDEX(B!$P$2:$P$61,MATCH($J773,B!$E$2:$E$61,0))="Sim",FALSE))</f>
        <v/>
      </c>
      <c r="AD773" s="20" t="n"/>
      <c r="AE773" s="52">
        <f>IF(H773="","",HOUR(H773))</f>
        <v/>
      </c>
      <c r="AF773" s="52" t="n"/>
    </row>
    <row r="774" ht="19.5" customHeight="1" s="58">
      <c r="A774" s="62">
        <f>IF(G774="","",IF(G774=G773,"",COUNTIF($G$3:$G$976,G774)))</f>
        <v/>
      </c>
      <c r="B774" s="20" t="n"/>
      <c r="C774" s="63">
        <f>IF(G774="","",DAY(G774))</f>
        <v/>
      </c>
      <c r="D774" s="63">
        <f>IF(G774="","",MONTH(G774))</f>
        <v/>
      </c>
      <c r="E774" s="63">
        <f>IF(G774="","",YEAR(G774))</f>
        <v/>
      </c>
      <c r="F774" s="33">
        <f>IF(G774="","",CHOOSE(MONTH(G774),"Janeiro","Fevereiro","Março","Abril","Maio","Junho","Julho","Agosto","Setembro","Outubro","Novembro","Dezembro"))</f>
        <v/>
      </c>
      <c r="G774" s="64" t="n">
        <v>46077</v>
      </c>
      <c r="H774" s="65" t="n">
        <v>0.1066550925925926</v>
      </c>
      <c r="I774" s="66" t="inlineStr">
        <is>
          <t>https://docs.google.com/spreadsheets/d/1ZiCGoPjLCjuYvujDTXK9Ixbth3tekiLtFBzBrGjPCr4/edit?gid=0#gid=0</t>
        </is>
      </c>
      <c r="J774" s="67" t="inlineStr">
        <is>
          <t>Overpaid, Não excede o limite, Sem comprovante - [OPNN]</t>
        </is>
      </c>
      <c r="K774" s="67" t="inlineStr">
        <is>
          <t>Scout</t>
        </is>
      </c>
      <c r="L774" s="68" t="b">
        <v>1</v>
      </c>
      <c r="M774" s="20" t="n"/>
      <c r="N774" s="69">
        <f>IF($J774="","",IFERROR(INDEX(B!$F$2:$F$61,MATCH($J774,B!$E$2:$E$61,0))&amp;"",""))</f>
        <v/>
      </c>
      <c r="O774" s="69">
        <f>IF($J774="","",IFERROR(INDEX(B!$G$2:$G$61,MATCH($J774,B!$E$2:$E$61,0))&amp;"",""))</f>
        <v/>
      </c>
      <c r="P774" s="69">
        <f>IF($J774="","",IFERROR(INDEX(B!$H$2:$H$61,MATCH($J774,B!$E$2:$E$61,0))&amp;"",""))</f>
        <v/>
      </c>
      <c r="Q774" s="69">
        <f>IF($J774="","",IFERROR(INDEX(B!$I$2:$I$61,MATCH($J774,B!$E$2:$E$61,0))&amp;"",""))</f>
        <v/>
      </c>
      <c r="R774" s="69">
        <f>IF($J774="","",IFERROR(INDEX(B!$J$2:$J$61,MATCH($J774,B!$E$2:$E$61,0))&amp;"",""))</f>
        <v/>
      </c>
      <c r="S774" s="69">
        <f>IF($J774="","",IFERROR(INDEX(B!$K$2:$K$61,MATCH($J774,B!$E$2:$E$61,0))&amp;"",""))</f>
        <v/>
      </c>
      <c r="T774" s="69">
        <f>IF($J774="","",IFERROR(INDEX(B!$L$2:$L$61,MATCH($J774,B!$E$2:$E$61,0))&amp;"",""))</f>
        <v/>
      </c>
      <c r="U774" s="20" t="n"/>
      <c r="V774" s="70">
        <f>IF($J774="","",IFERROR(INDEX(B!$M$2:$M$61,MATCH($J774,B!$E$2:$E$61,0))&amp;"",""))</f>
        <v/>
      </c>
      <c r="W774" s="71">
        <f>IF(I774="","",IFERROR(MID(I774,FIND("/d/",I774)+3,FIND("/edit",I774)-FIND("/d/",I774)-3),I774))</f>
        <v/>
      </c>
      <c r="X774" s="71">
        <f>IF($J774="","",IFERROR(INDEX(B!$C$2:$C$61,MATCH($J774,B!$E$2:$E$61,0))&amp;"",""))</f>
        <v/>
      </c>
      <c r="Y774" s="20" t="n"/>
      <c r="Z774" s="72">
        <f>IF($J774="",FALSE,ISNUMBER(SEARCH("scout",$K774)))</f>
        <v/>
      </c>
      <c r="AA774" s="72">
        <f>IF($J774="",FALSE,IFERROR(INDEX(B!$N$2:$N$61,MATCH($J774,B!$E$2:$E$61,0))="Sim",FALSE))</f>
        <v/>
      </c>
      <c r="AB774" s="72">
        <f>IF($J774="",FALSE,LEFT($X774,2)="XX")</f>
        <v/>
      </c>
      <c r="AC774" s="72">
        <f>IF($J774="",FALSE,IFERROR(INDEX(B!$P$2:$P$61,MATCH($J774,B!$E$2:$E$61,0))="Sim",FALSE))</f>
        <v/>
      </c>
      <c r="AD774" s="20" t="n"/>
      <c r="AE774" s="52">
        <f>IF(H774="","",HOUR(H774))</f>
        <v/>
      </c>
      <c r="AF774" s="52" t="n"/>
    </row>
    <row r="775" ht="19.5" customHeight="1" s="58">
      <c r="A775" s="62">
        <f>IF(G775="","",IF(G775=G774,"",COUNTIF($G$3:$G$976,G775)))</f>
        <v/>
      </c>
      <c r="B775" s="20" t="n"/>
      <c r="C775" s="63">
        <f>IF(G775="","",DAY(G775))</f>
        <v/>
      </c>
      <c r="D775" s="63">
        <f>IF(G775="","",MONTH(G775))</f>
        <v/>
      </c>
      <c r="E775" s="63">
        <f>IF(G775="","",YEAR(G775))</f>
        <v/>
      </c>
      <c r="F775" s="33">
        <f>IF(G775="","",CHOOSE(MONTH(G775),"Janeiro","Fevereiro","Março","Abril","Maio","Junho","Julho","Agosto","Setembro","Outubro","Novembro","Dezembro"))</f>
        <v/>
      </c>
      <c r="G775" s="64" t="n">
        <v>46077</v>
      </c>
      <c r="H775" s="65" t="n">
        <v>0.1105324074074074</v>
      </c>
      <c r="I775" s="66" t="inlineStr">
        <is>
          <t>https://docs.google.com/spreadsheets/d/1ZiCGoPjLCjuYvujDTXK9Ixbth3tekiLtFBzBrGjPCr4/edit?gid=0#gid=0</t>
        </is>
      </c>
      <c r="J775" s="67" t="inlineStr">
        <is>
          <t>Transferência de LOB (Lost Items) - [TILI]</t>
        </is>
      </c>
      <c r="K775" s="67" t="inlineStr"/>
      <c r="L775" s="68" t="b">
        <v>0</v>
      </c>
      <c r="M775" s="20" t="n"/>
      <c r="N775" s="69">
        <f>IF($J775="","",IFERROR(INDEX(B!$F$2:$F$61,MATCH($J775,B!$E$2:$E$61,0))&amp;"",""))</f>
        <v/>
      </c>
      <c r="O775" s="69">
        <f>IF($J775="","",IFERROR(INDEX(B!$G$2:$G$61,MATCH($J775,B!$E$2:$E$61,0))&amp;"",""))</f>
        <v/>
      </c>
      <c r="P775" s="69">
        <f>IF($J775="","",IFERROR(INDEX(B!$H$2:$H$61,MATCH($J775,B!$E$2:$E$61,0))&amp;"",""))</f>
        <v/>
      </c>
      <c r="Q775" s="69">
        <f>IF($J775="","",IFERROR(INDEX(B!$I$2:$I$61,MATCH($J775,B!$E$2:$E$61,0))&amp;"",""))</f>
        <v/>
      </c>
      <c r="R775" s="69">
        <f>IF($J775="","",IFERROR(INDEX(B!$J$2:$J$61,MATCH($J775,B!$E$2:$E$61,0))&amp;"",""))</f>
        <v/>
      </c>
      <c r="S775" s="69">
        <f>IF($J775="","",IFERROR(INDEX(B!$K$2:$K$61,MATCH($J775,B!$E$2:$E$61,0))&amp;"",""))</f>
        <v/>
      </c>
      <c r="T775" s="69">
        <f>IF($J775="","",IFERROR(INDEX(B!$L$2:$L$61,MATCH($J775,B!$E$2:$E$61,0))&amp;"",""))</f>
        <v/>
      </c>
      <c r="U775" s="20" t="n"/>
      <c r="V775" s="70">
        <f>IF($J775="","",IFERROR(INDEX(B!$M$2:$M$61,MATCH($J775,B!$E$2:$E$61,0))&amp;"",""))</f>
        <v/>
      </c>
      <c r="W775" s="71">
        <f>IF(I775="","",IFERROR(MID(I775,FIND("/d/",I775)+3,FIND("/edit",I775)-FIND("/d/",I775)-3),I775))</f>
        <v/>
      </c>
      <c r="X775" s="71">
        <f>IF($J775="","",IFERROR(INDEX(B!$C$2:$C$61,MATCH($J775,B!$E$2:$E$61,0))&amp;"",""))</f>
        <v/>
      </c>
      <c r="Y775" s="20" t="n"/>
      <c r="Z775" s="72">
        <f>IF($J775="",FALSE,ISNUMBER(SEARCH("scout",$K775)))</f>
        <v/>
      </c>
      <c r="AA775" s="72">
        <f>IF($J775="",FALSE,IFERROR(INDEX(B!$N$2:$N$61,MATCH($J775,B!$E$2:$E$61,0))="Sim",FALSE))</f>
        <v/>
      </c>
      <c r="AB775" s="72">
        <f>IF($J775="",FALSE,LEFT($X775,2)="XX")</f>
        <v/>
      </c>
      <c r="AC775" s="72">
        <f>IF($J775="",FALSE,IFERROR(INDEX(B!$P$2:$P$61,MATCH($J775,B!$E$2:$E$61,0))="Sim",FALSE))</f>
        <v/>
      </c>
      <c r="AD775" s="20" t="n"/>
      <c r="AE775" s="52">
        <f>IF(H775="","",HOUR(H775))</f>
        <v/>
      </c>
      <c r="AF775" s="52" t="n"/>
    </row>
    <row r="776" ht="19.5" customHeight="1" s="58">
      <c r="A776" s="62">
        <f>IF(G776="","",IF(G776=G775,"",COUNTIF($G$3:$G$976,G776)))</f>
        <v/>
      </c>
      <c r="B776" s="20" t="n"/>
      <c r="C776" s="63">
        <f>IF(G776="","",DAY(G776))</f>
        <v/>
      </c>
      <c r="D776" s="63">
        <f>IF(G776="","",MONTH(G776))</f>
        <v/>
      </c>
      <c r="E776" s="63">
        <f>IF(G776="","",YEAR(G776))</f>
        <v/>
      </c>
      <c r="F776" s="33">
        <f>IF(G776="","",CHOOSE(MONTH(G776),"Janeiro","Fevereiro","Março","Abril","Maio","Junho","Julho","Agosto","Setembro","Outubro","Novembro","Dezembro"))</f>
        <v/>
      </c>
      <c r="G776" s="64" t="n">
        <v>46077</v>
      </c>
      <c r="H776" s="65" t="n">
        <v>0.1113541666666667</v>
      </c>
      <c r="I776" s="66" t="inlineStr">
        <is>
          <t>https://docs.google.com/spreadsheets/d/1ZiCGoPjLCjuYvujDTXK9Ixbth3tekiLtFBzBrGjPCr4/edit?gid=0#gid=0</t>
        </is>
      </c>
      <c r="J776" s="67" t="inlineStr">
        <is>
          <t>Transferência de LOB (Geral não especificado) - [TI]</t>
        </is>
      </c>
      <c r="K776" s="67" t="inlineStr"/>
      <c r="L776" s="68" t="b">
        <v>0</v>
      </c>
      <c r="M776" s="20" t="n"/>
      <c r="N776" s="69">
        <f>IF($J776="","",IFERROR(INDEX(B!$F$2:$F$61,MATCH($J776,B!$E$2:$E$61,0))&amp;"",""))</f>
        <v/>
      </c>
      <c r="O776" s="69">
        <f>IF($J776="","",IFERROR(INDEX(B!$G$2:$G$61,MATCH($J776,B!$E$2:$E$61,0))&amp;"",""))</f>
        <v/>
      </c>
      <c r="P776" s="69">
        <f>IF($J776="","",IFERROR(INDEX(B!$H$2:$H$61,MATCH($J776,B!$E$2:$E$61,0))&amp;"",""))</f>
        <v/>
      </c>
      <c r="Q776" s="69">
        <f>IF($J776="","",IFERROR(INDEX(B!$I$2:$I$61,MATCH($J776,B!$E$2:$E$61,0))&amp;"",""))</f>
        <v/>
      </c>
      <c r="R776" s="69">
        <f>IF($J776="","",IFERROR(INDEX(B!$J$2:$J$61,MATCH($J776,B!$E$2:$E$61,0))&amp;"",""))</f>
        <v/>
      </c>
      <c r="S776" s="69">
        <f>IF($J776="","",IFERROR(INDEX(B!$K$2:$K$61,MATCH($J776,B!$E$2:$E$61,0))&amp;"",""))</f>
        <v/>
      </c>
      <c r="T776" s="69">
        <f>IF($J776="","",IFERROR(INDEX(B!$L$2:$L$61,MATCH($J776,B!$E$2:$E$61,0))&amp;"",""))</f>
        <v/>
      </c>
      <c r="U776" s="20" t="n"/>
      <c r="V776" s="70">
        <f>IF($J776="","",IFERROR(INDEX(B!$M$2:$M$61,MATCH($J776,B!$E$2:$E$61,0))&amp;"",""))</f>
        <v/>
      </c>
      <c r="W776" s="71">
        <f>IF(I776="","",IFERROR(MID(I776,FIND("/d/",I776)+3,FIND("/edit",I776)-FIND("/d/",I776)-3),I776))</f>
        <v/>
      </c>
      <c r="X776" s="71">
        <f>IF($J776="","",IFERROR(INDEX(B!$C$2:$C$61,MATCH($J776,B!$E$2:$E$61,0))&amp;"",""))</f>
        <v/>
      </c>
      <c r="Y776" s="20" t="n"/>
      <c r="Z776" s="72">
        <f>IF($J776="",FALSE,ISNUMBER(SEARCH("scout",$K776)))</f>
        <v/>
      </c>
      <c r="AA776" s="72">
        <f>IF($J776="",FALSE,IFERROR(INDEX(B!$N$2:$N$61,MATCH($J776,B!$E$2:$E$61,0))="Sim",FALSE))</f>
        <v/>
      </c>
      <c r="AB776" s="72">
        <f>IF($J776="",FALSE,LEFT($X776,2)="XX")</f>
        <v/>
      </c>
      <c r="AC776" s="72">
        <f>IF($J776="",FALSE,IFERROR(INDEX(B!$P$2:$P$61,MATCH($J776,B!$E$2:$E$61,0))="Sim",FALSE))</f>
        <v/>
      </c>
      <c r="AD776" s="20" t="n"/>
      <c r="AE776" s="52">
        <f>IF(H776="","",HOUR(H776))</f>
        <v/>
      </c>
      <c r="AF776" s="52" t="n"/>
    </row>
    <row r="777" ht="19.5" customHeight="1" s="58">
      <c r="A777" s="62">
        <f>IF(G777="","",IF(G777=G776,"",COUNTIF($G$3:$G$976,G777)))</f>
        <v/>
      </c>
      <c r="B777" s="20" t="n"/>
      <c r="C777" s="63">
        <f>IF(G777="","",DAY(G777))</f>
        <v/>
      </c>
      <c r="D777" s="63">
        <f>IF(G777="","",MONTH(G777))</f>
        <v/>
      </c>
      <c r="E777" s="63">
        <f>IF(G777="","",YEAR(G777))</f>
        <v/>
      </c>
      <c r="F777" s="33">
        <f>IF(G777="","",CHOOSE(MONTH(G777),"Janeiro","Fevereiro","Março","Abril","Maio","Junho","Julho","Agosto","Setembro","Outubro","Novembro","Dezembro"))</f>
        <v/>
      </c>
      <c r="G777" s="64" t="n">
        <v>46077</v>
      </c>
      <c r="H777" s="65" t="n">
        <v>0.1146527777777778</v>
      </c>
      <c r="I777" s="66" t="inlineStr">
        <is>
          <t>https://docs.google.com/spreadsheets/d/1ZiCGoPjLCjuYvujDTXK9Ixbth3tekiLtFBzBrGjPCr4/edit?gid=0#gid=0</t>
        </is>
      </c>
      <c r="J777" s="67" t="inlineStr">
        <is>
          <t>No Need Response (Não precisa de resposta) - [NRN]</t>
        </is>
      </c>
      <c r="K777" s="67" t="inlineStr"/>
      <c r="L777" s="68" t="b">
        <v>1</v>
      </c>
      <c r="M777" s="20" t="n"/>
      <c r="N777" s="69">
        <f>IF($J777="","",IFERROR(INDEX(B!$F$2:$F$61,MATCH($J777,B!$E$2:$E$61,0))&amp;"",""))</f>
        <v/>
      </c>
      <c r="O777" s="69">
        <f>IF($J777="","",IFERROR(INDEX(B!$G$2:$G$61,MATCH($J777,B!$E$2:$E$61,0))&amp;"",""))</f>
        <v/>
      </c>
      <c r="P777" s="69">
        <f>IF($J777="","",IFERROR(INDEX(B!$H$2:$H$61,MATCH($J777,B!$E$2:$E$61,0))&amp;"",""))</f>
        <v/>
      </c>
      <c r="Q777" s="69">
        <f>IF($J777="","",IFERROR(INDEX(B!$I$2:$I$61,MATCH($J777,B!$E$2:$E$61,0))&amp;"",""))</f>
        <v/>
      </c>
      <c r="R777" s="69">
        <f>IF($J777="","",IFERROR(INDEX(B!$J$2:$J$61,MATCH($J777,B!$E$2:$E$61,0))&amp;"",""))</f>
        <v/>
      </c>
      <c r="S777" s="69">
        <f>IF($J777="","",IFERROR(INDEX(B!$K$2:$K$61,MATCH($J777,B!$E$2:$E$61,0))&amp;"",""))</f>
        <v/>
      </c>
      <c r="T777" s="69">
        <f>IF($J777="","",IFERROR(INDEX(B!$L$2:$L$61,MATCH($J777,B!$E$2:$E$61,0))&amp;"",""))</f>
        <v/>
      </c>
      <c r="U777" s="20" t="n"/>
      <c r="V777" s="70">
        <f>IF($J777="","",IFERROR(INDEX(B!$M$2:$M$61,MATCH($J777,B!$E$2:$E$61,0))&amp;"",""))</f>
        <v/>
      </c>
      <c r="W777" s="71">
        <f>IF(I777="","",IFERROR(MID(I777,FIND("/d/",I777)+3,FIND("/edit",I777)-FIND("/d/",I777)-3),I777))</f>
        <v/>
      </c>
      <c r="X777" s="71">
        <f>IF($J777="","",IFERROR(INDEX(B!$C$2:$C$61,MATCH($J777,B!$E$2:$E$61,0))&amp;"",""))</f>
        <v/>
      </c>
      <c r="Y777" s="20" t="n"/>
      <c r="Z777" s="72">
        <f>IF($J777="",FALSE,ISNUMBER(SEARCH("scout",$K777)))</f>
        <v/>
      </c>
      <c r="AA777" s="72">
        <f>IF($J777="",FALSE,IFERROR(INDEX(B!$N$2:$N$61,MATCH($J777,B!$E$2:$E$61,0))="Sim",FALSE))</f>
        <v/>
      </c>
      <c r="AB777" s="72">
        <f>IF($J777="",FALSE,LEFT($X777,2)="XX")</f>
        <v/>
      </c>
      <c r="AC777" s="72">
        <f>IF($J777="",FALSE,IFERROR(INDEX(B!$P$2:$P$61,MATCH($J777,B!$E$2:$E$61,0))="Sim",FALSE))</f>
        <v/>
      </c>
      <c r="AD777" s="20" t="n"/>
      <c r="AE777" s="52">
        <f>IF(H777="","",HOUR(H777))</f>
        <v/>
      </c>
      <c r="AF777" s="52" t="n"/>
    </row>
    <row r="778" ht="19.5" customHeight="1" s="58">
      <c r="A778" s="62">
        <f>IF(G778="","",IF(G778=G777,"",COUNTIF($G$3:$G$976,G778)))</f>
        <v/>
      </c>
      <c r="B778" s="20" t="n"/>
      <c r="C778" s="63">
        <f>IF(G778="","",DAY(G778))</f>
        <v/>
      </c>
      <c r="D778" s="63">
        <f>IF(G778="","",MONTH(G778))</f>
        <v/>
      </c>
      <c r="E778" s="63">
        <f>IF(G778="","",YEAR(G778))</f>
        <v/>
      </c>
      <c r="F778" s="33">
        <f>IF(G778="","",CHOOSE(MONTH(G778),"Janeiro","Fevereiro","Março","Abril","Maio","Junho","Julho","Agosto","Setembro","Outubro","Novembro","Dezembro"))</f>
        <v/>
      </c>
      <c r="G778" s="64" t="n">
        <v>46077</v>
      </c>
      <c r="H778" s="65" t="n">
        <v>0.1163541666666667</v>
      </c>
      <c r="I778" s="66" t="inlineStr">
        <is>
          <t>https://docs.google.com/spreadsheets/d/1ZiCGoPjLCjuYvujDTXK9Ixbth3tekiLtFBzBrGjPCr4/edit?gid=0#gid=0</t>
        </is>
      </c>
      <c r="J778" s="67" t="inlineStr">
        <is>
          <t>Transferência de LOB (Geral não especificado) - [TI]</t>
        </is>
      </c>
      <c r="K778" s="67" t="inlineStr"/>
      <c r="L778" s="68" t="b">
        <v>0</v>
      </c>
      <c r="M778" s="20" t="n"/>
      <c r="N778" s="69">
        <f>IF($J778="","",IFERROR(INDEX(B!$F$2:$F$61,MATCH($J778,B!$E$2:$E$61,0))&amp;"",""))</f>
        <v/>
      </c>
      <c r="O778" s="69">
        <f>IF($J778="","",IFERROR(INDEX(B!$G$2:$G$61,MATCH($J778,B!$E$2:$E$61,0))&amp;"",""))</f>
        <v/>
      </c>
      <c r="P778" s="69">
        <f>IF($J778="","",IFERROR(INDEX(B!$H$2:$H$61,MATCH($J778,B!$E$2:$E$61,0))&amp;"",""))</f>
        <v/>
      </c>
      <c r="Q778" s="69">
        <f>IF($J778="","",IFERROR(INDEX(B!$I$2:$I$61,MATCH($J778,B!$E$2:$E$61,0))&amp;"",""))</f>
        <v/>
      </c>
      <c r="R778" s="69">
        <f>IF($J778="","",IFERROR(INDEX(B!$J$2:$J$61,MATCH($J778,B!$E$2:$E$61,0))&amp;"",""))</f>
        <v/>
      </c>
      <c r="S778" s="69">
        <f>IF($J778="","",IFERROR(INDEX(B!$K$2:$K$61,MATCH($J778,B!$E$2:$E$61,0))&amp;"",""))</f>
        <v/>
      </c>
      <c r="T778" s="69">
        <f>IF($J778="","",IFERROR(INDEX(B!$L$2:$L$61,MATCH($J778,B!$E$2:$E$61,0))&amp;"",""))</f>
        <v/>
      </c>
      <c r="U778" s="20" t="n"/>
      <c r="V778" s="70">
        <f>IF($J778="","",IFERROR(INDEX(B!$M$2:$M$61,MATCH($J778,B!$E$2:$E$61,0))&amp;"",""))</f>
        <v/>
      </c>
      <c r="W778" s="71">
        <f>IF(I778="","",IFERROR(MID(I778,FIND("/d/",I778)+3,FIND("/edit",I778)-FIND("/d/",I778)-3),I778))</f>
        <v/>
      </c>
      <c r="X778" s="71">
        <f>IF($J778="","",IFERROR(INDEX(B!$C$2:$C$61,MATCH($J778,B!$E$2:$E$61,0))&amp;"",""))</f>
        <v/>
      </c>
      <c r="Y778" s="20" t="n"/>
      <c r="Z778" s="72">
        <f>IF($J778="",FALSE,ISNUMBER(SEARCH("scout",$K778)))</f>
        <v/>
      </c>
      <c r="AA778" s="72">
        <f>IF($J778="",FALSE,IFERROR(INDEX(B!$N$2:$N$61,MATCH($J778,B!$E$2:$E$61,0))="Sim",FALSE))</f>
        <v/>
      </c>
      <c r="AB778" s="72">
        <f>IF($J778="",FALSE,LEFT($X778,2)="XX")</f>
        <v/>
      </c>
      <c r="AC778" s="72">
        <f>IF($J778="",FALSE,IFERROR(INDEX(B!$P$2:$P$61,MATCH($J778,B!$E$2:$E$61,0))="Sim",FALSE))</f>
        <v/>
      </c>
      <c r="AD778" s="20" t="n"/>
      <c r="AE778" s="52">
        <f>IF(H778="","",HOUR(H778))</f>
        <v/>
      </c>
      <c r="AF778" s="52" t="n"/>
    </row>
    <row r="779" ht="19.5" customHeight="1" s="58">
      <c r="A779" s="62">
        <f>IF(G779="","",IF(G779=G778,"",COUNTIF($G$3:$G$976,G779)))</f>
        <v/>
      </c>
      <c r="B779" s="20" t="n"/>
      <c r="C779" s="63">
        <f>IF(G779="","",DAY(G779))</f>
        <v/>
      </c>
      <c r="D779" s="63">
        <f>IF(G779="","",MONTH(G779))</f>
        <v/>
      </c>
      <c r="E779" s="63">
        <f>IF(G779="","",YEAR(G779))</f>
        <v/>
      </c>
      <c r="F779" s="33">
        <f>IF(G779="","",CHOOSE(MONTH(G779),"Janeiro","Fevereiro","Março","Abril","Maio","Junho","Julho","Agosto","Setembro","Outubro","Novembro","Dezembro"))</f>
        <v/>
      </c>
      <c r="G779" s="64" t="n">
        <v>46077</v>
      </c>
      <c r="H779" s="65" t="n">
        <v>0.1216782407407407</v>
      </c>
      <c r="I779" s="66" t="inlineStr">
        <is>
          <t>https://docs.google.com/spreadsheets/d/1ZiCGoPjLCjuYvujDTXK9Ixbth3tekiLtFBzBrGjPCr4/edit?gid=0#gid=0</t>
        </is>
      </c>
      <c r="J779" s="67" t="inlineStr">
        <is>
          <t>Taxa de Limpeza, Sem ajustes - [TXLO]</t>
        </is>
      </c>
      <c r="K779" s="67" t="inlineStr"/>
      <c r="L779" s="68" t="b">
        <v>1</v>
      </c>
      <c r="M779" s="20" t="n"/>
      <c r="N779" s="69">
        <f>IF($J779="","",IFERROR(INDEX(B!$F$2:$F$61,MATCH($J779,B!$E$2:$E$61,0))&amp;"",""))</f>
        <v/>
      </c>
      <c r="O779" s="69">
        <f>IF($J779="","",IFERROR(INDEX(B!$G$2:$G$61,MATCH($J779,B!$E$2:$E$61,0))&amp;"",""))</f>
        <v/>
      </c>
      <c r="P779" s="69">
        <f>IF($J779="","",IFERROR(INDEX(B!$H$2:$H$61,MATCH($J779,B!$E$2:$E$61,0))&amp;"",""))</f>
        <v/>
      </c>
      <c r="Q779" s="69">
        <f>IF($J779="","",IFERROR(INDEX(B!$I$2:$I$61,MATCH($J779,B!$E$2:$E$61,0))&amp;"",""))</f>
        <v/>
      </c>
      <c r="R779" s="69">
        <f>IF($J779="","",IFERROR(INDEX(B!$J$2:$J$61,MATCH($J779,B!$E$2:$E$61,0))&amp;"",""))</f>
        <v/>
      </c>
      <c r="S779" s="69">
        <f>IF($J779="","",IFERROR(INDEX(B!$K$2:$K$61,MATCH($J779,B!$E$2:$E$61,0))&amp;"",""))</f>
        <v/>
      </c>
      <c r="T779" s="69">
        <f>IF($J779="","",IFERROR(INDEX(B!$L$2:$L$61,MATCH($J779,B!$E$2:$E$61,0))&amp;"",""))</f>
        <v/>
      </c>
      <c r="U779" s="20" t="n"/>
      <c r="V779" s="70">
        <f>IF($J779="","",IFERROR(INDEX(B!$M$2:$M$61,MATCH($J779,B!$E$2:$E$61,0))&amp;"",""))</f>
        <v/>
      </c>
      <c r="W779" s="71">
        <f>IF(I779="","",IFERROR(MID(I779,FIND("/d/",I779)+3,FIND("/edit",I779)-FIND("/d/",I779)-3),I779))</f>
        <v/>
      </c>
      <c r="X779" s="71">
        <f>IF($J779="","",IFERROR(INDEX(B!$C$2:$C$61,MATCH($J779,B!$E$2:$E$61,0))&amp;"",""))</f>
        <v/>
      </c>
      <c r="Y779" s="20" t="n"/>
      <c r="Z779" s="72">
        <f>IF($J779="",FALSE,ISNUMBER(SEARCH("scout",$K779)))</f>
        <v/>
      </c>
      <c r="AA779" s="72">
        <f>IF($J779="",FALSE,IFERROR(INDEX(B!$N$2:$N$61,MATCH($J779,B!$E$2:$E$61,0))="Sim",FALSE))</f>
        <v/>
      </c>
      <c r="AB779" s="72">
        <f>IF($J779="",FALSE,LEFT($X779,2)="XX")</f>
        <v/>
      </c>
      <c r="AC779" s="72">
        <f>IF($J779="",FALSE,IFERROR(INDEX(B!$P$2:$P$61,MATCH($J779,B!$E$2:$E$61,0))="Sim",FALSE))</f>
        <v/>
      </c>
      <c r="AD779" s="20" t="n"/>
      <c r="AE779" s="52">
        <f>IF(H779="","",HOUR(H779))</f>
        <v/>
      </c>
      <c r="AF779" s="52" t="n"/>
    </row>
    <row r="780" ht="19.5" customHeight="1" s="58">
      <c r="A780" s="62">
        <f>IF(G780="","",IF(G780=G779,"",COUNTIF($G$3:$G$976,G780)))</f>
        <v/>
      </c>
      <c r="B780" s="20" t="n"/>
      <c r="C780" s="63">
        <f>IF(G780="","",DAY(G780))</f>
        <v/>
      </c>
      <c r="D780" s="63">
        <f>IF(G780="","",MONTH(G780))</f>
        <v/>
      </c>
      <c r="E780" s="63">
        <f>IF(G780="","",YEAR(G780))</f>
        <v/>
      </c>
      <c r="F780" s="33">
        <f>IF(G780="","",CHOOSE(MONTH(G780),"Janeiro","Fevereiro","Março","Abril","Maio","Junho","Julho","Agosto","Setembro","Outubro","Novembro","Dezembro"))</f>
        <v/>
      </c>
      <c r="G780" s="64" t="n">
        <v>46077</v>
      </c>
      <c r="H780" s="65" t="n">
        <v>0.1230787037037037</v>
      </c>
      <c r="I780" s="66" t="inlineStr">
        <is>
          <t>https://docs.google.com/spreadsheets/d/1ZiCGoPjLCjuYvujDTXK9Ixbth3tekiLtFBzBrGjPCr4/edit?gid=0#gid=0</t>
        </is>
      </c>
      <c r="J780" s="67" t="inlineStr">
        <is>
          <t>Taxa de Limpeza, Sem ajustes - [TXLO]</t>
        </is>
      </c>
      <c r="K780" s="67" t="inlineStr"/>
      <c r="L780" s="68" t="b">
        <v>0</v>
      </c>
      <c r="M780" s="20" t="n"/>
      <c r="N780" s="69">
        <f>IF($J780="","",IFERROR(INDEX(B!$F$2:$F$61,MATCH($J780,B!$E$2:$E$61,0))&amp;"",""))</f>
        <v/>
      </c>
      <c r="O780" s="69">
        <f>IF($J780="","",IFERROR(INDEX(B!$G$2:$G$61,MATCH($J780,B!$E$2:$E$61,0))&amp;"",""))</f>
        <v/>
      </c>
      <c r="P780" s="69">
        <f>IF($J780="","",IFERROR(INDEX(B!$H$2:$H$61,MATCH($J780,B!$E$2:$E$61,0))&amp;"",""))</f>
        <v/>
      </c>
      <c r="Q780" s="69">
        <f>IF($J780="","",IFERROR(INDEX(B!$I$2:$I$61,MATCH($J780,B!$E$2:$E$61,0))&amp;"",""))</f>
        <v/>
      </c>
      <c r="R780" s="69">
        <f>IF($J780="","",IFERROR(INDEX(B!$J$2:$J$61,MATCH($J780,B!$E$2:$E$61,0))&amp;"",""))</f>
        <v/>
      </c>
      <c r="S780" s="69">
        <f>IF($J780="","",IFERROR(INDEX(B!$K$2:$K$61,MATCH($J780,B!$E$2:$E$61,0))&amp;"",""))</f>
        <v/>
      </c>
      <c r="T780" s="69">
        <f>IF($J780="","",IFERROR(INDEX(B!$L$2:$L$61,MATCH($J780,B!$E$2:$E$61,0))&amp;"",""))</f>
        <v/>
      </c>
      <c r="U780" s="20" t="n"/>
      <c r="V780" s="70">
        <f>IF($J780="","",IFERROR(INDEX(B!$M$2:$M$61,MATCH($J780,B!$E$2:$E$61,0))&amp;"",""))</f>
        <v/>
      </c>
      <c r="W780" s="71">
        <f>IF(I780="","",IFERROR(MID(I780,FIND("/d/",I780)+3,FIND("/edit",I780)-FIND("/d/",I780)-3),I780))</f>
        <v/>
      </c>
      <c r="X780" s="71">
        <f>IF($J780="","",IFERROR(INDEX(B!$C$2:$C$61,MATCH($J780,B!$E$2:$E$61,0))&amp;"",""))</f>
        <v/>
      </c>
      <c r="Y780" s="20" t="n"/>
      <c r="Z780" s="72">
        <f>IF($J780="",FALSE,ISNUMBER(SEARCH("scout",$K780)))</f>
        <v/>
      </c>
      <c r="AA780" s="72">
        <f>IF($J780="",FALSE,IFERROR(INDEX(B!$N$2:$N$61,MATCH($J780,B!$E$2:$E$61,0))="Sim",FALSE))</f>
        <v/>
      </c>
      <c r="AB780" s="72">
        <f>IF($J780="",FALSE,LEFT($X780,2)="XX")</f>
        <v/>
      </c>
      <c r="AC780" s="72">
        <f>IF($J780="",FALSE,IFERROR(INDEX(B!$P$2:$P$61,MATCH($J780,B!$E$2:$E$61,0))="Sim",FALSE))</f>
        <v/>
      </c>
      <c r="AD780" s="20" t="n"/>
      <c r="AE780" s="52">
        <f>IF(H780="","",HOUR(H780))</f>
        <v/>
      </c>
      <c r="AF780" s="52" t="n"/>
    </row>
    <row r="781" ht="19.5" customHeight="1" s="58">
      <c r="A781" s="62">
        <f>IF(G781="","",IF(G781=G780,"",COUNTIF($G$3:$G$976,G781)))</f>
        <v/>
      </c>
      <c r="B781" s="20" t="n"/>
      <c r="C781" s="63">
        <f>IF(G781="","",DAY(G781))</f>
        <v/>
      </c>
      <c r="D781" s="63">
        <f>IF(G781="","",MONTH(G781))</f>
        <v/>
      </c>
      <c r="E781" s="63">
        <f>IF(G781="","",YEAR(G781))</f>
        <v/>
      </c>
      <c r="F781" s="33">
        <f>IF(G781="","",CHOOSE(MONTH(G781),"Janeiro","Fevereiro","Março","Abril","Maio","Junho","Julho","Agosto","Setembro","Outubro","Novembro","Dezembro"))</f>
        <v/>
      </c>
      <c r="G781" s="64" t="n">
        <v>46077</v>
      </c>
      <c r="H781" s="65" t="n">
        <v>0.1304166666666667</v>
      </c>
      <c r="I781" s="66" t="inlineStr">
        <is>
          <t>https://docs.google.com/spreadsheets/d/1ZiCGoPjLCjuYvujDTXK9Ixbth3tekiLtFBzBrGjPCr4/edit?gid=0#gid=0</t>
        </is>
      </c>
      <c r="J781" s="67" t="inlineStr">
        <is>
          <t>Taxa de Limpeza - [TXL]</t>
        </is>
      </c>
      <c r="K781" s="67" t="inlineStr"/>
      <c r="L781" s="68" t="b">
        <v>0</v>
      </c>
      <c r="M781" s="20" t="n"/>
      <c r="N781" s="69">
        <f>IF($J781="","",IFERROR(INDEX(B!$F$2:$F$61,MATCH($J781,B!$E$2:$E$61,0))&amp;"",""))</f>
        <v/>
      </c>
      <c r="O781" s="69">
        <f>IF($J781="","",IFERROR(INDEX(B!$G$2:$G$61,MATCH($J781,B!$E$2:$E$61,0))&amp;"",""))</f>
        <v/>
      </c>
      <c r="P781" s="69">
        <f>IF($J781="","",IFERROR(INDEX(B!$H$2:$H$61,MATCH($J781,B!$E$2:$E$61,0))&amp;"",""))</f>
        <v/>
      </c>
      <c r="Q781" s="69">
        <f>IF($J781="","",IFERROR(INDEX(B!$I$2:$I$61,MATCH($J781,B!$E$2:$E$61,0))&amp;"",""))</f>
        <v/>
      </c>
      <c r="R781" s="69">
        <f>IF($J781="","",IFERROR(INDEX(B!$J$2:$J$61,MATCH($J781,B!$E$2:$E$61,0))&amp;"",""))</f>
        <v/>
      </c>
      <c r="S781" s="69">
        <f>IF($J781="","",IFERROR(INDEX(B!$K$2:$K$61,MATCH($J781,B!$E$2:$E$61,0))&amp;"",""))</f>
        <v/>
      </c>
      <c r="T781" s="69">
        <f>IF($J781="","",IFERROR(INDEX(B!$L$2:$L$61,MATCH($J781,B!$E$2:$E$61,0))&amp;"",""))</f>
        <v/>
      </c>
      <c r="U781" s="20" t="n"/>
      <c r="V781" s="70">
        <f>IF($J781="","",IFERROR(INDEX(B!$M$2:$M$61,MATCH($J781,B!$E$2:$E$61,0))&amp;"",""))</f>
        <v/>
      </c>
      <c r="W781" s="71">
        <f>IF(I781="","",IFERROR(MID(I781,FIND("/d/",I781)+3,FIND("/edit",I781)-FIND("/d/",I781)-3),I781))</f>
        <v/>
      </c>
      <c r="X781" s="71">
        <f>IF($J781="","",IFERROR(INDEX(B!$C$2:$C$61,MATCH($J781,B!$E$2:$E$61,0))&amp;"",""))</f>
        <v/>
      </c>
      <c r="Y781" s="20" t="n"/>
      <c r="Z781" s="72">
        <f>IF($J781="",FALSE,ISNUMBER(SEARCH("scout",$K781)))</f>
        <v/>
      </c>
      <c r="AA781" s="72">
        <f>IF($J781="",FALSE,IFERROR(INDEX(B!$N$2:$N$61,MATCH($J781,B!$E$2:$E$61,0))="Sim",FALSE))</f>
        <v/>
      </c>
      <c r="AB781" s="72">
        <f>IF($J781="",FALSE,LEFT($X781,2)="XX")</f>
        <v/>
      </c>
      <c r="AC781" s="72">
        <f>IF($J781="",FALSE,IFERROR(INDEX(B!$P$2:$P$61,MATCH($J781,B!$E$2:$E$61,0))="Sim",FALSE))</f>
        <v/>
      </c>
      <c r="AD781" s="20" t="n"/>
      <c r="AE781" s="52">
        <f>IF(H781="","",HOUR(H781))</f>
        <v/>
      </c>
      <c r="AF781" s="52" t="n"/>
    </row>
    <row r="782" ht="19.5" customHeight="1" s="58">
      <c r="A782" s="62">
        <f>IF(G782="","",IF(G782=G781,"",COUNTIF($G$3:$G$976,G782)))</f>
        <v/>
      </c>
      <c r="B782" s="20" t="n"/>
      <c r="C782" s="63">
        <f>IF(G782="","",DAY(G782))</f>
        <v/>
      </c>
      <c r="D782" s="63">
        <f>IF(G782="","",MONTH(G782))</f>
        <v/>
      </c>
      <c r="E782" s="63">
        <f>IF(G782="","",YEAR(G782))</f>
        <v/>
      </c>
      <c r="F782" s="33">
        <f>IF(G782="","",CHOOSE(MONTH(G782),"Janeiro","Fevereiro","Março","Abril","Maio","Junho","Julho","Agosto","Setembro","Outubro","Novembro","Dezembro"))</f>
        <v/>
      </c>
      <c r="G782" s="64" t="n">
        <v>46077</v>
      </c>
      <c r="H782" s="65" t="n">
        <v>0.1308564814814815</v>
      </c>
      <c r="I782" s="66" t="inlineStr">
        <is>
          <t>https://docs.google.com/spreadsheets/d/1ZiCGoPjLCjuYvujDTXK9Ixbth3tekiLtFBzBrGjPCr4/edit?gid=0#gid=0</t>
        </is>
      </c>
      <c r="J782" s="67" t="inlineStr">
        <is>
          <t>Taxa de Limpeza - [TXL]</t>
        </is>
      </c>
      <c r="K782" s="67" t="inlineStr"/>
      <c r="L782" s="68" t="b">
        <v>0</v>
      </c>
      <c r="M782" s="20" t="n"/>
      <c r="N782" s="69">
        <f>IF($J782="","",IFERROR(INDEX(B!$F$2:$F$61,MATCH($J782,B!$E$2:$E$61,0))&amp;"",""))</f>
        <v/>
      </c>
      <c r="O782" s="69">
        <f>IF($J782="","",IFERROR(INDEX(B!$G$2:$G$61,MATCH($J782,B!$E$2:$E$61,0))&amp;"",""))</f>
        <v/>
      </c>
      <c r="P782" s="69">
        <f>IF($J782="","",IFERROR(INDEX(B!$H$2:$H$61,MATCH($J782,B!$E$2:$E$61,0))&amp;"",""))</f>
        <v/>
      </c>
      <c r="Q782" s="69">
        <f>IF($J782="","",IFERROR(INDEX(B!$I$2:$I$61,MATCH($J782,B!$E$2:$E$61,0))&amp;"",""))</f>
        <v/>
      </c>
      <c r="R782" s="69">
        <f>IF($J782="","",IFERROR(INDEX(B!$J$2:$J$61,MATCH($J782,B!$E$2:$E$61,0))&amp;"",""))</f>
        <v/>
      </c>
      <c r="S782" s="69">
        <f>IF($J782="","",IFERROR(INDEX(B!$K$2:$K$61,MATCH($J782,B!$E$2:$E$61,0))&amp;"",""))</f>
        <v/>
      </c>
      <c r="T782" s="69">
        <f>IF($J782="","",IFERROR(INDEX(B!$L$2:$L$61,MATCH($J782,B!$E$2:$E$61,0))&amp;"",""))</f>
        <v/>
      </c>
      <c r="U782" s="20" t="n"/>
      <c r="V782" s="70">
        <f>IF($J782="","",IFERROR(INDEX(B!$M$2:$M$61,MATCH($J782,B!$E$2:$E$61,0))&amp;"",""))</f>
        <v/>
      </c>
      <c r="W782" s="71">
        <f>IF(I782="","",IFERROR(MID(I782,FIND("/d/",I782)+3,FIND("/edit",I782)-FIND("/d/",I782)-3),I782))</f>
        <v/>
      </c>
      <c r="X782" s="71">
        <f>IF($J782="","",IFERROR(INDEX(B!$C$2:$C$61,MATCH($J782,B!$E$2:$E$61,0))&amp;"",""))</f>
        <v/>
      </c>
      <c r="Y782" s="20" t="n"/>
      <c r="Z782" s="72">
        <f>IF($J782="",FALSE,ISNUMBER(SEARCH("scout",$K782)))</f>
        <v/>
      </c>
      <c r="AA782" s="72">
        <f>IF($J782="",FALSE,IFERROR(INDEX(B!$N$2:$N$61,MATCH($J782,B!$E$2:$E$61,0))="Sim",FALSE))</f>
        <v/>
      </c>
      <c r="AB782" s="72">
        <f>IF($J782="",FALSE,LEFT($X782,2)="XX")</f>
        <v/>
      </c>
      <c r="AC782" s="72">
        <f>IF($J782="",FALSE,IFERROR(INDEX(B!$P$2:$P$61,MATCH($J782,B!$E$2:$E$61,0))="Sim",FALSE))</f>
        <v/>
      </c>
      <c r="AD782" s="20" t="n"/>
      <c r="AE782" s="52">
        <f>IF(H782="","",HOUR(H782))</f>
        <v/>
      </c>
      <c r="AF782" s="52" t="n"/>
    </row>
    <row r="783" ht="19.5" customHeight="1" s="58">
      <c r="A783" s="62">
        <f>IF(G783="","",IF(G783=G782,"",COUNTIF($G$3:$G$976,G783)))</f>
        <v/>
      </c>
      <c r="B783" s="20" t="n"/>
      <c r="C783" s="63">
        <f>IF(G783="","",DAY(G783))</f>
        <v/>
      </c>
      <c r="D783" s="63">
        <f>IF(G783="","",MONTH(G783))</f>
        <v/>
      </c>
      <c r="E783" s="63">
        <f>IF(G783="","",YEAR(G783))</f>
        <v/>
      </c>
      <c r="F783" s="33">
        <f>IF(G783="","",CHOOSE(MONTH(G783),"Janeiro","Fevereiro","Março","Abril","Maio","Junho","Julho","Agosto","Setembro","Outubro","Novembro","Dezembro"))</f>
        <v/>
      </c>
      <c r="G783" s="64" t="n">
        <v>46077</v>
      </c>
      <c r="H783" s="65" t="n">
        <v>0.1375</v>
      </c>
      <c r="I783" s="66" t="inlineStr">
        <is>
          <t>https://docs.google.com/spreadsheets/d/1ZiCGoPjLCjuYvujDTXK9Ixbth3tekiLtFBzBrGjPCr4/edit?gid=0#gid=0</t>
        </is>
      </c>
      <c r="J783" s="67" t="inlineStr">
        <is>
          <t>Viagem Calculada Incorretamente - [VCI]</t>
        </is>
      </c>
      <c r="K783" s="67" t="inlineStr"/>
      <c r="L783" s="68" t="b">
        <v>0</v>
      </c>
      <c r="M783" s="20" t="n"/>
      <c r="N783" s="69">
        <f>IF($J783="","",IFERROR(INDEX(B!$F$2:$F$61,MATCH($J783,B!$E$2:$E$61,0))&amp;"",""))</f>
        <v/>
      </c>
      <c r="O783" s="69">
        <f>IF($J783="","",IFERROR(INDEX(B!$G$2:$G$61,MATCH($J783,B!$E$2:$E$61,0))&amp;"",""))</f>
        <v/>
      </c>
      <c r="P783" s="69">
        <f>IF($J783="","",IFERROR(INDEX(B!$H$2:$H$61,MATCH($J783,B!$E$2:$E$61,0))&amp;"",""))</f>
        <v/>
      </c>
      <c r="Q783" s="69">
        <f>IF($J783="","",IFERROR(INDEX(B!$I$2:$I$61,MATCH($J783,B!$E$2:$E$61,0))&amp;"",""))</f>
        <v/>
      </c>
      <c r="R783" s="69">
        <f>IF($J783="","",IFERROR(INDEX(B!$J$2:$J$61,MATCH($J783,B!$E$2:$E$61,0))&amp;"",""))</f>
        <v/>
      </c>
      <c r="S783" s="69">
        <f>IF($J783="","",IFERROR(INDEX(B!$K$2:$K$61,MATCH($J783,B!$E$2:$E$61,0))&amp;"",""))</f>
        <v/>
      </c>
      <c r="T783" s="69">
        <f>IF($J783="","",IFERROR(INDEX(B!$L$2:$L$61,MATCH($J783,B!$E$2:$E$61,0))&amp;"",""))</f>
        <v/>
      </c>
      <c r="U783" s="20" t="n"/>
      <c r="V783" s="70">
        <f>IF($J783="","",IFERROR(INDEX(B!$M$2:$M$61,MATCH($J783,B!$E$2:$E$61,0))&amp;"",""))</f>
        <v/>
      </c>
      <c r="W783" s="71">
        <f>IF(I783="","",IFERROR(MID(I783,FIND("/d/",I783)+3,FIND("/edit",I783)-FIND("/d/",I783)-3),I783))</f>
        <v/>
      </c>
      <c r="X783" s="71">
        <f>IF($J783="","",IFERROR(INDEX(B!$C$2:$C$61,MATCH($J783,B!$E$2:$E$61,0))&amp;"",""))</f>
        <v/>
      </c>
      <c r="Y783" s="20" t="n"/>
      <c r="Z783" s="72">
        <f>IF($J783="",FALSE,ISNUMBER(SEARCH("scout",$K783)))</f>
        <v/>
      </c>
      <c r="AA783" s="72">
        <f>IF($J783="",FALSE,IFERROR(INDEX(B!$N$2:$N$61,MATCH($J783,B!$E$2:$E$61,0))="Sim",FALSE))</f>
        <v/>
      </c>
      <c r="AB783" s="72">
        <f>IF($J783="",FALSE,LEFT($X783,2)="XX")</f>
        <v/>
      </c>
      <c r="AC783" s="72">
        <f>IF($J783="",FALSE,IFERROR(INDEX(B!$P$2:$P$61,MATCH($J783,B!$E$2:$E$61,0))="Sim",FALSE))</f>
        <v/>
      </c>
      <c r="AD783" s="20" t="n"/>
      <c r="AE783" s="52">
        <f>IF(H783="","",HOUR(H783))</f>
        <v/>
      </c>
      <c r="AF783" s="52" t="n"/>
    </row>
    <row r="784" ht="19.5" customHeight="1" s="58">
      <c r="A784" s="62">
        <f>IF(G784="","",IF(G784=G783,"",COUNTIF($G$3:$G$976,G784)))</f>
        <v/>
      </c>
      <c r="B784" s="20" t="n"/>
      <c r="C784" s="63">
        <f>IF(G784="","",DAY(G784))</f>
        <v/>
      </c>
      <c r="D784" s="63">
        <f>IF(G784="","",MONTH(G784))</f>
        <v/>
      </c>
      <c r="E784" s="63">
        <f>IF(G784="","",YEAR(G784))</f>
        <v/>
      </c>
      <c r="F784" s="33">
        <f>IF(G784="","",CHOOSE(MONTH(G784),"Janeiro","Fevereiro","Março","Abril","Maio","Junho","Julho","Agosto","Setembro","Outubro","Novembro","Dezembro"))</f>
        <v/>
      </c>
      <c r="G784" s="64" t="n">
        <v>46077</v>
      </c>
      <c r="H784" s="65" t="n">
        <v>0.1450231481481482</v>
      </c>
      <c r="I784" s="66" t="inlineStr">
        <is>
          <t>https://docs.google.com/spreadsheets/d/1ZiCGoPjLCjuYvujDTXK9Ixbth3tekiLtFBzBrGjPCr4/edit?gid=0#gid=0</t>
        </is>
      </c>
      <c r="J784" s="67" t="inlineStr">
        <is>
          <t>Pushback (Agradecimento) - [XXA]</t>
        </is>
      </c>
      <c r="K784" s="67" t="inlineStr"/>
      <c r="L784" s="68" t="b">
        <v>0</v>
      </c>
      <c r="M784" s="20" t="n"/>
      <c r="N784" s="69">
        <f>IF($J784="","",IFERROR(INDEX(B!$F$2:$F$61,MATCH($J784,B!$E$2:$E$61,0))&amp;"",""))</f>
        <v/>
      </c>
      <c r="O784" s="69">
        <f>IF($J784="","",IFERROR(INDEX(B!$G$2:$G$61,MATCH($J784,B!$E$2:$E$61,0))&amp;"",""))</f>
        <v/>
      </c>
      <c r="P784" s="69">
        <f>IF($J784="","",IFERROR(INDEX(B!$H$2:$H$61,MATCH($J784,B!$E$2:$E$61,0))&amp;"",""))</f>
        <v/>
      </c>
      <c r="Q784" s="69">
        <f>IF($J784="","",IFERROR(INDEX(B!$I$2:$I$61,MATCH($J784,B!$E$2:$E$61,0))&amp;"",""))</f>
        <v/>
      </c>
      <c r="R784" s="69">
        <f>IF($J784="","",IFERROR(INDEX(B!$J$2:$J$61,MATCH($J784,B!$E$2:$E$61,0))&amp;"",""))</f>
        <v/>
      </c>
      <c r="S784" s="69">
        <f>IF($J784="","",IFERROR(INDEX(B!$K$2:$K$61,MATCH($J784,B!$E$2:$E$61,0))&amp;"",""))</f>
        <v/>
      </c>
      <c r="T784" s="69">
        <f>IF($J784="","",IFERROR(INDEX(B!$L$2:$L$61,MATCH($J784,B!$E$2:$E$61,0))&amp;"",""))</f>
        <v/>
      </c>
      <c r="U784" s="20" t="n"/>
      <c r="V784" s="70">
        <f>IF($J784="","",IFERROR(INDEX(B!$M$2:$M$61,MATCH($J784,B!$E$2:$E$61,0))&amp;"",""))</f>
        <v/>
      </c>
      <c r="W784" s="71">
        <f>IF(I784="","",IFERROR(MID(I784,FIND("/d/",I784)+3,FIND("/edit",I784)-FIND("/d/",I784)-3),I784))</f>
        <v/>
      </c>
      <c r="X784" s="71">
        <f>IF($J784="","",IFERROR(INDEX(B!$C$2:$C$61,MATCH($J784,B!$E$2:$E$61,0))&amp;"",""))</f>
        <v/>
      </c>
      <c r="Y784" s="20" t="n"/>
      <c r="Z784" s="72">
        <f>IF($J784="",FALSE,ISNUMBER(SEARCH("scout",$K784)))</f>
        <v/>
      </c>
      <c r="AA784" s="72">
        <f>IF($J784="",FALSE,IFERROR(INDEX(B!$N$2:$N$61,MATCH($J784,B!$E$2:$E$61,0))="Sim",FALSE))</f>
        <v/>
      </c>
      <c r="AB784" s="72">
        <f>IF($J784="",FALSE,LEFT($X784,2)="XX")</f>
        <v/>
      </c>
      <c r="AC784" s="72">
        <f>IF($J784="",FALSE,IFERROR(INDEX(B!$P$2:$P$61,MATCH($J784,B!$E$2:$E$61,0))="Sim",FALSE))</f>
        <v/>
      </c>
      <c r="AD784" s="20" t="n"/>
      <c r="AE784" s="52">
        <f>IF(H784="","",HOUR(H784))</f>
        <v/>
      </c>
      <c r="AF784" s="52" t="n"/>
    </row>
    <row r="785" ht="19.5" customHeight="1" s="58">
      <c r="A785" s="62">
        <f>IF(G785="","",IF(G785=G784,"",COUNTIF($G$3:$G$976,G785)))</f>
        <v/>
      </c>
      <c r="B785" s="20" t="n"/>
      <c r="C785" s="63">
        <f>IF(G785="","",DAY(G785))</f>
        <v/>
      </c>
      <c r="D785" s="63">
        <f>IF(G785="","",MONTH(G785))</f>
        <v/>
      </c>
      <c r="E785" s="63">
        <f>IF(G785="","",YEAR(G785))</f>
        <v/>
      </c>
      <c r="F785" s="33">
        <f>IF(G785="","",CHOOSE(MONTH(G785),"Janeiro","Fevereiro","Março","Abril","Maio","Junho","Julho","Agosto","Setembro","Outubro","Novembro","Dezembro"))</f>
        <v/>
      </c>
      <c r="G785" s="64" t="n">
        <v>46077</v>
      </c>
      <c r="H785" s="65" t="n">
        <v>0.1452662037037037</v>
      </c>
      <c r="I785" s="66" t="inlineStr">
        <is>
          <t>https://docs.google.com/spreadsheets/d/1ZiCGoPjLCjuYvujDTXK9Ixbth3tekiLtFBzBrGjPCr4/edit?gid=0#gid=0</t>
        </is>
      </c>
      <c r="J785" s="67" t="inlineStr">
        <is>
          <t>Transferência de LOB (Accounts) - [TIAC]</t>
        </is>
      </c>
      <c r="K785" s="67" t="inlineStr">
        <is>
          <t>Scout</t>
        </is>
      </c>
      <c r="L785" s="68" t="b">
        <v>0</v>
      </c>
      <c r="M785" s="20" t="n"/>
      <c r="N785" s="69">
        <f>IF($J785="","",IFERROR(INDEX(B!$F$2:$F$61,MATCH($J785,B!$E$2:$E$61,0))&amp;"",""))</f>
        <v/>
      </c>
      <c r="O785" s="69">
        <f>IF($J785="","",IFERROR(INDEX(B!$G$2:$G$61,MATCH($J785,B!$E$2:$E$61,0))&amp;"",""))</f>
        <v/>
      </c>
      <c r="P785" s="69">
        <f>IF($J785="","",IFERROR(INDEX(B!$H$2:$H$61,MATCH($J785,B!$E$2:$E$61,0))&amp;"",""))</f>
        <v/>
      </c>
      <c r="Q785" s="69">
        <f>IF($J785="","",IFERROR(INDEX(B!$I$2:$I$61,MATCH($J785,B!$E$2:$E$61,0))&amp;"",""))</f>
        <v/>
      </c>
      <c r="R785" s="69">
        <f>IF($J785="","",IFERROR(INDEX(B!$J$2:$J$61,MATCH($J785,B!$E$2:$E$61,0))&amp;"",""))</f>
        <v/>
      </c>
      <c r="S785" s="69">
        <f>IF($J785="","",IFERROR(INDEX(B!$K$2:$K$61,MATCH($J785,B!$E$2:$E$61,0))&amp;"",""))</f>
        <v/>
      </c>
      <c r="T785" s="69">
        <f>IF($J785="","",IFERROR(INDEX(B!$L$2:$L$61,MATCH($J785,B!$E$2:$E$61,0))&amp;"",""))</f>
        <v/>
      </c>
      <c r="U785" s="20" t="n"/>
      <c r="V785" s="70">
        <f>IF($J785="","",IFERROR(INDEX(B!$M$2:$M$61,MATCH($J785,B!$E$2:$E$61,0))&amp;"",""))</f>
        <v/>
      </c>
      <c r="W785" s="71">
        <f>IF(I785="","",IFERROR(MID(I785,FIND("/d/",I785)+3,FIND("/edit",I785)-FIND("/d/",I785)-3),I785))</f>
        <v/>
      </c>
      <c r="X785" s="71">
        <f>IF($J785="","",IFERROR(INDEX(B!$C$2:$C$61,MATCH($J785,B!$E$2:$E$61,0))&amp;"",""))</f>
        <v/>
      </c>
      <c r="Y785" s="20" t="n"/>
      <c r="Z785" s="72">
        <f>IF($J785="",FALSE,ISNUMBER(SEARCH("scout",$K785)))</f>
        <v/>
      </c>
      <c r="AA785" s="72">
        <f>IF($J785="",FALSE,IFERROR(INDEX(B!$N$2:$N$61,MATCH($J785,B!$E$2:$E$61,0))="Sim",FALSE))</f>
        <v/>
      </c>
      <c r="AB785" s="72">
        <f>IF($J785="",FALSE,LEFT($X785,2)="XX")</f>
        <v/>
      </c>
      <c r="AC785" s="72">
        <f>IF($J785="",FALSE,IFERROR(INDEX(B!$P$2:$P$61,MATCH($J785,B!$E$2:$E$61,0))="Sim",FALSE))</f>
        <v/>
      </c>
      <c r="AD785" s="20" t="n"/>
      <c r="AE785" s="52">
        <f>IF(H785="","",HOUR(H785))</f>
        <v/>
      </c>
      <c r="AF785" s="52" t="n"/>
    </row>
    <row r="786" ht="19.5" customHeight="1" s="58">
      <c r="A786" s="62">
        <f>IF(G786="","",IF(G786=G785,"",COUNTIF($G$3:$G$976,G786)))</f>
        <v/>
      </c>
      <c r="B786" s="20" t="n"/>
      <c r="C786" s="63">
        <f>IF(G786="","",DAY(G786))</f>
        <v/>
      </c>
      <c r="D786" s="63">
        <f>IF(G786="","",MONTH(G786))</f>
        <v/>
      </c>
      <c r="E786" s="63">
        <f>IF(G786="","",YEAR(G786))</f>
        <v/>
      </c>
      <c r="F786" s="33">
        <f>IF(G786="","",CHOOSE(MONTH(G786),"Janeiro","Fevereiro","Março","Abril","Maio","Junho","Julho","Agosto","Setembro","Outubro","Novembro","Dezembro"))</f>
        <v/>
      </c>
      <c r="G786" s="64" t="n">
        <v>46077</v>
      </c>
      <c r="H786" s="65" t="n">
        <v>0.1487731481481482</v>
      </c>
      <c r="I786" s="66" t="inlineStr">
        <is>
          <t>https://docs.google.com/spreadsheets/d/1ZiCGoPjLCjuYvujDTXK9Ixbth3tekiLtFBzBrGjPCr4/edit?gid=0#gid=0</t>
        </is>
      </c>
      <c r="J786" s="67" t="inlineStr">
        <is>
          <t>Outros Valores Retidos (Pedágio, Cartão, Taxa de Cancelamento...) - [OTV]</t>
        </is>
      </c>
      <c r="K786" s="67" t="inlineStr"/>
      <c r="L786" s="68" t="b">
        <v>0</v>
      </c>
      <c r="M786" s="20" t="n"/>
      <c r="N786" s="69">
        <f>IF($J786="","",IFERROR(INDEX(B!$F$2:$F$61,MATCH($J786,B!$E$2:$E$61,0))&amp;"",""))</f>
        <v/>
      </c>
      <c r="O786" s="69">
        <f>IF($J786="","",IFERROR(INDEX(B!$G$2:$G$61,MATCH($J786,B!$E$2:$E$61,0))&amp;"",""))</f>
        <v/>
      </c>
      <c r="P786" s="69">
        <f>IF($J786="","",IFERROR(INDEX(B!$H$2:$H$61,MATCH($J786,B!$E$2:$E$61,0))&amp;"",""))</f>
        <v/>
      </c>
      <c r="Q786" s="69">
        <f>IF($J786="","",IFERROR(INDEX(B!$I$2:$I$61,MATCH($J786,B!$E$2:$E$61,0))&amp;"",""))</f>
        <v/>
      </c>
      <c r="R786" s="69">
        <f>IF($J786="","",IFERROR(INDEX(B!$J$2:$J$61,MATCH($J786,B!$E$2:$E$61,0))&amp;"",""))</f>
        <v/>
      </c>
      <c r="S786" s="69">
        <f>IF($J786="","",IFERROR(INDEX(B!$K$2:$K$61,MATCH($J786,B!$E$2:$E$61,0))&amp;"",""))</f>
        <v/>
      </c>
      <c r="T786" s="69">
        <f>IF($J786="","",IFERROR(INDEX(B!$L$2:$L$61,MATCH($J786,B!$E$2:$E$61,0))&amp;"",""))</f>
        <v/>
      </c>
      <c r="U786" s="20" t="n"/>
      <c r="V786" s="70">
        <f>IF($J786="","",IFERROR(INDEX(B!$M$2:$M$61,MATCH($J786,B!$E$2:$E$61,0))&amp;"",""))</f>
        <v/>
      </c>
      <c r="W786" s="71">
        <f>IF(I786="","",IFERROR(MID(I786,FIND("/d/",I786)+3,FIND("/edit",I786)-FIND("/d/",I786)-3),I786))</f>
        <v/>
      </c>
      <c r="X786" s="71">
        <f>IF($J786="","",IFERROR(INDEX(B!$C$2:$C$61,MATCH($J786,B!$E$2:$E$61,0))&amp;"",""))</f>
        <v/>
      </c>
      <c r="Y786" s="20" t="n"/>
      <c r="Z786" s="72">
        <f>IF($J786="",FALSE,ISNUMBER(SEARCH("scout",$K786)))</f>
        <v/>
      </c>
      <c r="AA786" s="72">
        <f>IF($J786="",FALSE,IFERROR(INDEX(B!$N$2:$N$61,MATCH($J786,B!$E$2:$E$61,0))="Sim",FALSE))</f>
        <v/>
      </c>
      <c r="AB786" s="72">
        <f>IF($J786="",FALSE,LEFT($X786,2)="XX")</f>
        <v/>
      </c>
      <c r="AC786" s="72">
        <f>IF($J786="",FALSE,IFERROR(INDEX(B!$P$2:$P$61,MATCH($J786,B!$E$2:$E$61,0))="Sim",FALSE))</f>
        <v/>
      </c>
      <c r="AD786" s="20" t="n"/>
      <c r="AE786" s="52">
        <f>IF(H786="","",HOUR(H786))</f>
        <v/>
      </c>
      <c r="AF786" s="52" t="n"/>
    </row>
    <row r="787" ht="19.5" customHeight="1" s="58">
      <c r="A787" s="62">
        <f>IF(G787="","",IF(G787=G786,"",COUNTIF($G$3:$G$976,G787)))</f>
        <v/>
      </c>
      <c r="B787" s="20" t="n"/>
      <c r="C787" s="63">
        <f>IF(G787="","",DAY(G787))</f>
        <v/>
      </c>
      <c r="D787" s="63">
        <f>IF(G787="","",MONTH(G787))</f>
        <v/>
      </c>
      <c r="E787" s="63">
        <f>IF(G787="","",YEAR(G787))</f>
        <v/>
      </c>
      <c r="F787" s="33">
        <f>IF(G787="","",CHOOSE(MONTH(G787),"Janeiro","Fevereiro","Março","Abril","Maio","Junho","Julho","Agosto","Setembro","Outubro","Novembro","Dezembro"))</f>
        <v/>
      </c>
      <c r="G787" s="64" t="n">
        <v>46077</v>
      </c>
      <c r="H787" s="65" t="n">
        <v>0.1492013888888889</v>
      </c>
      <c r="I787" s="66" t="inlineStr">
        <is>
          <t>https://docs.google.com/spreadsheets/d/1ZiCGoPjLCjuYvujDTXK9Ixbth3tekiLtFBzBrGjPCr4/edit?gid=0#gid=0</t>
        </is>
      </c>
      <c r="J787" s="67" t="inlineStr">
        <is>
          <t>Pushback - [XX]</t>
        </is>
      </c>
      <c r="K787" s="67" t="inlineStr">
        <is>
          <t>Scout</t>
        </is>
      </c>
      <c r="L787" s="68" t="b">
        <v>0</v>
      </c>
      <c r="M787" s="20" t="n"/>
      <c r="N787" s="69">
        <f>IF($J787="","",IFERROR(INDEX(B!$F$2:$F$61,MATCH($J787,B!$E$2:$E$61,0))&amp;"",""))</f>
        <v/>
      </c>
      <c r="O787" s="69">
        <f>IF($J787="","",IFERROR(INDEX(B!$G$2:$G$61,MATCH($J787,B!$E$2:$E$61,0))&amp;"",""))</f>
        <v/>
      </c>
      <c r="P787" s="69">
        <f>IF($J787="","",IFERROR(INDEX(B!$H$2:$H$61,MATCH($J787,B!$E$2:$E$61,0))&amp;"",""))</f>
        <v/>
      </c>
      <c r="Q787" s="69">
        <f>IF($J787="","",IFERROR(INDEX(B!$I$2:$I$61,MATCH($J787,B!$E$2:$E$61,0))&amp;"",""))</f>
        <v/>
      </c>
      <c r="R787" s="69">
        <f>IF($J787="","",IFERROR(INDEX(B!$J$2:$J$61,MATCH($J787,B!$E$2:$E$61,0))&amp;"",""))</f>
        <v/>
      </c>
      <c r="S787" s="69">
        <f>IF($J787="","",IFERROR(INDEX(B!$K$2:$K$61,MATCH($J787,B!$E$2:$E$61,0))&amp;"",""))</f>
        <v/>
      </c>
      <c r="T787" s="69">
        <f>IF($J787="","",IFERROR(INDEX(B!$L$2:$L$61,MATCH($J787,B!$E$2:$E$61,0))&amp;"",""))</f>
        <v/>
      </c>
      <c r="U787" s="20" t="n"/>
      <c r="V787" s="70">
        <f>IF($J787="","",IFERROR(INDEX(B!$M$2:$M$61,MATCH($J787,B!$E$2:$E$61,0))&amp;"",""))</f>
        <v/>
      </c>
      <c r="W787" s="71">
        <f>IF(I787="","",IFERROR(MID(I787,FIND("/d/",I787)+3,FIND("/edit",I787)-FIND("/d/",I787)-3),I787))</f>
        <v/>
      </c>
      <c r="X787" s="71">
        <f>IF($J787="","",IFERROR(INDEX(B!$C$2:$C$61,MATCH($J787,B!$E$2:$E$61,0))&amp;"",""))</f>
        <v/>
      </c>
      <c r="Y787" s="20" t="n"/>
      <c r="Z787" s="72">
        <f>IF($J787="",FALSE,ISNUMBER(SEARCH("scout",$K787)))</f>
        <v/>
      </c>
      <c r="AA787" s="72">
        <f>IF($J787="",FALSE,IFERROR(INDEX(B!$N$2:$N$61,MATCH($J787,B!$E$2:$E$61,0))="Sim",FALSE))</f>
        <v/>
      </c>
      <c r="AB787" s="72">
        <f>IF($J787="",FALSE,LEFT($X787,2)="XX")</f>
        <v/>
      </c>
      <c r="AC787" s="72">
        <f>IF($J787="",FALSE,IFERROR(INDEX(B!$P$2:$P$61,MATCH($J787,B!$E$2:$E$61,0))="Sim",FALSE))</f>
        <v/>
      </c>
      <c r="AD787" s="20" t="n"/>
      <c r="AE787" s="52">
        <f>IF(H787="","",HOUR(H787))</f>
        <v/>
      </c>
      <c r="AF787" s="52" t="n"/>
    </row>
    <row r="788" ht="19.5" customHeight="1" s="58">
      <c r="A788" s="62">
        <f>IF(G788="","",IF(G788=G787,"",COUNTIF($G$3:$G$976,G788)))</f>
        <v/>
      </c>
      <c r="B788" s="20" t="n"/>
      <c r="C788" s="63">
        <f>IF(G788="","",DAY(G788))</f>
        <v/>
      </c>
      <c r="D788" s="63">
        <f>IF(G788="","",MONTH(G788))</f>
        <v/>
      </c>
      <c r="E788" s="63">
        <f>IF(G788="","",YEAR(G788))</f>
        <v/>
      </c>
      <c r="F788" s="33">
        <f>IF(G788="","",CHOOSE(MONTH(G788),"Janeiro","Fevereiro","Março","Abril","Maio","Junho","Julho","Agosto","Setembro","Outubro","Novembro","Dezembro"))</f>
        <v/>
      </c>
      <c r="G788" s="64" t="n">
        <v>46077</v>
      </c>
      <c r="H788" s="65" t="n">
        <v>0.1539236111111111</v>
      </c>
      <c r="I788" s="66" t="inlineStr">
        <is>
          <t>https://docs.google.com/spreadsheets/d/1ZiCGoPjLCjuYvujDTXK9Ixbth3tekiLtFBzBrGjPCr4/edit?gid=0#gid=0</t>
        </is>
      </c>
      <c r="J788" s="67" t="inlineStr">
        <is>
          <t>Transferência de LOB (Safety) - [TIST]</t>
        </is>
      </c>
      <c r="K788" s="67" t="inlineStr">
        <is>
          <t>Scout</t>
        </is>
      </c>
      <c r="L788" s="68" t="b">
        <v>0</v>
      </c>
      <c r="M788" s="20" t="n"/>
      <c r="N788" s="69">
        <f>IF($J788="","",IFERROR(INDEX(B!$F$2:$F$61,MATCH($J788,B!$E$2:$E$61,0))&amp;"",""))</f>
        <v/>
      </c>
      <c r="O788" s="69">
        <f>IF($J788="","",IFERROR(INDEX(B!$G$2:$G$61,MATCH($J788,B!$E$2:$E$61,0))&amp;"",""))</f>
        <v/>
      </c>
      <c r="P788" s="69">
        <f>IF($J788="","",IFERROR(INDEX(B!$H$2:$H$61,MATCH($J788,B!$E$2:$E$61,0))&amp;"",""))</f>
        <v/>
      </c>
      <c r="Q788" s="69">
        <f>IF($J788="","",IFERROR(INDEX(B!$I$2:$I$61,MATCH($J788,B!$E$2:$E$61,0))&amp;"",""))</f>
        <v/>
      </c>
      <c r="R788" s="69">
        <f>IF($J788="","",IFERROR(INDEX(B!$J$2:$J$61,MATCH($J788,B!$E$2:$E$61,0))&amp;"",""))</f>
        <v/>
      </c>
      <c r="S788" s="69">
        <f>IF($J788="","",IFERROR(INDEX(B!$K$2:$K$61,MATCH($J788,B!$E$2:$E$61,0))&amp;"",""))</f>
        <v/>
      </c>
      <c r="T788" s="69">
        <f>IF($J788="","",IFERROR(INDEX(B!$L$2:$L$61,MATCH($J788,B!$E$2:$E$61,0))&amp;"",""))</f>
        <v/>
      </c>
      <c r="U788" s="20" t="n"/>
      <c r="V788" s="70">
        <f>IF($J788="","",IFERROR(INDEX(B!$M$2:$M$61,MATCH($J788,B!$E$2:$E$61,0))&amp;"",""))</f>
        <v/>
      </c>
      <c r="W788" s="71">
        <f>IF(I788="","",IFERROR(MID(I788,FIND("/d/",I788)+3,FIND("/edit",I788)-FIND("/d/",I788)-3),I788))</f>
        <v/>
      </c>
      <c r="X788" s="71">
        <f>IF($J788="","",IFERROR(INDEX(B!$C$2:$C$61,MATCH($J788,B!$E$2:$E$61,0))&amp;"",""))</f>
        <v/>
      </c>
      <c r="Y788" s="20" t="n"/>
      <c r="Z788" s="72">
        <f>IF($J788="",FALSE,ISNUMBER(SEARCH("scout",$K788)))</f>
        <v/>
      </c>
      <c r="AA788" s="72">
        <f>IF($J788="",FALSE,IFERROR(INDEX(B!$N$2:$N$61,MATCH($J788,B!$E$2:$E$61,0))="Sim",FALSE))</f>
        <v/>
      </c>
      <c r="AB788" s="72">
        <f>IF($J788="",FALSE,LEFT($X788,2)="XX")</f>
        <v/>
      </c>
      <c r="AC788" s="72">
        <f>IF($J788="",FALSE,IFERROR(INDEX(B!$P$2:$P$61,MATCH($J788,B!$E$2:$E$61,0))="Sim",FALSE))</f>
        <v/>
      </c>
      <c r="AD788" s="20" t="n"/>
      <c r="AE788" s="52">
        <f>IF(H788="","",HOUR(H788))</f>
        <v/>
      </c>
      <c r="AF788" s="52" t="n"/>
    </row>
    <row r="789" ht="19.5" customHeight="1" s="58">
      <c r="A789" s="62">
        <f>IF(G789="","",IF(G789=G788,"",COUNTIF($G$3:$G$976,G789)))</f>
        <v/>
      </c>
      <c r="B789" s="20" t="n"/>
      <c r="C789" s="63">
        <f>IF(G789="","",DAY(G789))</f>
        <v/>
      </c>
      <c r="D789" s="63">
        <f>IF(G789="","",MONTH(G789))</f>
        <v/>
      </c>
      <c r="E789" s="63">
        <f>IF(G789="","",YEAR(G789))</f>
        <v/>
      </c>
      <c r="F789" s="33">
        <f>IF(G789="","",CHOOSE(MONTH(G789),"Janeiro","Fevereiro","Março","Abril","Maio","Junho","Julho","Agosto","Setembro","Outubro","Novembro","Dezembro"))</f>
        <v/>
      </c>
      <c r="G789" s="64" t="n">
        <v>46077</v>
      </c>
      <c r="H789" s="65" t="n">
        <v>0.1543055555555556</v>
      </c>
      <c r="I789" s="66" t="inlineStr">
        <is>
          <t>https://docs.google.com/spreadsheets/d/1ZiCGoPjLCjuYvujDTXK9Ixbth3tekiLtFBzBrGjPCr4/edit?gid=0#gid=0</t>
        </is>
      </c>
      <c r="J789" s="67" t="inlineStr">
        <is>
          <t>Transferência de LOB (Accounts) - [TIAC]</t>
        </is>
      </c>
      <c r="K789" s="67" t="inlineStr"/>
      <c r="L789" s="68" t="b">
        <v>0</v>
      </c>
      <c r="M789" s="20" t="n"/>
      <c r="N789" s="69">
        <f>IF($J789="","",IFERROR(INDEX(B!$F$2:$F$61,MATCH($J789,B!$E$2:$E$61,0))&amp;"",""))</f>
        <v/>
      </c>
      <c r="O789" s="69">
        <f>IF($J789="","",IFERROR(INDEX(B!$G$2:$G$61,MATCH($J789,B!$E$2:$E$61,0))&amp;"",""))</f>
        <v/>
      </c>
      <c r="P789" s="69">
        <f>IF($J789="","",IFERROR(INDEX(B!$H$2:$H$61,MATCH($J789,B!$E$2:$E$61,0))&amp;"",""))</f>
        <v/>
      </c>
      <c r="Q789" s="69">
        <f>IF($J789="","",IFERROR(INDEX(B!$I$2:$I$61,MATCH($J789,B!$E$2:$E$61,0))&amp;"",""))</f>
        <v/>
      </c>
      <c r="R789" s="69">
        <f>IF($J789="","",IFERROR(INDEX(B!$J$2:$J$61,MATCH($J789,B!$E$2:$E$61,0))&amp;"",""))</f>
        <v/>
      </c>
      <c r="S789" s="69">
        <f>IF($J789="","",IFERROR(INDEX(B!$K$2:$K$61,MATCH($J789,B!$E$2:$E$61,0))&amp;"",""))</f>
        <v/>
      </c>
      <c r="T789" s="69">
        <f>IF($J789="","",IFERROR(INDEX(B!$L$2:$L$61,MATCH($J789,B!$E$2:$E$61,0))&amp;"",""))</f>
        <v/>
      </c>
      <c r="U789" s="20" t="n"/>
      <c r="V789" s="70">
        <f>IF($J789="","",IFERROR(INDEX(B!$M$2:$M$61,MATCH($J789,B!$E$2:$E$61,0))&amp;"",""))</f>
        <v/>
      </c>
      <c r="W789" s="71">
        <f>IF(I789="","",IFERROR(MID(I789,FIND("/d/",I789)+3,FIND("/edit",I789)-FIND("/d/",I789)-3),I789))</f>
        <v/>
      </c>
      <c r="X789" s="71">
        <f>IF($J789="","",IFERROR(INDEX(B!$C$2:$C$61,MATCH($J789,B!$E$2:$E$61,0))&amp;"",""))</f>
        <v/>
      </c>
      <c r="Y789" s="20" t="n"/>
      <c r="Z789" s="72">
        <f>IF($J789="",FALSE,ISNUMBER(SEARCH("scout",$K789)))</f>
        <v/>
      </c>
      <c r="AA789" s="72">
        <f>IF($J789="",FALSE,IFERROR(INDEX(B!$N$2:$N$61,MATCH($J789,B!$E$2:$E$61,0))="Sim",FALSE))</f>
        <v/>
      </c>
      <c r="AB789" s="72">
        <f>IF($J789="",FALSE,LEFT($X789,2)="XX")</f>
        <v/>
      </c>
      <c r="AC789" s="72">
        <f>IF($J789="",FALSE,IFERROR(INDEX(B!$P$2:$P$61,MATCH($J789,B!$E$2:$E$61,0))="Sim",FALSE))</f>
        <v/>
      </c>
      <c r="AD789" s="20" t="n"/>
      <c r="AE789" s="52">
        <f>IF(H789="","",HOUR(H789))</f>
        <v/>
      </c>
      <c r="AF789" s="52" t="n"/>
    </row>
    <row r="790" ht="19.5" customHeight="1" s="58">
      <c r="A790" s="62">
        <f>IF(G790="","",IF(G790=G789,"",COUNTIF($G$3:$G$976,G790)))</f>
        <v/>
      </c>
      <c r="B790" s="20" t="n"/>
      <c r="C790" s="63">
        <f>IF(G790="","",DAY(G790))</f>
        <v/>
      </c>
      <c r="D790" s="63">
        <f>IF(G790="","",MONTH(G790))</f>
        <v/>
      </c>
      <c r="E790" s="63">
        <f>IF(G790="","",YEAR(G790))</f>
        <v/>
      </c>
      <c r="F790" s="33">
        <f>IF(G790="","",CHOOSE(MONTH(G790),"Janeiro","Fevereiro","Março","Abril","Maio","Junho","Julho","Agosto","Setembro","Outubro","Novembro","Dezembro"))</f>
        <v/>
      </c>
      <c r="G790" s="64" t="n">
        <v>46077</v>
      </c>
      <c r="H790" s="65" t="n">
        <v>0.1606828703703704</v>
      </c>
      <c r="I790" s="66" t="inlineStr">
        <is>
          <t>https://docs.google.com/spreadsheets/d/1ZiCGoPjLCjuYvujDTXK9Ixbth3tekiLtFBzBrGjPCr4/edit?gid=0#gid=0</t>
        </is>
      </c>
      <c r="J790" s="67" t="inlineStr">
        <is>
          <t>Comprovante de Pagamento - [CP]</t>
        </is>
      </c>
      <c r="K790" s="67" t="inlineStr"/>
      <c r="L790" s="68" t="b">
        <v>0</v>
      </c>
      <c r="M790" s="20" t="n"/>
      <c r="N790" s="69">
        <f>IF($J790="","",IFERROR(INDEX(B!$F$2:$F$61,MATCH($J790,B!$E$2:$E$61,0))&amp;"",""))</f>
        <v/>
      </c>
      <c r="O790" s="69">
        <f>IF($J790="","",IFERROR(INDEX(B!$G$2:$G$61,MATCH($J790,B!$E$2:$E$61,0))&amp;"",""))</f>
        <v/>
      </c>
      <c r="P790" s="69">
        <f>IF($J790="","",IFERROR(INDEX(B!$H$2:$H$61,MATCH($J790,B!$E$2:$E$61,0))&amp;"",""))</f>
        <v/>
      </c>
      <c r="Q790" s="69">
        <f>IF($J790="","",IFERROR(INDEX(B!$I$2:$I$61,MATCH($J790,B!$E$2:$E$61,0))&amp;"",""))</f>
        <v/>
      </c>
      <c r="R790" s="69">
        <f>IF($J790="","",IFERROR(INDEX(B!$J$2:$J$61,MATCH($J790,B!$E$2:$E$61,0))&amp;"",""))</f>
        <v/>
      </c>
      <c r="S790" s="69">
        <f>IF($J790="","",IFERROR(INDEX(B!$K$2:$K$61,MATCH($J790,B!$E$2:$E$61,0))&amp;"",""))</f>
        <v/>
      </c>
      <c r="T790" s="69">
        <f>IF($J790="","",IFERROR(INDEX(B!$L$2:$L$61,MATCH($J790,B!$E$2:$E$61,0))&amp;"",""))</f>
        <v/>
      </c>
      <c r="U790" s="20" t="n"/>
      <c r="V790" s="70">
        <f>IF($J790="","",IFERROR(INDEX(B!$M$2:$M$61,MATCH($J790,B!$E$2:$E$61,0))&amp;"",""))</f>
        <v/>
      </c>
      <c r="W790" s="71">
        <f>IF(I790="","",IFERROR(MID(I790,FIND("/d/",I790)+3,FIND("/edit",I790)-FIND("/d/",I790)-3),I790))</f>
        <v/>
      </c>
      <c r="X790" s="71">
        <f>IF($J790="","",IFERROR(INDEX(B!$C$2:$C$61,MATCH($J790,B!$E$2:$E$61,0))&amp;"",""))</f>
        <v/>
      </c>
      <c r="Y790" s="20" t="n"/>
      <c r="Z790" s="72">
        <f>IF($J790="",FALSE,ISNUMBER(SEARCH("scout",$K790)))</f>
        <v/>
      </c>
      <c r="AA790" s="72">
        <f>IF($J790="",FALSE,IFERROR(INDEX(B!$N$2:$N$61,MATCH($J790,B!$E$2:$E$61,0))="Sim",FALSE))</f>
        <v/>
      </c>
      <c r="AB790" s="72">
        <f>IF($J790="",FALSE,LEFT($X790,2)="XX")</f>
        <v/>
      </c>
      <c r="AC790" s="72">
        <f>IF($J790="",FALSE,IFERROR(INDEX(B!$P$2:$P$61,MATCH($J790,B!$E$2:$E$61,0))="Sim",FALSE))</f>
        <v/>
      </c>
      <c r="AD790" s="20" t="n"/>
      <c r="AE790" s="52">
        <f>IF(H790="","",HOUR(H790))</f>
        <v/>
      </c>
      <c r="AF790" s="52" t="n"/>
    </row>
    <row r="791" ht="19.5" customHeight="1" s="58">
      <c r="A791" s="62">
        <f>IF(G791="","",IF(G791=G790,"",COUNTIF($G$3:$G$976,G791)))</f>
        <v/>
      </c>
      <c r="B791" s="20" t="n"/>
      <c r="C791" s="63">
        <f>IF(G791="","",DAY(G791))</f>
        <v/>
      </c>
      <c r="D791" s="63">
        <f>IF(G791="","",MONTH(G791))</f>
        <v/>
      </c>
      <c r="E791" s="63">
        <f>IF(G791="","",YEAR(G791))</f>
        <v/>
      </c>
      <c r="F791" s="33">
        <f>IF(G791="","",CHOOSE(MONTH(G791),"Janeiro","Fevereiro","Março","Abril","Maio","Junho","Julho","Agosto","Setembro","Outubro","Novembro","Dezembro"))</f>
        <v/>
      </c>
      <c r="G791" s="64" t="n">
        <v>46077</v>
      </c>
      <c r="H791" s="65" t="n">
        <v>0.1664814814814815</v>
      </c>
      <c r="I791" s="66" t="inlineStr">
        <is>
          <t>https://docs.google.com/spreadsheets/d/1ZiCGoPjLCjuYvujDTXK9Ixbth3tekiLtFBzBrGjPCr4/edit?gid=0#gid=0</t>
        </is>
      </c>
      <c r="J791" s="67" t="inlineStr">
        <is>
          <t>Transferência de LOB (Safety) - [TIST]</t>
        </is>
      </c>
      <c r="K791" s="67" t="inlineStr"/>
      <c r="L791" s="68" t="b">
        <v>0</v>
      </c>
      <c r="M791" s="20" t="n"/>
      <c r="N791" s="69">
        <f>IF($J791="","",IFERROR(INDEX(B!$F$2:$F$61,MATCH($J791,B!$E$2:$E$61,0))&amp;"",""))</f>
        <v/>
      </c>
      <c r="O791" s="69">
        <f>IF($J791="","",IFERROR(INDEX(B!$G$2:$G$61,MATCH($J791,B!$E$2:$E$61,0))&amp;"",""))</f>
        <v/>
      </c>
      <c r="P791" s="69">
        <f>IF($J791="","",IFERROR(INDEX(B!$H$2:$H$61,MATCH($J791,B!$E$2:$E$61,0))&amp;"",""))</f>
        <v/>
      </c>
      <c r="Q791" s="69">
        <f>IF($J791="","",IFERROR(INDEX(B!$I$2:$I$61,MATCH($J791,B!$E$2:$E$61,0))&amp;"",""))</f>
        <v/>
      </c>
      <c r="R791" s="69">
        <f>IF($J791="","",IFERROR(INDEX(B!$J$2:$J$61,MATCH($J791,B!$E$2:$E$61,0))&amp;"",""))</f>
        <v/>
      </c>
      <c r="S791" s="69">
        <f>IF($J791="","",IFERROR(INDEX(B!$K$2:$K$61,MATCH($J791,B!$E$2:$E$61,0))&amp;"",""))</f>
        <v/>
      </c>
      <c r="T791" s="69">
        <f>IF($J791="","",IFERROR(INDEX(B!$L$2:$L$61,MATCH($J791,B!$E$2:$E$61,0))&amp;"",""))</f>
        <v/>
      </c>
      <c r="U791" s="20" t="n"/>
      <c r="V791" s="70">
        <f>IF($J791="","",IFERROR(INDEX(B!$M$2:$M$61,MATCH($J791,B!$E$2:$E$61,0))&amp;"",""))</f>
        <v/>
      </c>
      <c r="W791" s="71">
        <f>IF(I791="","",IFERROR(MID(I791,FIND("/d/",I791)+3,FIND("/edit",I791)-FIND("/d/",I791)-3),I791))</f>
        <v/>
      </c>
      <c r="X791" s="71">
        <f>IF($J791="","",IFERROR(INDEX(B!$C$2:$C$61,MATCH($J791,B!$E$2:$E$61,0))&amp;"",""))</f>
        <v/>
      </c>
      <c r="Y791" s="20" t="n"/>
      <c r="Z791" s="72">
        <f>IF($J791="",FALSE,ISNUMBER(SEARCH("scout",$K791)))</f>
        <v/>
      </c>
      <c r="AA791" s="72">
        <f>IF($J791="",FALSE,IFERROR(INDEX(B!$N$2:$N$61,MATCH($J791,B!$E$2:$E$61,0))="Sim",FALSE))</f>
        <v/>
      </c>
      <c r="AB791" s="72">
        <f>IF($J791="",FALSE,LEFT($X791,2)="XX")</f>
        <v/>
      </c>
      <c r="AC791" s="72">
        <f>IF($J791="",FALSE,IFERROR(INDEX(B!$P$2:$P$61,MATCH($J791,B!$E$2:$E$61,0))="Sim",FALSE))</f>
        <v/>
      </c>
      <c r="AD791" s="20" t="n"/>
      <c r="AE791" s="52">
        <f>IF(H791="","",HOUR(H791))</f>
        <v/>
      </c>
      <c r="AF791" s="52" t="n"/>
    </row>
    <row r="792" ht="19.5" customHeight="1" s="58">
      <c r="A792" s="62">
        <f>IF(G792="","",IF(G792=G791,"",COUNTIF($G$3:$G$976,G792)))</f>
        <v/>
      </c>
      <c r="B792" s="20" t="n"/>
      <c r="C792" s="63">
        <f>IF(G792="","",DAY(G792))</f>
        <v/>
      </c>
      <c r="D792" s="63">
        <f>IF(G792="","",MONTH(G792))</f>
        <v/>
      </c>
      <c r="E792" s="63">
        <f>IF(G792="","",YEAR(G792))</f>
        <v/>
      </c>
      <c r="F792" s="33">
        <f>IF(G792="","",CHOOSE(MONTH(G792),"Janeiro","Fevereiro","Março","Abril","Maio","Junho","Julho","Agosto","Setembro","Outubro","Novembro","Dezembro"))</f>
        <v/>
      </c>
      <c r="G792" s="64" t="n">
        <v>46077</v>
      </c>
      <c r="H792" s="65" t="n">
        <v>0.1692013888888889</v>
      </c>
      <c r="I792" s="66" t="inlineStr">
        <is>
          <t>https://docs.google.com/spreadsheets/d/1ZiCGoPjLCjuYvujDTXK9Ixbth3tekiLtFBzBrGjPCr4/edit?gid=0#gid=0</t>
        </is>
      </c>
      <c r="J792" s="67" t="inlineStr">
        <is>
          <t>Viagem Calculada Incorretamente - [VCI]</t>
        </is>
      </c>
      <c r="K792" s="67" t="inlineStr"/>
      <c r="L792" s="68" t="b">
        <v>0</v>
      </c>
      <c r="M792" s="20" t="n"/>
      <c r="N792" s="69">
        <f>IF($J792="","",IFERROR(INDEX(B!$F$2:$F$61,MATCH($J792,B!$E$2:$E$61,0))&amp;"",""))</f>
        <v/>
      </c>
      <c r="O792" s="69">
        <f>IF($J792="","",IFERROR(INDEX(B!$G$2:$G$61,MATCH($J792,B!$E$2:$E$61,0))&amp;"",""))</f>
        <v/>
      </c>
      <c r="P792" s="69">
        <f>IF($J792="","",IFERROR(INDEX(B!$H$2:$H$61,MATCH($J792,B!$E$2:$E$61,0))&amp;"",""))</f>
        <v/>
      </c>
      <c r="Q792" s="69">
        <f>IF($J792="","",IFERROR(INDEX(B!$I$2:$I$61,MATCH($J792,B!$E$2:$E$61,0))&amp;"",""))</f>
        <v/>
      </c>
      <c r="R792" s="69">
        <f>IF($J792="","",IFERROR(INDEX(B!$J$2:$J$61,MATCH($J792,B!$E$2:$E$61,0))&amp;"",""))</f>
        <v/>
      </c>
      <c r="S792" s="69">
        <f>IF($J792="","",IFERROR(INDEX(B!$K$2:$K$61,MATCH($J792,B!$E$2:$E$61,0))&amp;"",""))</f>
        <v/>
      </c>
      <c r="T792" s="69">
        <f>IF($J792="","",IFERROR(INDEX(B!$L$2:$L$61,MATCH($J792,B!$E$2:$E$61,0))&amp;"",""))</f>
        <v/>
      </c>
      <c r="U792" s="20" t="n"/>
      <c r="V792" s="70">
        <f>IF($J792="","",IFERROR(INDEX(B!$M$2:$M$61,MATCH($J792,B!$E$2:$E$61,0))&amp;"",""))</f>
        <v/>
      </c>
      <c r="W792" s="71">
        <f>IF(I792="","",IFERROR(MID(I792,FIND("/d/",I792)+3,FIND("/edit",I792)-FIND("/d/",I792)-3),I792))</f>
        <v/>
      </c>
      <c r="X792" s="71">
        <f>IF($J792="","",IFERROR(INDEX(B!$C$2:$C$61,MATCH($J792,B!$E$2:$E$61,0))&amp;"",""))</f>
        <v/>
      </c>
      <c r="Y792" s="20" t="n"/>
      <c r="Z792" s="72">
        <f>IF($J792="",FALSE,ISNUMBER(SEARCH("scout",$K792)))</f>
        <v/>
      </c>
      <c r="AA792" s="72">
        <f>IF($J792="",FALSE,IFERROR(INDEX(B!$N$2:$N$61,MATCH($J792,B!$E$2:$E$61,0))="Sim",FALSE))</f>
        <v/>
      </c>
      <c r="AB792" s="72">
        <f>IF($J792="",FALSE,LEFT($X792,2)="XX")</f>
        <v/>
      </c>
      <c r="AC792" s="72">
        <f>IF($J792="",FALSE,IFERROR(INDEX(B!$P$2:$P$61,MATCH($J792,B!$E$2:$E$61,0))="Sim",FALSE))</f>
        <v/>
      </c>
      <c r="AD792" s="20" t="n"/>
      <c r="AE792" s="52">
        <f>IF(H792="","",HOUR(H792))</f>
        <v/>
      </c>
      <c r="AF792" s="52" t="n"/>
    </row>
    <row r="793" ht="19.5" customHeight="1" s="58">
      <c r="A793" s="62">
        <f>IF(G793="","",IF(G793=G792,"",COUNTIF($G$3:$G$976,G793)))</f>
        <v/>
      </c>
      <c r="B793" s="20" t="n"/>
      <c r="C793" s="63">
        <f>IF(G793="","",DAY(G793))</f>
        <v/>
      </c>
      <c r="D793" s="63">
        <f>IF(G793="","",MONTH(G793))</f>
        <v/>
      </c>
      <c r="E793" s="63">
        <f>IF(G793="","",YEAR(G793))</f>
        <v/>
      </c>
      <c r="F793" s="33">
        <f>IF(G793="","",CHOOSE(MONTH(G793),"Janeiro","Fevereiro","Março","Abril","Maio","Junho","Julho","Agosto","Setembro","Outubro","Novembro","Dezembro"))</f>
        <v/>
      </c>
      <c r="G793" s="64" t="n">
        <v>46077</v>
      </c>
      <c r="H793" s="65" t="n">
        <v>0.176087962962963</v>
      </c>
      <c r="I793" s="66" t="inlineStr">
        <is>
          <t>https://docs.google.com/spreadsheets/d/1ZiCGoPjLCjuYvujDTXK9Ixbth3tekiLtFBzBrGjPCr4/edit?gid=0#gid=0</t>
        </is>
      </c>
      <c r="J793" s="67" t="inlineStr">
        <is>
          <t>Taxa de Cancelamento Cobrada Corretamente - [TXCO]</t>
        </is>
      </c>
      <c r="K793" s="67" t="inlineStr">
        <is>
          <t>Scout</t>
        </is>
      </c>
      <c r="L793" s="68" t="b">
        <v>0</v>
      </c>
      <c r="M793" s="20" t="n"/>
      <c r="N793" s="69">
        <f>IF($J793="","",IFERROR(INDEX(B!$F$2:$F$61,MATCH($J793,B!$E$2:$E$61,0))&amp;"",""))</f>
        <v/>
      </c>
      <c r="O793" s="69">
        <f>IF($J793="","",IFERROR(INDEX(B!$G$2:$G$61,MATCH($J793,B!$E$2:$E$61,0))&amp;"",""))</f>
        <v/>
      </c>
      <c r="P793" s="69">
        <f>IF($J793="","",IFERROR(INDEX(B!$H$2:$H$61,MATCH($J793,B!$E$2:$E$61,0))&amp;"",""))</f>
        <v/>
      </c>
      <c r="Q793" s="69">
        <f>IF($J793="","",IFERROR(INDEX(B!$I$2:$I$61,MATCH($J793,B!$E$2:$E$61,0))&amp;"",""))</f>
        <v/>
      </c>
      <c r="R793" s="69">
        <f>IF($J793="","",IFERROR(INDEX(B!$J$2:$J$61,MATCH($J793,B!$E$2:$E$61,0))&amp;"",""))</f>
        <v/>
      </c>
      <c r="S793" s="69">
        <f>IF($J793="","",IFERROR(INDEX(B!$K$2:$K$61,MATCH($J793,B!$E$2:$E$61,0))&amp;"",""))</f>
        <v/>
      </c>
      <c r="T793" s="69">
        <f>IF($J793="","",IFERROR(INDEX(B!$L$2:$L$61,MATCH($J793,B!$E$2:$E$61,0))&amp;"",""))</f>
        <v/>
      </c>
      <c r="U793" s="20" t="n"/>
      <c r="V793" s="70">
        <f>IF($J793="","",IFERROR(INDEX(B!$M$2:$M$61,MATCH($J793,B!$E$2:$E$61,0))&amp;"",""))</f>
        <v/>
      </c>
      <c r="W793" s="71">
        <f>IF(I793="","",IFERROR(MID(I793,FIND("/d/",I793)+3,FIND("/edit",I793)-FIND("/d/",I793)-3),I793))</f>
        <v/>
      </c>
      <c r="X793" s="71">
        <f>IF($J793="","",IFERROR(INDEX(B!$C$2:$C$61,MATCH($J793,B!$E$2:$E$61,0))&amp;"",""))</f>
        <v/>
      </c>
      <c r="Y793" s="20" t="n"/>
      <c r="Z793" s="72">
        <f>IF($J793="",FALSE,ISNUMBER(SEARCH("scout",$K793)))</f>
        <v/>
      </c>
      <c r="AA793" s="72">
        <f>IF($J793="",FALSE,IFERROR(INDEX(B!$N$2:$N$61,MATCH($J793,B!$E$2:$E$61,0))="Sim",FALSE))</f>
        <v/>
      </c>
      <c r="AB793" s="72">
        <f>IF($J793="",FALSE,LEFT($X793,2)="XX")</f>
        <v/>
      </c>
      <c r="AC793" s="72">
        <f>IF($J793="",FALSE,IFERROR(INDEX(B!$P$2:$P$61,MATCH($J793,B!$E$2:$E$61,0))="Sim",FALSE))</f>
        <v/>
      </c>
      <c r="AD793" s="20" t="n"/>
      <c r="AE793" s="52">
        <f>IF(H793="","",HOUR(H793))</f>
        <v/>
      </c>
      <c r="AF793" s="52" t="n"/>
    </row>
    <row r="794" ht="19.5" customHeight="1" s="58">
      <c r="A794" s="62">
        <f>IF(G794="","",IF(G794=G793,"",COUNTIF($G$3:$G$976,G794)))</f>
        <v/>
      </c>
      <c r="B794" s="20" t="n"/>
      <c r="C794" s="63">
        <f>IF(G794="","",DAY(G794))</f>
        <v/>
      </c>
      <c r="D794" s="63">
        <f>IF(G794="","",MONTH(G794))</f>
        <v/>
      </c>
      <c r="E794" s="63">
        <f>IF(G794="","",YEAR(G794))</f>
        <v/>
      </c>
      <c r="F794" s="33">
        <f>IF(G794="","",CHOOSE(MONTH(G794),"Janeiro","Fevereiro","Março","Abril","Maio","Junho","Julho","Agosto","Setembro","Outubro","Novembro","Dezembro"))</f>
        <v/>
      </c>
      <c r="G794" s="64" t="n">
        <v>46077</v>
      </c>
      <c r="H794" s="65" t="n">
        <v>0.1782291666666667</v>
      </c>
      <c r="I794" s="66" t="inlineStr">
        <is>
          <t>https://docs.google.com/spreadsheets/d/1ZiCGoPjLCjuYvujDTXK9Ixbth3tekiLtFBzBrGjPCr4/edit?gid=0#gid=0</t>
        </is>
      </c>
      <c r="J794" s="67" t="inlineStr">
        <is>
          <t>Transferência de LOB (Safety) - [TIST]</t>
        </is>
      </c>
      <c r="K794" s="67" t="inlineStr"/>
      <c r="L794" s="68" t="b">
        <v>0</v>
      </c>
      <c r="M794" s="20" t="n"/>
      <c r="N794" s="69">
        <f>IF($J794="","",IFERROR(INDEX(B!$F$2:$F$61,MATCH($J794,B!$E$2:$E$61,0))&amp;"",""))</f>
        <v/>
      </c>
      <c r="O794" s="69">
        <f>IF($J794="","",IFERROR(INDEX(B!$G$2:$G$61,MATCH($J794,B!$E$2:$E$61,0))&amp;"",""))</f>
        <v/>
      </c>
      <c r="P794" s="69">
        <f>IF($J794="","",IFERROR(INDEX(B!$H$2:$H$61,MATCH($J794,B!$E$2:$E$61,0))&amp;"",""))</f>
        <v/>
      </c>
      <c r="Q794" s="69">
        <f>IF($J794="","",IFERROR(INDEX(B!$I$2:$I$61,MATCH($J794,B!$E$2:$E$61,0))&amp;"",""))</f>
        <v/>
      </c>
      <c r="R794" s="69">
        <f>IF($J794="","",IFERROR(INDEX(B!$J$2:$J$61,MATCH($J794,B!$E$2:$E$61,0))&amp;"",""))</f>
        <v/>
      </c>
      <c r="S794" s="69">
        <f>IF($J794="","",IFERROR(INDEX(B!$K$2:$K$61,MATCH($J794,B!$E$2:$E$61,0))&amp;"",""))</f>
        <v/>
      </c>
      <c r="T794" s="69">
        <f>IF($J794="","",IFERROR(INDEX(B!$L$2:$L$61,MATCH($J794,B!$E$2:$E$61,0))&amp;"",""))</f>
        <v/>
      </c>
      <c r="U794" s="20" t="n"/>
      <c r="V794" s="70">
        <f>IF($J794="","",IFERROR(INDEX(B!$M$2:$M$61,MATCH($J794,B!$E$2:$E$61,0))&amp;"",""))</f>
        <v/>
      </c>
      <c r="W794" s="71">
        <f>IF(I794="","",IFERROR(MID(I794,FIND("/d/",I794)+3,FIND("/edit",I794)-FIND("/d/",I794)-3),I794))</f>
        <v/>
      </c>
      <c r="X794" s="71">
        <f>IF($J794="","",IFERROR(INDEX(B!$C$2:$C$61,MATCH($J794,B!$E$2:$E$61,0))&amp;"",""))</f>
        <v/>
      </c>
      <c r="Y794" s="20" t="n"/>
      <c r="Z794" s="72">
        <f>IF($J794="",FALSE,ISNUMBER(SEARCH("scout",$K794)))</f>
        <v/>
      </c>
      <c r="AA794" s="72">
        <f>IF($J794="",FALSE,IFERROR(INDEX(B!$N$2:$N$61,MATCH($J794,B!$E$2:$E$61,0))="Sim",FALSE))</f>
        <v/>
      </c>
      <c r="AB794" s="72">
        <f>IF($J794="",FALSE,LEFT($X794,2)="XX")</f>
        <v/>
      </c>
      <c r="AC794" s="72">
        <f>IF($J794="",FALSE,IFERROR(INDEX(B!$P$2:$P$61,MATCH($J794,B!$E$2:$E$61,0))="Sim",FALSE))</f>
        <v/>
      </c>
      <c r="AD794" s="20" t="n"/>
      <c r="AE794" s="52">
        <f>IF(H794="","",HOUR(H794))</f>
        <v/>
      </c>
      <c r="AF794" s="52" t="n"/>
    </row>
    <row r="795" ht="19.5" customHeight="1" s="58">
      <c r="A795" s="62">
        <f>IF(G795="","",IF(G795=G794,"",COUNTIF($G$3:$G$976,G795)))</f>
        <v/>
      </c>
      <c r="B795" s="20" t="n"/>
      <c r="C795" s="63">
        <f>IF(G795="","",DAY(G795))</f>
        <v/>
      </c>
      <c r="D795" s="63">
        <f>IF(G795="","",MONTH(G795))</f>
        <v/>
      </c>
      <c r="E795" s="63">
        <f>IF(G795="","",YEAR(G795))</f>
        <v/>
      </c>
      <c r="F795" s="33">
        <f>IF(G795="","",CHOOSE(MONTH(G795),"Janeiro","Fevereiro","Março","Abril","Maio","Junho","Julho","Agosto","Setembro","Outubro","Novembro","Dezembro"))</f>
        <v/>
      </c>
      <c r="G795" s="64" t="n">
        <v>46077</v>
      </c>
      <c r="H795" s="65" t="n">
        <v>0.1831481481481481</v>
      </c>
      <c r="I795" s="66" t="inlineStr">
        <is>
          <t>https://docs.google.com/spreadsheets/d/1ZiCGoPjLCjuYvujDTXK9Ixbth3tekiLtFBzBrGjPCr4/edit?gid=0#gid=0</t>
        </is>
      </c>
      <c r="J795" s="67" t="inlineStr">
        <is>
          <t>Taxa de Limpeza, Reembolsado ao cliente - [TXLR]</t>
        </is>
      </c>
      <c r="K795" s="67" t="inlineStr"/>
      <c r="L795" s="68" t="b">
        <v>0</v>
      </c>
      <c r="M795" s="20" t="n"/>
      <c r="N795" s="69">
        <f>IF($J795="","",IFERROR(INDEX(B!$F$2:$F$61,MATCH($J795,B!$E$2:$E$61,0))&amp;"",""))</f>
        <v/>
      </c>
      <c r="O795" s="69">
        <f>IF($J795="","",IFERROR(INDEX(B!$G$2:$G$61,MATCH($J795,B!$E$2:$E$61,0))&amp;"",""))</f>
        <v/>
      </c>
      <c r="P795" s="69">
        <f>IF($J795="","",IFERROR(INDEX(B!$H$2:$H$61,MATCH($J795,B!$E$2:$E$61,0))&amp;"",""))</f>
        <v/>
      </c>
      <c r="Q795" s="69">
        <f>IF($J795="","",IFERROR(INDEX(B!$I$2:$I$61,MATCH($J795,B!$E$2:$E$61,0))&amp;"",""))</f>
        <v/>
      </c>
      <c r="R795" s="69">
        <f>IF($J795="","",IFERROR(INDEX(B!$J$2:$J$61,MATCH($J795,B!$E$2:$E$61,0))&amp;"",""))</f>
        <v/>
      </c>
      <c r="S795" s="69">
        <f>IF($J795="","",IFERROR(INDEX(B!$K$2:$K$61,MATCH($J795,B!$E$2:$E$61,0))&amp;"",""))</f>
        <v/>
      </c>
      <c r="T795" s="69">
        <f>IF($J795="","",IFERROR(INDEX(B!$L$2:$L$61,MATCH($J795,B!$E$2:$E$61,0))&amp;"",""))</f>
        <v/>
      </c>
      <c r="U795" s="20" t="n"/>
      <c r="V795" s="70">
        <f>IF($J795="","",IFERROR(INDEX(B!$M$2:$M$61,MATCH($J795,B!$E$2:$E$61,0))&amp;"",""))</f>
        <v/>
      </c>
      <c r="W795" s="71">
        <f>IF(I795="","",IFERROR(MID(I795,FIND("/d/",I795)+3,FIND("/edit",I795)-FIND("/d/",I795)-3),I795))</f>
        <v/>
      </c>
      <c r="X795" s="71">
        <f>IF($J795="","",IFERROR(INDEX(B!$C$2:$C$61,MATCH($J795,B!$E$2:$E$61,0))&amp;"",""))</f>
        <v/>
      </c>
      <c r="Y795" s="20" t="n"/>
      <c r="Z795" s="72">
        <f>IF($J795="",FALSE,ISNUMBER(SEARCH("scout",$K795)))</f>
        <v/>
      </c>
      <c r="AA795" s="72">
        <f>IF($J795="",FALSE,IFERROR(INDEX(B!$N$2:$N$61,MATCH($J795,B!$E$2:$E$61,0))="Sim",FALSE))</f>
        <v/>
      </c>
      <c r="AB795" s="72">
        <f>IF($J795="",FALSE,LEFT($X795,2)="XX")</f>
        <v/>
      </c>
      <c r="AC795" s="72">
        <f>IF($J795="",FALSE,IFERROR(INDEX(B!$P$2:$P$61,MATCH($J795,B!$E$2:$E$61,0))="Sim",FALSE))</f>
        <v/>
      </c>
      <c r="AD795" s="20" t="n"/>
      <c r="AE795" s="52">
        <f>IF(H795="","",HOUR(H795))</f>
        <v/>
      </c>
      <c r="AF795" s="52" t="n"/>
    </row>
    <row r="796" ht="19.5" customHeight="1" s="58">
      <c r="A796" s="62">
        <f>IF(G796="","",IF(G796=G795,"",COUNTIF($G$3:$G$976,G796)))</f>
        <v/>
      </c>
      <c r="B796" s="20" t="n"/>
      <c r="C796" s="63">
        <f>IF(G796="","",DAY(G796))</f>
        <v/>
      </c>
      <c r="D796" s="63">
        <f>IF(G796="","",MONTH(G796))</f>
        <v/>
      </c>
      <c r="E796" s="63">
        <f>IF(G796="","",YEAR(G796))</f>
        <v/>
      </c>
      <c r="F796" s="33">
        <f>IF(G796="","",CHOOSE(MONTH(G796),"Janeiro","Fevereiro","Março","Abril","Maio","Junho","Julho","Agosto","Setembro","Outubro","Novembro","Dezembro"))</f>
        <v/>
      </c>
      <c r="G796" s="64" t="n">
        <v>46077</v>
      </c>
      <c r="H796" s="65" t="n">
        <v>0.1871180555555556</v>
      </c>
      <c r="I796" s="66" t="inlineStr">
        <is>
          <t>https://docs.google.com/spreadsheets/d/1ZiCGoPjLCjuYvujDTXK9Ixbth3tekiLtFBzBrGjPCr4/edit?gid=0#gid=0</t>
        </is>
      </c>
      <c r="J796" s="67" t="inlineStr">
        <is>
          <t>Viagem Calculada Incorretamente - [VCI]</t>
        </is>
      </c>
      <c r="K796" s="67" t="inlineStr"/>
      <c r="L796" s="68" t="b">
        <v>0</v>
      </c>
      <c r="M796" s="20" t="n"/>
      <c r="N796" s="69">
        <f>IF($J796="","",IFERROR(INDEX(B!$F$2:$F$61,MATCH($J796,B!$E$2:$E$61,0))&amp;"",""))</f>
        <v/>
      </c>
      <c r="O796" s="69">
        <f>IF($J796="","",IFERROR(INDEX(B!$G$2:$G$61,MATCH($J796,B!$E$2:$E$61,0))&amp;"",""))</f>
        <v/>
      </c>
      <c r="P796" s="69">
        <f>IF($J796="","",IFERROR(INDEX(B!$H$2:$H$61,MATCH($J796,B!$E$2:$E$61,0))&amp;"",""))</f>
        <v/>
      </c>
      <c r="Q796" s="69">
        <f>IF($J796="","",IFERROR(INDEX(B!$I$2:$I$61,MATCH($J796,B!$E$2:$E$61,0))&amp;"",""))</f>
        <v/>
      </c>
      <c r="R796" s="69">
        <f>IF($J796="","",IFERROR(INDEX(B!$J$2:$J$61,MATCH($J796,B!$E$2:$E$61,0))&amp;"",""))</f>
        <v/>
      </c>
      <c r="S796" s="69">
        <f>IF($J796="","",IFERROR(INDEX(B!$K$2:$K$61,MATCH($J796,B!$E$2:$E$61,0))&amp;"",""))</f>
        <v/>
      </c>
      <c r="T796" s="69">
        <f>IF($J796="","",IFERROR(INDEX(B!$L$2:$L$61,MATCH($J796,B!$E$2:$E$61,0))&amp;"",""))</f>
        <v/>
      </c>
      <c r="U796" s="20" t="n"/>
      <c r="V796" s="70">
        <f>IF($J796="","",IFERROR(INDEX(B!$M$2:$M$61,MATCH($J796,B!$E$2:$E$61,0))&amp;"",""))</f>
        <v/>
      </c>
      <c r="W796" s="71">
        <f>IF(I796="","",IFERROR(MID(I796,FIND("/d/",I796)+3,FIND("/edit",I796)-FIND("/d/",I796)-3),I796))</f>
        <v/>
      </c>
      <c r="X796" s="71">
        <f>IF($J796="","",IFERROR(INDEX(B!$C$2:$C$61,MATCH($J796,B!$E$2:$E$61,0))&amp;"",""))</f>
        <v/>
      </c>
      <c r="Y796" s="20" t="n"/>
      <c r="Z796" s="72">
        <f>IF($J796="",FALSE,ISNUMBER(SEARCH("scout",$K796)))</f>
        <v/>
      </c>
      <c r="AA796" s="72">
        <f>IF($J796="",FALSE,IFERROR(INDEX(B!$N$2:$N$61,MATCH($J796,B!$E$2:$E$61,0))="Sim",FALSE))</f>
        <v/>
      </c>
      <c r="AB796" s="72">
        <f>IF($J796="",FALSE,LEFT($X796,2)="XX")</f>
        <v/>
      </c>
      <c r="AC796" s="72">
        <f>IF($J796="",FALSE,IFERROR(INDEX(B!$P$2:$P$61,MATCH($J796,B!$E$2:$E$61,0))="Sim",FALSE))</f>
        <v/>
      </c>
      <c r="AD796" s="20" t="n"/>
      <c r="AE796" s="52">
        <f>IF(H796="","",HOUR(H796))</f>
        <v/>
      </c>
      <c r="AF796" s="52" t="n"/>
    </row>
    <row r="797" ht="19.5" customHeight="1" s="58">
      <c r="A797" s="62">
        <f>IF(G797="","",IF(G797=G796,"",COUNTIF($G$3:$G$976,G797)))</f>
        <v/>
      </c>
      <c r="B797" s="20" t="n"/>
      <c r="C797" s="63">
        <f>IF(G797="","",DAY(G797))</f>
        <v/>
      </c>
      <c r="D797" s="63">
        <f>IF(G797="","",MONTH(G797))</f>
        <v/>
      </c>
      <c r="E797" s="63">
        <f>IF(G797="","",YEAR(G797))</f>
        <v/>
      </c>
      <c r="F797" s="33">
        <f>IF(G797="","",CHOOSE(MONTH(G797),"Janeiro","Fevereiro","Março","Abril","Maio","Junho","Julho","Agosto","Setembro","Outubro","Novembro","Dezembro"))</f>
        <v/>
      </c>
      <c r="G797" s="64" t="n">
        <v>46077</v>
      </c>
      <c r="H797" s="65" t="n">
        <v>0.1882986111111111</v>
      </c>
      <c r="I797" s="66" t="inlineStr">
        <is>
          <t>https://docs.google.com/spreadsheets/d/1ZiCGoPjLCjuYvujDTXK9Ixbth3tekiLtFBzBrGjPCr4/edit?gid=0#gid=0</t>
        </is>
      </c>
      <c r="J797" s="67" t="inlineStr">
        <is>
          <t>Transferência de LOB (Safety) - [TIST]</t>
        </is>
      </c>
      <c r="K797" s="67" t="inlineStr"/>
      <c r="L797" s="68" t="b">
        <v>0</v>
      </c>
      <c r="M797" s="20" t="n"/>
      <c r="N797" s="69">
        <f>IF($J797="","",IFERROR(INDEX(B!$F$2:$F$61,MATCH($J797,B!$E$2:$E$61,0))&amp;"",""))</f>
        <v/>
      </c>
      <c r="O797" s="69">
        <f>IF($J797="","",IFERROR(INDEX(B!$G$2:$G$61,MATCH($J797,B!$E$2:$E$61,0))&amp;"",""))</f>
        <v/>
      </c>
      <c r="P797" s="69">
        <f>IF($J797="","",IFERROR(INDEX(B!$H$2:$H$61,MATCH($J797,B!$E$2:$E$61,0))&amp;"",""))</f>
        <v/>
      </c>
      <c r="Q797" s="69">
        <f>IF($J797="","",IFERROR(INDEX(B!$I$2:$I$61,MATCH($J797,B!$E$2:$E$61,0))&amp;"",""))</f>
        <v/>
      </c>
      <c r="R797" s="69">
        <f>IF($J797="","",IFERROR(INDEX(B!$J$2:$J$61,MATCH($J797,B!$E$2:$E$61,0))&amp;"",""))</f>
        <v/>
      </c>
      <c r="S797" s="69">
        <f>IF($J797="","",IFERROR(INDEX(B!$K$2:$K$61,MATCH($J797,B!$E$2:$E$61,0))&amp;"",""))</f>
        <v/>
      </c>
      <c r="T797" s="69">
        <f>IF($J797="","",IFERROR(INDEX(B!$L$2:$L$61,MATCH($J797,B!$E$2:$E$61,0))&amp;"",""))</f>
        <v/>
      </c>
      <c r="U797" s="20" t="n"/>
      <c r="V797" s="70">
        <f>IF($J797="","",IFERROR(INDEX(B!$M$2:$M$61,MATCH($J797,B!$E$2:$E$61,0))&amp;"",""))</f>
        <v/>
      </c>
      <c r="W797" s="71">
        <f>IF(I797="","",IFERROR(MID(I797,FIND("/d/",I797)+3,FIND("/edit",I797)-FIND("/d/",I797)-3),I797))</f>
        <v/>
      </c>
      <c r="X797" s="71">
        <f>IF($J797="","",IFERROR(INDEX(B!$C$2:$C$61,MATCH($J797,B!$E$2:$E$61,0))&amp;"",""))</f>
        <v/>
      </c>
      <c r="Y797" s="20" t="n"/>
      <c r="Z797" s="72">
        <f>IF($J797="",FALSE,ISNUMBER(SEARCH("scout",$K797)))</f>
        <v/>
      </c>
      <c r="AA797" s="72">
        <f>IF($J797="",FALSE,IFERROR(INDEX(B!$N$2:$N$61,MATCH($J797,B!$E$2:$E$61,0))="Sim",FALSE))</f>
        <v/>
      </c>
      <c r="AB797" s="72">
        <f>IF($J797="",FALSE,LEFT($X797,2)="XX")</f>
        <v/>
      </c>
      <c r="AC797" s="72">
        <f>IF($J797="",FALSE,IFERROR(INDEX(B!$P$2:$P$61,MATCH($J797,B!$E$2:$E$61,0))="Sim",FALSE))</f>
        <v/>
      </c>
      <c r="AD797" s="20" t="n"/>
      <c r="AE797" s="52">
        <f>IF(H797="","",HOUR(H797))</f>
        <v/>
      </c>
      <c r="AF797" s="52" t="n"/>
    </row>
    <row r="798" ht="19.5" customHeight="1" s="58">
      <c r="A798" s="62">
        <f>IF(G798="","",IF(G798=G797,"",COUNTIF($G$3:$G$976,G798)))</f>
        <v/>
      </c>
      <c r="B798" s="20" t="n"/>
      <c r="C798" s="63">
        <f>IF(G798="","",DAY(G798))</f>
        <v/>
      </c>
      <c r="D798" s="63">
        <f>IF(G798="","",MONTH(G798))</f>
        <v/>
      </c>
      <c r="E798" s="63">
        <f>IF(G798="","",YEAR(G798))</f>
        <v/>
      </c>
      <c r="F798" s="33">
        <f>IF(G798="","",CHOOSE(MONTH(G798),"Janeiro","Fevereiro","Março","Abril","Maio","Junho","Julho","Agosto","Setembro","Outubro","Novembro","Dezembro"))</f>
        <v/>
      </c>
      <c r="G798" s="64" t="n">
        <v>46077</v>
      </c>
      <c r="H798" s="65" t="n">
        <v>0.1962962962962963</v>
      </c>
      <c r="I798" s="66" t="inlineStr">
        <is>
          <t>https://docs.google.com/spreadsheets/d/1ZiCGoPjLCjuYvujDTXK9Ixbth3tekiLtFBzBrGjPCr4/edit?gid=0#gid=0</t>
        </is>
      </c>
      <c r="J798" s="67" t="inlineStr">
        <is>
          <t>Overpaid, Não excede o limite, Com comprovante - [OPNC]</t>
        </is>
      </c>
      <c r="K798" s="67" t="inlineStr"/>
      <c r="L798" s="68" t="b">
        <v>0</v>
      </c>
      <c r="M798" s="20" t="n"/>
      <c r="N798" s="69">
        <f>IF($J798="","",IFERROR(INDEX(B!$F$2:$F$61,MATCH($J798,B!$E$2:$E$61,0))&amp;"",""))</f>
        <v/>
      </c>
      <c r="O798" s="69">
        <f>IF($J798="","",IFERROR(INDEX(B!$G$2:$G$61,MATCH($J798,B!$E$2:$E$61,0))&amp;"",""))</f>
        <v/>
      </c>
      <c r="P798" s="69">
        <f>IF($J798="","",IFERROR(INDEX(B!$H$2:$H$61,MATCH($J798,B!$E$2:$E$61,0))&amp;"",""))</f>
        <v/>
      </c>
      <c r="Q798" s="69">
        <f>IF($J798="","",IFERROR(INDEX(B!$I$2:$I$61,MATCH($J798,B!$E$2:$E$61,0))&amp;"",""))</f>
        <v/>
      </c>
      <c r="R798" s="69">
        <f>IF($J798="","",IFERROR(INDEX(B!$J$2:$J$61,MATCH($J798,B!$E$2:$E$61,0))&amp;"",""))</f>
        <v/>
      </c>
      <c r="S798" s="69">
        <f>IF($J798="","",IFERROR(INDEX(B!$K$2:$K$61,MATCH($J798,B!$E$2:$E$61,0))&amp;"",""))</f>
        <v/>
      </c>
      <c r="T798" s="69">
        <f>IF($J798="","",IFERROR(INDEX(B!$L$2:$L$61,MATCH($J798,B!$E$2:$E$61,0))&amp;"",""))</f>
        <v/>
      </c>
      <c r="U798" s="20" t="n"/>
      <c r="V798" s="70">
        <f>IF($J798="","",IFERROR(INDEX(B!$M$2:$M$61,MATCH($J798,B!$E$2:$E$61,0))&amp;"",""))</f>
        <v/>
      </c>
      <c r="W798" s="71">
        <f>IF(I798="","",IFERROR(MID(I798,FIND("/d/",I798)+3,FIND("/edit",I798)-FIND("/d/",I798)-3),I798))</f>
        <v/>
      </c>
      <c r="X798" s="71">
        <f>IF($J798="","",IFERROR(INDEX(B!$C$2:$C$61,MATCH($J798,B!$E$2:$E$61,0))&amp;"",""))</f>
        <v/>
      </c>
      <c r="Y798" s="20" t="n"/>
      <c r="Z798" s="72">
        <f>IF($J798="",FALSE,ISNUMBER(SEARCH("scout",$K798)))</f>
        <v/>
      </c>
      <c r="AA798" s="72">
        <f>IF($J798="",FALSE,IFERROR(INDEX(B!$N$2:$N$61,MATCH($J798,B!$E$2:$E$61,0))="Sim",FALSE))</f>
        <v/>
      </c>
      <c r="AB798" s="72">
        <f>IF($J798="",FALSE,LEFT($X798,2)="XX")</f>
        <v/>
      </c>
      <c r="AC798" s="72">
        <f>IF($J798="",FALSE,IFERROR(INDEX(B!$P$2:$P$61,MATCH($J798,B!$E$2:$E$61,0))="Sim",FALSE))</f>
        <v/>
      </c>
      <c r="AD798" s="20" t="n"/>
      <c r="AE798" s="52">
        <f>IF(H798="","",HOUR(H798))</f>
        <v/>
      </c>
      <c r="AF798" s="52" t="n"/>
    </row>
    <row r="799" ht="19.5" customHeight="1" s="58">
      <c r="A799" s="62">
        <f>IF(G799="","",IF(G799=G798,"",COUNTIF($G$3:$G$976,G799)))</f>
        <v/>
      </c>
      <c r="B799" s="20" t="n"/>
      <c r="C799" s="63">
        <f>IF(G799="","",DAY(G799))</f>
        <v/>
      </c>
      <c r="D799" s="63">
        <f>IF(G799="","",MONTH(G799))</f>
        <v/>
      </c>
      <c r="E799" s="63">
        <f>IF(G799="","",YEAR(G799))</f>
        <v/>
      </c>
      <c r="F799" s="33">
        <f>IF(G799="","",CHOOSE(MONTH(G799),"Janeiro","Fevereiro","Março","Abril","Maio","Junho","Julho","Agosto","Setembro","Outubro","Novembro","Dezembro"))</f>
        <v/>
      </c>
      <c r="G799" s="64" t="n">
        <v>46077</v>
      </c>
      <c r="H799" s="65" t="n">
        <v>0.1999768518518519</v>
      </c>
      <c r="I799" s="66" t="inlineStr">
        <is>
          <t>https://docs.google.com/spreadsheets/d/1ZiCGoPjLCjuYvujDTXK9Ixbth3tekiLtFBzBrGjPCr4/edit?gid=0#gid=0</t>
        </is>
      </c>
      <c r="J799" s="67" t="inlineStr">
        <is>
          <t>Viagem Calculada Incorretamente - [VCI]</t>
        </is>
      </c>
      <c r="K799" s="67" t="inlineStr">
        <is>
          <t>Scout</t>
        </is>
      </c>
      <c r="L799" s="68" t="b">
        <v>0</v>
      </c>
      <c r="M799" s="20" t="n"/>
      <c r="N799" s="69">
        <f>IF($J799="","",IFERROR(INDEX(B!$F$2:$F$61,MATCH($J799,B!$E$2:$E$61,0))&amp;"",""))</f>
        <v/>
      </c>
      <c r="O799" s="69">
        <f>IF($J799="","",IFERROR(INDEX(B!$G$2:$G$61,MATCH($J799,B!$E$2:$E$61,0))&amp;"",""))</f>
        <v/>
      </c>
      <c r="P799" s="69">
        <f>IF($J799="","",IFERROR(INDEX(B!$H$2:$H$61,MATCH($J799,B!$E$2:$E$61,0))&amp;"",""))</f>
        <v/>
      </c>
      <c r="Q799" s="69">
        <f>IF($J799="","",IFERROR(INDEX(B!$I$2:$I$61,MATCH($J799,B!$E$2:$E$61,0))&amp;"",""))</f>
        <v/>
      </c>
      <c r="R799" s="69">
        <f>IF($J799="","",IFERROR(INDEX(B!$J$2:$J$61,MATCH($J799,B!$E$2:$E$61,0))&amp;"",""))</f>
        <v/>
      </c>
      <c r="S799" s="69">
        <f>IF($J799="","",IFERROR(INDEX(B!$K$2:$K$61,MATCH($J799,B!$E$2:$E$61,0))&amp;"",""))</f>
        <v/>
      </c>
      <c r="T799" s="69">
        <f>IF($J799="","",IFERROR(INDEX(B!$L$2:$L$61,MATCH($J799,B!$E$2:$E$61,0))&amp;"",""))</f>
        <v/>
      </c>
      <c r="U799" s="20" t="n"/>
      <c r="V799" s="70">
        <f>IF($J799="","",IFERROR(INDEX(B!$M$2:$M$61,MATCH($J799,B!$E$2:$E$61,0))&amp;"",""))</f>
        <v/>
      </c>
      <c r="W799" s="71">
        <f>IF(I799="","",IFERROR(MID(I799,FIND("/d/",I799)+3,FIND("/edit",I799)-FIND("/d/",I799)-3),I799))</f>
        <v/>
      </c>
      <c r="X799" s="71">
        <f>IF($J799="","",IFERROR(INDEX(B!$C$2:$C$61,MATCH($J799,B!$E$2:$E$61,0))&amp;"",""))</f>
        <v/>
      </c>
      <c r="Y799" s="20" t="n"/>
      <c r="Z799" s="72">
        <f>IF($J799="",FALSE,ISNUMBER(SEARCH("scout",$K799)))</f>
        <v/>
      </c>
      <c r="AA799" s="72">
        <f>IF($J799="",FALSE,IFERROR(INDEX(B!$N$2:$N$61,MATCH($J799,B!$E$2:$E$61,0))="Sim",FALSE))</f>
        <v/>
      </c>
      <c r="AB799" s="72">
        <f>IF($J799="",FALSE,LEFT($X799,2)="XX")</f>
        <v/>
      </c>
      <c r="AC799" s="72">
        <f>IF($J799="",FALSE,IFERROR(INDEX(B!$P$2:$P$61,MATCH($J799,B!$E$2:$E$61,0))="Sim",FALSE))</f>
        <v/>
      </c>
      <c r="AD799" s="20" t="n"/>
      <c r="AE799" s="52">
        <f>IF(H799="","",HOUR(H799))</f>
        <v/>
      </c>
      <c r="AF799" s="52" t="n"/>
    </row>
    <row r="800" ht="19.5" customHeight="1" s="58">
      <c r="A800" s="62">
        <f>IF(G800="","",IF(G800=G799,"",COUNTIF($G$3:$G$976,G800)))</f>
        <v/>
      </c>
      <c r="B800" s="20" t="n"/>
      <c r="C800" s="63">
        <f>IF(G800="","",DAY(G800))</f>
        <v/>
      </c>
      <c r="D800" s="63">
        <f>IF(G800="","",MONTH(G800))</f>
        <v/>
      </c>
      <c r="E800" s="63">
        <f>IF(G800="","",YEAR(G800))</f>
        <v/>
      </c>
      <c r="F800" s="33">
        <f>IF(G800="","",CHOOSE(MONTH(G800),"Janeiro","Fevereiro","Março","Abril","Maio","Junho","Julho","Agosto","Setembro","Outubro","Novembro","Dezembro"))</f>
        <v/>
      </c>
      <c r="G800" s="64" t="n">
        <v>46077</v>
      </c>
      <c r="H800" s="65" t="n">
        <v>0.2054513888888889</v>
      </c>
      <c r="I800" s="66" t="inlineStr">
        <is>
          <t>https://docs.google.com/spreadsheets/d/1ZiCGoPjLCjuYvujDTXK9Ixbth3tekiLtFBzBrGjPCr4/edit?gid=0#gid=0</t>
        </is>
      </c>
      <c r="J800" s="67" t="inlineStr">
        <is>
          <t>Taxa de Limpeza - [TXL]</t>
        </is>
      </c>
      <c r="K800" s="67" t="inlineStr"/>
      <c r="L800" s="68" t="b">
        <v>0</v>
      </c>
      <c r="M800" s="20" t="n"/>
      <c r="N800" s="69">
        <f>IF($J800="","",IFERROR(INDEX(B!$F$2:$F$61,MATCH($J800,B!$E$2:$E$61,0))&amp;"",""))</f>
        <v/>
      </c>
      <c r="O800" s="69">
        <f>IF($J800="","",IFERROR(INDEX(B!$G$2:$G$61,MATCH($J800,B!$E$2:$E$61,0))&amp;"",""))</f>
        <v/>
      </c>
      <c r="P800" s="69">
        <f>IF($J800="","",IFERROR(INDEX(B!$H$2:$H$61,MATCH($J800,B!$E$2:$E$61,0))&amp;"",""))</f>
        <v/>
      </c>
      <c r="Q800" s="69">
        <f>IF($J800="","",IFERROR(INDEX(B!$I$2:$I$61,MATCH($J800,B!$E$2:$E$61,0))&amp;"",""))</f>
        <v/>
      </c>
      <c r="R800" s="69">
        <f>IF($J800="","",IFERROR(INDEX(B!$J$2:$J$61,MATCH($J800,B!$E$2:$E$61,0))&amp;"",""))</f>
        <v/>
      </c>
      <c r="S800" s="69">
        <f>IF($J800="","",IFERROR(INDEX(B!$K$2:$K$61,MATCH($J800,B!$E$2:$E$61,0))&amp;"",""))</f>
        <v/>
      </c>
      <c r="T800" s="69">
        <f>IF($J800="","",IFERROR(INDEX(B!$L$2:$L$61,MATCH($J800,B!$E$2:$E$61,0))&amp;"",""))</f>
        <v/>
      </c>
      <c r="U800" s="20" t="n"/>
      <c r="V800" s="70">
        <f>IF($J800="","",IFERROR(INDEX(B!$M$2:$M$61,MATCH($J800,B!$E$2:$E$61,0))&amp;"",""))</f>
        <v/>
      </c>
      <c r="W800" s="71">
        <f>IF(I800="","",IFERROR(MID(I800,FIND("/d/",I800)+3,FIND("/edit",I800)-FIND("/d/",I800)-3),I800))</f>
        <v/>
      </c>
      <c r="X800" s="71">
        <f>IF($J800="","",IFERROR(INDEX(B!$C$2:$C$61,MATCH($J800,B!$E$2:$E$61,0))&amp;"",""))</f>
        <v/>
      </c>
      <c r="Y800" s="20" t="n"/>
      <c r="Z800" s="72">
        <f>IF($J800="",FALSE,ISNUMBER(SEARCH("scout",$K800)))</f>
        <v/>
      </c>
      <c r="AA800" s="72">
        <f>IF($J800="",FALSE,IFERROR(INDEX(B!$N$2:$N$61,MATCH($J800,B!$E$2:$E$61,0))="Sim",FALSE))</f>
        <v/>
      </c>
      <c r="AB800" s="72">
        <f>IF($J800="",FALSE,LEFT($X800,2)="XX")</f>
        <v/>
      </c>
      <c r="AC800" s="72">
        <f>IF($J800="",FALSE,IFERROR(INDEX(B!$P$2:$P$61,MATCH($J800,B!$E$2:$E$61,0))="Sim",FALSE))</f>
        <v/>
      </c>
      <c r="AD800" s="20" t="n"/>
      <c r="AE800" s="52">
        <f>IF(H800="","",HOUR(H800))</f>
        <v/>
      </c>
      <c r="AF800" s="52" t="n"/>
    </row>
    <row r="801" ht="19.5" customHeight="1" s="58">
      <c r="A801" s="62">
        <f>IF(G801="","",IF(G801=G800,"",COUNTIF($G$3:$G$976,G801)))</f>
        <v/>
      </c>
      <c r="B801" s="20" t="n"/>
      <c r="C801" s="63">
        <f>IF(G801="","",DAY(G801))</f>
        <v/>
      </c>
      <c r="D801" s="63">
        <f>IF(G801="","",MONTH(G801))</f>
        <v/>
      </c>
      <c r="E801" s="63">
        <f>IF(G801="","",YEAR(G801))</f>
        <v/>
      </c>
      <c r="F801" s="33">
        <f>IF(G801="","",CHOOSE(MONTH(G801),"Janeiro","Fevereiro","Março","Abril","Maio","Junho","Julho","Agosto","Setembro","Outubro","Novembro","Dezembro"))</f>
        <v/>
      </c>
      <c r="G801" s="64" t="n">
        <v>46077</v>
      </c>
      <c r="H801" s="65" t="n">
        <v>0.2059953703703704</v>
      </c>
      <c r="I801" s="66" t="inlineStr">
        <is>
          <t>https://docs.google.com/spreadsheets/d/1ZiCGoPjLCjuYvujDTXK9Ixbth3tekiLtFBzBrGjPCr4/edit?gid=0#gid=0</t>
        </is>
      </c>
      <c r="J801" s="67" t="inlineStr">
        <is>
          <t>Pushback - [XX]</t>
        </is>
      </c>
      <c r="K801" s="67" t="inlineStr">
        <is>
          <t>Scout</t>
        </is>
      </c>
      <c r="L801" s="68" t="b">
        <v>0</v>
      </c>
      <c r="M801" s="20" t="n"/>
      <c r="N801" s="69">
        <f>IF($J801="","",IFERROR(INDEX(B!$F$2:$F$61,MATCH($J801,B!$E$2:$E$61,0))&amp;"",""))</f>
        <v/>
      </c>
      <c r="O801" s="69">
        <f>IF($J801="","",IFERROR(INDEX(B!$G$2:$G$61,MATCH($J801,B!$E$2:$E$61,0))&amp;"",""))</f>
        <v/>
      </c>
      <c r="P801" s="69">
        <f>IF($J801="","",IFERROR(INDEX(B!$H$2:$H$61,MATCH($J801,B!$E$2:$E$61,0))&amp;"",""))</f>
        <v/>
      </c>
      <c r="Q801" s="69">
        <f>IF($J801="","",IFERROR(INDEX(B!$I$2:$I$61,MATCH($J801,B!$E$2:$E$61,0))&amp;"",""))</f>
        <v/>
      </c>
      <c r="R801" s="69">
        <f>IF($J801="","",IFERROR(INDEX(B!$J$2:$J$61,MATCH($J801,B!$E$2:$E$61,0))&amp;"",""))</f>
        <v/>
      </c>
      <c r="S801" s="69">
        <f>IF($J801="","",IFERROR(INDEX(B!$K$2:$K$61,MATCH($J801,B!$E$2:$E$61,0))&amp;"",""))</f>
        <v/>
      </c>
      <c r="T801" s="69">
        <f>IF($J801="","",IFERROR(INDEX(B!$L$2:$L$61,MATCH($J801,B!$E$2:$E$61,0))&amp;"",""))</f>
        <v/>
      </c>
      <c r="U801" s="20" t="n"/>
      <c r="V801" s="70">
        <f>IF($J801="","",IFERROR(INDEX(B!$M$2:$M$61,MATCH($J801,B!$E$2:$E$61,0))&amp;"",""))</f>
        <v/>
      </c>
      <c r="W801" s="71">
        <f>IF(I801="","",IFERROR(MID(I801,FIND("/d/",I801)+3,FIND("/edit",I801)-FIND("/d/",I801)-3),I801))</f>
        <v/>
      </c>
      <c r="X801" s="71">
        <f>IF($J801="","",IFERROR(INDEX(B!$C$2:$C$61,MATCH($J801,B!$E$2:$E$61,0))&amp;"",""))</f>
        <v/>
      </c>
      <c r="Y801" s="20" t="n"/>
      <c r="Z801" s="72">
        <f>IF($J801="",FALSE,ISNUMBER(SEARCH("scout",$K801)))</f>
        <v/>
      </c>
      <c r="AA801" s="72">
        <f>IF($J801="",FALSE,IFERROR(INDEX(B!$N$2:$N$61,MATCH($J801,B!$E$2:$E$61,0))="Sim",FALSE))</f>
        <v/>
      </c>
      <c r="AB801" s="72">
        <f>IF($J801="",FALSE,LEFT($X801,2)="XX")</f>
        <v/>
      </c>
      <c r="AC801" s="72">
        <f>IF($J801="",FALSE,IFERROR(INDEX(B!$P$2:$P$61,MATCH($J801,B!$E$2:$E$61,0))="Sim",FALSE))</f>
        <v/>
      </c>
      <c r="AD801" s="20" t="n"/>
      <c r="AE801" s="52">
        <f>IF(H801="","",HOUR(H801))</f>
        <v/>
      </c>
      <c r="AF801" s="52" t="n"/>
    </row>
    <row r="802" ht="19.5" customHeight="1" s="58">
      <c r="A802" s="62">
        <f>IF(G802="","",IF(G802=G801,"",COUNTIF($G$3:$G$976,G802)))</f>
        <v/>
      </c>
      <c r="B802" s="20" t="n"/>
      <c r="C802" s="63">
        <f>IF(G802="","",DAY(G802))</f>
        <v/>
      </c>
      <c r="D802" s="63">
        <f>IF(G802="","",MONTH(G802))</f>
        <v/>
      </c>
      <c r="E802" s="63">
        <f>IF(G802="","",YEAR(G802))</f>
        <v/>
      </c>
      <c r="F802" s="33">
        <f>IF(G802="","",CHOOSE(MONTH(G802),"Janeiro","Fevereiro","Março","Abril","Maio","Junho","Julho","Agosto","Setembro","Outubro","Novembro","Dezembro"))</f>
        <v/>
      </c>
      <c r="G802" s="64" t="n">
        <v>46077</v>
      </c>
      <c r="H802" s="65" t="n">
        <v>0.2101388888888889</v>
      </c>
      <c r="I802" s="66" t="inlineStr">
        <is>
          <t>https://docs.google.com/spreadsheets/d/1ZiCGoPjLCjuYvujDTXK9Ixbth3tekiLtFBzBrGjPCr4/edit?gid=0#gid=0</t>
        </is>
      </c>
      <c r="J802" s="67" t="inlineStr">
        <is>
          <t>Erro de Gps (Problema Técnico) - [GPS]</t>
        </is>
      </c>
      <c r="K802" s="67" t="inlineStr">
        <is>
          <t>Scout</t>
        </is>
      </c>
      <c r="L802" s="68" t="b">
        <v>0</v>
      </c>
      <c r="M802" s="20" t="n"/>
      <c r="N802" s="69">
        <f>IF($J802="","",IFERROR(INDEX(B!$F$2:$F$61,MATCH($J802,B!$E$2:$E$61,0))&amp;"",""))</f>
        <v/>
      </c>
      <c r="O802" s="69">
        <f>IF($J802="","",IFERROR(INDEX(B!$G$2:$G$61,MATCH($J802,B!$E$2:$E$61,0))&amp;"",""))</f>
        <v/>
      </c>
      <c r="P802" s="69">
        <f>IF($J802="","",IFERROR(INDEX(B!$H$2:$H$61,MATCH($J802,B!$E$2:$E$61,0))&amp;"",""))</f>
        <v/>
      </c>
      <c r="Q802" s="69">
        <f>IF($J802="","",IFERROR(INDEX(B!$I$2:$I$61,MATCH($J802,B!$E$2:$E$61,0))&amp;"",""))</f>
        <v/>
      </c>
      <c r="R802" s="69">
        <f>IF($J802="","",IFERROR(INDEX(B!$J$2:$J$61,MATCH($J802,B!$E$2:$E$61,0))&amp;"",""))</f>
        <v/>
      </c>
      <c r="S802" s="69">
        <f>IF($J802="","",IFERROR(INDEX(B!$K$2:$K$61,MATCH($J802,B!$E$2:$E$61,0))&amp;"",""))</f>
        <v/>
      </c>
      <c r="T802" s="69">
        <f>IF($J802="","",IFERROR(INDEX(B!$L$2:$L$61,MATCH($J802,B!$E$2:$E$61,0))&amp;"",""))</f>
        <v/>
      </c>
      <c r="U802" s="20" t="n"/>
      <c r="V802" s="70">
        <f>IF($J802="","",IFERROR(INDEX(B!$M$2:$M$61,MATCH($J802,B!$E$2:$E$61,0))&amp;"",""))</f>
        <v/>
      </c>
      <c r="W802" s="71">
        <f>IF(I802="","",IFERROR(MID(I802,FIND("/d/",I802)+3,FIND("/edit",I802)-FIND("/d/",I802)-3),I802))</f>
        <v/>
      </c>
      <c r="X802" s="71">
        <f>IF($J802="","",IFERROR(INDEX(B!$C$2:$C$61,MATCH($J802,B!$E$2:$E$61,0))&amp;"",""))</f>
        <v/>
      </c>
      <c r="Y802" s="20" t="n"/>
      <c r="Z802" s="72">
        <f>IF($J802="",FALSE,ISNUMBER(SEARCH("scout",$K802)))</f>
        <v/>
      </c>
      <c r="AA802" s="72">
        <f>IF($J802="",FALSE,IFERROR(INDEX(B!$N$2:$N$61,MATCH($J802,B!$E$2:$E$61,0))="Sim",FALSE))</f>
        <v/>
      </c>
      <c r="AB802" s="72">
        <f>IF($J802="",FALSE,LEFT($X802,2)="XX")</f>
        <v/>
      </c>
      <c r="AC802" s="72">
        <f>IF($J802="",FALSE,IFERROR(INDEX(B!$P$2:$P$61,MATCH($J802,B!$E$2:$E$61,0))="Sim",FALSE))</f>
        <v/>
      </c>
      <c r="AD802" s="20" t="n"/>
      <c r="AE802" s="52">
        <f>IF(H802="","",HOUR(H802))</f>
        <v/>
      </c>
      <c r="AF802" s="52" t="n"/>
    </row>
    <row r="803" ht="19.5" customHeight="1" s="58">
      <c r="A803" s="62">
        <f>IF(G803="","",IF(G803=G802,"",COUNTIF($G$3:$G$976,G803)))</f>
        <v/>
      </c>
      <c r="B803" s="20" t="n"/>
      <c r="C803" s="63">
        <f>IF(G803="","",DAY(G803))</f>
        <v/>
      </c>
      <c r="D803" s="63">
        <f>IF(G803="","",MONTH(G803))</f>
        <v/>
      </c>
      <c r="E803" s="63">
        <f>IF(G803="","",YEAR(G803))</f>
        <v/>
      </c>
      <c r="F803" s="33">
        <f>IF(G803="","",CHOOSE(MONTH(G803),"Janeiro","Fevereiro","Março","Abril","Maio","Junho","Julho","Agosto","Setembro","Outubro","Novembro","Dezembro"))</f>
        <v/>
      </c>
      <c r="G803" s="64" t="n">
        <v>46077</v>
      </c>
      <c r="H803" s="65" t="n">
        <v>0.2214351851851852</v>
      </c>
      <c r="I803" s="66" t="inlineStr">
        <is>
          <t>https://docs.google.com/spreadsheets/d/1ZiCGoPjLCjuYvujDTXK9Ixbth3tekiLtFBzBrGjPCr4/edit?gid=0#gid=0</t>
        </is>
      </c>
      <c r="J803" s="67" t="inlineStr">
        <is>
          <t>Overpaid, Excede o limite, Sem comprovante - [OPEN]</t>
        </is>
      </c>
      <c r="K803" s="67" t="inlineStr"/>
      <c r="L803" s="68" t="b">
        <v>0</v>
      </c>
      <c r="M803" s="20" t="n"/>
      <c r="N803" s="69">
        <f>IF($J803="","",IFERROR(INDEX(B!$F$2:$F$61,MATCH($J803,B!$E$2:$E$61,0))&amp;"",""))</f>
        <v/>
      </c>
      <c r="O803" s="69">
        <f>IF($J803="","",IFERROR(INDEX(B!$G$2:$G$61,MATCH($J803,B!$E$2:$E$61,0))&amp;"",""))</f>
        <v/>
      </c>
      <c r="P803" s="69">
        <f>IF($J803="","",IFERROR(INDEX(B!$H$2:$H$61,MATCH($J803,B!$E$2:$E$61,0))&amp;"",""))</f>
        <v/>
      </c>
      <c r="Q803" s="69">
        <f>IF($J803="","",IFERROR(INDEX(B!$I$2:$I$61,MATCH($J803,B!$E$2:$E$61,0))&amp;"",""))</f>
        <v/>
      </c>
      <c r="R803" s="69">
        <f>IF($J803="","",IFERROR(INDEX(B!$J$2:$J$61,MATCH($J803,B!$E$2:$E$61,0))&amp;"",""))</f>
        <v/>
      </c>
      <c r="S803" s="69">
        <f>IF($J803="","",IFERROR(INDEX(B!$K$2:$K$61,MATCH($J803,B!$E$2:$E$61,0))&amp;"",""))</f>
        <v/>
      </c>
      <c r="T803" s="69">
        <f>IF($J803="","",IFERROR(INDEX(B!$L$2:$L$61,MATCH($J803,B!$E$2:$E$61,0))&amp;"",""))</f>
        <v/>
      </c>
      <c r="U803" s="20" t="n"/>
      <c r="V803" s="70">
        <f>IF($J803="","",IFERROR(INDEX(B!$M$2:$M$61,MATCH($J803,B!$E$2:$E$61,0))&amp;"",""))</f>
        <v/>
      </c>
      <c r="W803" s="71">
        <f>IF(I803="","",IFERROR(MID(I803,FIND("/d/",I803)+3,FIND("/edit",I803)-FIND("/d/",I803)-3),I803))</f>
        <v/>
      </c>
      <c r="X803" s="71">
        <f>IF($J803="","",IFERROR(INDEX(B!$C$2:$C$61,MATCH($J803,B!$E$2:$E$61,0))&amp;"",""))</f>
        <v/>
      </c>
      <c r="Y803" s="20" t="n"/>
      <c r="Z803" s="72">
        <f>IF($J803="",FALSE,ISNUMBER(SEARCH("scout",$K803)))</f>
        <v/>
      </c>
      <c r="AA803" s="72">
        <f>IF($J803="",FALSE,IFERROR(INDEX(B!$N$2:$N$61,MATCH($J803,B!$E$2:$E$61,0))="Sim",FALSE))</f>
        <v/>
      </c>
      <c r="AB803" s="72">
        <f>IF($J803="",FALSE,LEFT($X803,2)="XX")</f>
        <v/>
      </c>
      <c r="AC803" s="72">
        <f>IF($J803="",FALSE,IFERROR(INDEX(B!$P$2:$P$61,MATCH($J803,B!$E$2:$E$61,0))="Sim",FALSE))</f>
        <v/>
      </c>
      <c r="AD803" s="20" t="n"/>
      <c r="AE803" s="52">
        <f>IF(H803="","",HOUR(H803))</f>
        <v/>
      </c>
      <c r="AF803" s="52" t="n"/>
    </row>
    <row r="804" ht="19.5" customHeight="1" s="58">
      <c r="A804" s="62">
        <f>IF(G804="","",IF(G804=G803,"",COUNTIF($G$3:$G$976,G804)))</f>
        <v/>
      </c>
      <c r="B804" s="20" t="n"/>
      <c r="C804" s="63">
        <f>IF(G804="","",DAY(G804))</f>
        <v/>
      </c>
      <c r="D804" s="63">
        <f>IF(G804="","",MONTH(G804))</f>
        <v/>
      </c>
      <c r="E804" s="63">
        <f>IF(G804="","",YEAR(G804))</f>
        <v/>
      </c>
      <c r="F804" s="33">
        <f>IF(G804="","",CHOOSE(MONTH(G804),"Janeiro","Fevereiro","Março","Abril","Maio","Junho","Julho","Agosto","Setembro","Outubro","Novembro","Dezembro"))</f>
        <v/>
      </c>
      <c r="G804" s="64" t="n">
        <v>46077</v>
      </c>
      <c r="H804" s="65" t="n">
        <v>0.222337962962963</v>
      </c>
      <c r="I804" s="66" t="inlineStr">
        <is>
          <t>https://docs.google.com/spreadsheets/d/1ZiCGoPjLCjuYvujDTXK9Ixbth3tekiLtFBzBrGjPCr4/edit?gid=0#gid=0</t>
        </is>
      </c>
      <c r="J804" s="67" t="inlineStr">
        <is>
          <t>Trajeto Ruim - [TR]</t>
        </is>
      </c>
      <c r="K804" s="67" t="inlineStr"/>
      <c r="L804" s="68" t="b">
        <v>0</v>
      </c>
      <c r="M804" s="20" t="n"/>
      <c r="N804" s="69">
        <f>IF($J804="","",IFERROR(INDEX(B!$F$2:$F$61,MATCH($J804,B!$E$2:$E$61,0))&amp;"",""))</f>
        <v/>
      </c>
      <c r="O804" s="69">
        <f>IF($J804="","",IFERROR(INDEX(B!$G$2:$G$61,MATCH($J804,B!$E$2:$E$61,0))&amp;"",""))</f>
        <v/>
      </c>
      <c r="P804" s="69">
        <f>IF($J804="","",IFERROR(INDEX(B!$H$2:$H$61,MATCH($J804,B!$E$2:$E$61,0))&amp;"",""))</f>
        <v/>
      </c>
      <c r="Q804" s="69">
        <f>IF($J804="","",IFERROR(INDEX(B!$I$2:$I$61,MATCH($J804,B!$E$2:$E$61,0))&amp;"",""))</f>
        <v/>
      </c>
      <c r="R804" s="69">
        <f>IF($J804="","",IFERROR(INDEX(B!$J$2:$J$61,MATCH($J804,B!$E$2:$E$61,0))&amp;"",""))</f>
        <v/>
      </c>
      <c r="S804" s="69">
        <f>IF($J804="","",IFERROR(INDEX(B!$K$2:$K$61,MATCH($J804,B!$E$2:$E$61,0))&amp;"",""))</f>
        <v/>
      </c>
      <c r="T804" s="69">
        <f>IF($J804="","",IFERROR(INDEX(B!$L$2:$L$61,MATCH($J804,B!$E$2:$E$61,0))&amp;"",""))</f>
        <v/>
      </c>
      <c r="U804" s="20" t="n"/>
      <c r="V804" s="70">
        <f>IF($J804="","",IFERROR(INDEX(B!$M$2:$M$61,MATCH($J804,B!$E$2:$E$61,0))&amp;"",""))</f>
        <v/>
      </c>
      <c r="W804" s="71">
        <f>IF(I804="","",IFERROR(MID(I804,FIND("/d/",I804)+3,FIND("/edit",I804)-FIND("/d/",I804)-3),I804))</f>
        <v/>
      </c>
      <c r="X804" s="71">
        <f>IF($J804="","",IFERROR(INDEX(B!$C$2:$C$61,MATCH($J804,B!$E$2:$E$61,0))&amp;"",""))</f>
        <v/>
      </c>
      <c r="Y804" s="20" t="n"/>
      <c r="Z804" s="72">
        <f>IF($J804="",FALSE,ISNUMBER(SEARCH("scout",$K804)))</f>
        <v/>
      </c>
      <c r="AA804" s="72">
        <f>IF($J804="",FALSE,IFERROR(INDEX(B!$N$2:$N$61,MATCH($J804,B!$E$2:$E$61,0))="Sim",FALSE))</f>
        <v/>
      </c>
      <c r="AB804" s="72">
        <f>IF($J804="",FALSE,LEFT($X804,2)="XX")</f>
        <v/>
      </c>
      <c r="AC804" s="72">
        <f>IF($J804="",FALSE,IFERROR(INDEX(B!$P$2:$P$61,MATCH($J804,B!$E$2:$E$61,0))="Sim",FALSE))</f>
        <v/>
      </c>
      <c r="AD804" s="20" t="n"/>
      <c r="AE804" s="52">
        <f>IF(H804="","",HOUR(H804))</f>
        <v/>
      </c>
      <c r="AF804" s="52" t="n"/>
    </row>
    <row r="805" ht="19.5" customHeight="1" s="58">
      <c r="A805" s="62">
        <f>IF(G805="","",IF(G805=G804,"",COUNTIF($G$3:$G$976,G805)))</f>
        <v/>
      </c>
      <c r="B805" s="20" t="n"/>
      <c r="C805" s="63">
        <f>IF(G805="","",DAY(G805))</f>
        <v/>
      </c>
      <c r="D805" s="63">
        <f>IF(G805="","",MONTH(G805))</f>
        <v/>
      </c>
      <c r="E805" s="63">
        <f>IF(G805="","",YEAR(G805))</f>
        <v/>
      </c>
      <c r="F805" s="33">
        <f>IF(G805="","",CHOOSE(MONTH(G805),"Janeiro","Fevereiro","Março","Abril","Maio","Junho","Julho","Agosto","Setembro","Outubro","Novembro","Dezembro"))</f>
        <v/>
      </c>
      <c r="G805" s="64" t="n">
        <v>46077</v>
      </c>
      <c r="H805" s="65" t="n">
        <v>0.2371759259259259</v>
      </c>
      <c r="I805" s="66" t="inlineStr">
        <is>
          <t>https://docs.google.com/spreadsheets/d/1ZiCGoPjLCjuYvujDTXK9Ixbth3tekiLtFBzBrGjPCr4/edit?gid=0#gid=0</t>
        </is>
      </c>
      <c r="J805" s="67" t="inlineStr">
        <is>
          <t>Taxa de Cancelamento - [TXC]</t>
        </is>
      </c>
      <c r="K805" s="67" t="inlineStr">
        <is>
          <t>Scout</t>
        </is>
      </c>
      <c r="L805" s="68" t="b">
        <v>0</v>
      </c>
      <c r="M805" s="20" t="n"/>
      <c r="N805" s="69">
        <f>IF($J805="","",IFERROR(INDEX(B!$F$2:$F$61,MATCH($J805,B!$E$2:$E$61,0))&amp;"",""))</f>
        <v/>
      </c>
      <c r="O805" s="69">
        <f>IF($J805="","",IFERROR(INDEX(B!$G$2:$G$61,MATCH($J805,B!$E$2:$E$61,0))&amp;"",""))</f>
        <v/>
      </c>
      <c r="P805" s="69">
        <f>IF($J805="","",IFERROR(INDEX(B!$H$2:$H$61,MATCH($J805,B!$E$2:$E$61,0))&amp;"",""))</f>
        <v/>
      </c>
      <c r="Q805" s="69">
        <f>IF($J805="","",IFERROR(INDEX(B!$I$2:$I$61,MATCH($J805,B!$E$2:$E$61,0))&amp;"",""))</f>
        <v/>
      </c>
      <c r="R805" s="69">
        <f>IF($J805="","",IFERROR(INDEX(B!$J$2:$J$61,MATCH($J805,B!$E$2:$E$61,0))&amp;"",""))</f>
        <v/>
      </c>
      <c r="S805" s="69">
        <f>IF($J805="","",IFERROR(INDEX(B!$K$2:$K$61,MATCH($J805,B!$E$2:$E$61,0))&amp;"",""))</f>
        <v/>
      </c>
      <c r="T805" s="69">
        <f>IF($J805="","",IFERROR(INDEX(B!$L$2:$L$61,MATCH($J805,B!$E$2:$E$61,0))&amp;"",""))</f>
        <v/>
      </c>
      <c r="U805" s="20" t="n"/>
      <c r="V805" s="70">
        <f>IF($J805="","",IFERROR(INDEX(B!$M$2:$M$61,MATCH($J805,B!$E$2:$E$61,0))&amp;"",""))</f>
        <v/>
      </c>
      <c r="W805" s="71">
        <f>IF(I805="","",IFERROR(MID(I805,FIND("/d/",I805)+3,FIND("/edit",I805)-FIND("/d/",I805)-3),I805))</f>
        <v/>
      </c>
      <c r="X805" s="71">
        <f>IF($J805="","",IFERROR(INDEX(B!$C$2:$C$61,MATCH($J805,B!$E$2:$E$61,0))&amp;"",""))</f>
        <v/>
      </c>
      <c r="Y805" s="20" t="n"/>
      <c r="Z805" s="72">
        <f>IF($J805="",FALSE,ISNUMBER(SEARCH("scout",$K805)))</f>
        <v/>
      </c>
      <c r="AA805" s="72">
        <f>IF($J805="",FALSE,IFERROR(INDEX(B!$N$2:$N$61,MATCH($J805,B!$E$2:$E$61,0))="Sim",FALSE))</f>
        <v/>
      </c>
      <c r="AB805" s="72">
        <f>IF($J805="",FALSE,LEFT($X805,2)="XX")</f>
        <v/>
      </c>
      <c r="AC805" s="72">
        <f>IF($J805="",FALSE,IFERROR(INDEX(B!$P$2:$P$61,MATCH($J805,B!$E$2:$E$61,0))="Sim",FALSE))</f>
        <v/>
      </c>
      <c r="AD805" s="20" t="n"/>
      <c r="AE805" s="52">
        <f>IF(H805="","",HOUR(H805))</f>
        <v/>
      </c>
      <c r="AF805" s="52" t="n"/>
    </row>
    <row r="806" ht="19.5" customHeight="1" s="58">
      <c r="A806" s="62">
        <f>IF(G806="","",IF(G806=G805,"",COUNTIF($G$3:$G$976,G806)))</f>
        <v/>
      </c>
      <c r="B806" s="20" t="n"/>
      <c r="C806" s="63">
        <f>IF(G806="","",DAY(G806))</f>
        <v/>
      </c>
      <c r="D806" s="63">
        <f>IF(G806="","",MONTH(G806))</f>
        <v/>
      </c>
      <c r="E806" s="63">
        <f>IF(G806="","",YEAR(G806))</f>
        <v/>
      </c>
      <c r="F806" s="33">
        <f>IF(G806="","",CHOOSE(MONTH(G806),"Janeiro","Fevereiro","Março","Abril","Maio","Junho","Julho","Agosto","Setembro","Outubro","Novembro","Dezembro"))</f>
        <v/>
      </c>
      <c r="G806" s="64" t="n">
        <v>46078</v>
      </c>
      <c r="H806" s="65" t="n">
        <v>0.007743055555555556</v>
      </c>
      <c r="I806" s="66" t="inlineStr">
        <is>
          <t>https://docs.google.com/spreadsheets/d/1ZiCGoPjLCjuYvujDTXK9Ixbth3tekiLtFBzBrGjPCr4/edit?gid=0#gid=0</t>
        </is>
      </c>
      <c r="J806" s="67" t="inlineStr">
        <is>
          <t>Transferência de LOB (Driver) - [TIDV]</t>
        </is>
      </c>
      <c r="K806" s="67" t="inlineStr"/>
      <c r="L806" s="68" t="b">
        <v>0</v>
      </c>
      <c r="M806" s="20" t="n"/>
      <c r="N806" s="69">
        <f>IF($J806="","",IFERROR(INDEX(B!$F$2:$F$61,MATCH($J806,B!$E$2:$E$61,0))&amp;"",""))</f>
        <v/>
      </c>
      <c r="O806" s="69">
        <f>IF($J806="","",IFERROR(INDEX(B!$G$2:$G$61,MATCH($J806,B!$E$2:$E$61,0))&amp;"",""))</f>
        <v/>
      </c>
      <c r="P806" s="69">
        <f>IF($J806="","",IFERROR(INDEX(B!$H$2:$H$61,MATCH($J806,B!$E$2:$E$61,0))&amp;"",""))</f>
        <v/>
      </c>
      <c r="Q806" s="69">
        <f>IF($J806="","",IFERROR(INDEX(B!$I$2:$I$61,MATCH($J806,B!$E$2:$E$61,0))&amp;"",""))</f>
        <v/>
      </c>
      <c r="R806" s="69">
        <f>IF($J806="","",IFERROR(INDEX(B!$J$2:$J$61,MATCH($J806,B!$E$2:$E$61,0))&amp;"",""))</f>
        <v/>
      </c>
      <c r="S806" s="69">
        <f>IF($J806="","",IFERROR(INDEX(B!$K$2:$K$61,MATCH($J806,B!$E$2:$E$61,0))&amp;"",""))</f>
        <v/>
      </c>
      <c r="T806" s="69">
        <f>IF($J806="","",IFERROR(INDEX(B!$L$2:$L$61,MATCH($J806,B!$E$2:$E$61,0))&amp;"",""))</f>
        <v/>
      </c>
      <c r="U806" s="20" t="n"/>
      <c r="V806" s="70">
        <f>IF($J806="","",IFERROR(INDEX(B!$M$2:$M$61,MATCH($J806,B!$E$2:$E$61,0))&amp;"",""))</f>
        <v/>
      </c>
      <c r="W806" s="71">
        <f>IF(I806="","",IFERROR(MID(I806,FIND("/d/",I806)+3,FIND("/edit",I806)-FIND("/d/",I806)-3),I806))</f>
        <v/>
      </c>
      <c r="X806" s="71">
        <f>IF($J806="","",IFERROR(INDEX(B!$C$2:$C$61,MATCH($J806,B!$E$2:$E$61,0))&amp;"",""))</f>
        <v/>
      </c>
      <c r="Y806" s="20" t="n"/>
      <c r="Z806" s="72">
        <f>IF($J806="",FALSE,ISNUMBER(SEARCH("scout",$K806)))</f>
        <v/>
      </c>
      <c r="AA806" s="72">
        <f>IF($J806="",FALSE,IFERROR(INDEX(B!$N$2:$N$61,MATCH($J806,B!$E$2:$E$61,0))="Sim",FALSE))</f>
        <v/>
      </c>
      <c r="AB806" s="72">
        <f>IF($J806="",FALSE,LEFT($X806,2)="XX")</f>
        <v/>
      </c>
      <c r="AC806" s="72">
        <f>IF($J806="",FALSE,IFERROR(INDEX(B!$P$2:$P$61,MATCH($J806,B!$E$2:$E$61,0))="Sim",FALSE))</f>
        <v/>
      </c>
      <c r="AD806" s="20" t="n"/>
      <c r="AE806" s="52">
        <f>IF(H806="","",HOUR(H806))</f>
        <v/>
      </c>
      <c r="AF806" s="52" t="n"/>
    </row>
    <row r="807" ht="19.5" customHeight="1" s="58">
      <c r="A807" s="62">
        <f>IF(G807="","",IF(G807=G806,"",COUNTIF($G$3:$G$976,G807)))</f>
        <v/>
      </c>
      <c r="B807" s="20" t="n"/>
      <c r="C807" s="63">
        <f>IF(G807="","",DAY(G807))</f>
        <v/>
      </c>
      <c r="D807" s="63">
        <f>IF(G807="","",MONTH(G807))</f>
        <v/>
      </c>
      <c r="E807" s="63">
        <f>IF(G807="","",YEAR(G807))</f>
        <v/>
      </c>
      <c r="F807" s="33">
        <f>IF(G807="","",CHOOSE(MONTH(G807),"Janeiro","Fevereiro","Março","Abril","Maio","Junho","Julho","Agosto","Setembro","Outubro","Novembro","Dezembro"))</f>
        <v/>
      </c>
      <c r="G807" s="64" t="n">
        <v>46078</v>
      </c>
      <c r="H807" s="65" t="n">
        <v>0.01122685185185185</v>
      </c>
      <c r="I807" s="66" t="inlineStr">
        <is>
          <t>https://docs.google.com/spreadsheets/d/1ZiCGoPjLCjuYvujDTXK9Ixbth3tekiLtFBzBrGjPCr4/edit?gid=0#gid=0</t>
        </is>
      </c>
      <c r="J807" s="67" t="inlineStr">
        <is>
          <t>Taxa de Cancelamento - [TXC]</t>
        </is>
      </c>
      <c r="K807" s="67" t="inlineStr"/>
      <c r="L807" s="68" t="b">
        <v>0</v>
      </c>
      <c r="M807" s="20" t="n"/>
      <c r="N807" s="69">
        <f>IF($J807="","",IFERROR(INDEX(B!$F$2:$F$61,MATCH($J807,B!$E$2:$E$61,0))&amp;"",""))</f>
        <v/>
      </c>
      <c r="O807" s="69">
        <f>IF($J807="","",IFERROR(INDEX(B!$G$2:$G$61,MATCH($J807,B!$E$2:$E$61,0))&amp;"",""))</f>
        <v/>
      </c>
      <c r="P807" s="69">
        <f>IF($J807="","",IFERROR(INDEX(B!$H$2:$H$61,MATCH($J807,B!$E$2:$E$61,0))&amp;"",""))</f>
        <v/>
      </c>
      <c r="Q807" s="69">
        <f>IF($J807="","",IFERROR(INDEX(B!$I$2:$I$61,MATCH($J807,B!$E$2:$E$61,0))&amp;"",""))</f>
        <v/>
      </c>
      <c r="R807" s="69">
        <f>IF($J807="","",IFERROR(INDEX(B!$J$2:$J$61,MATCH($J807,B!$E$2:$E$61,0))&amp;"",""))</f>
        <v/>
      </c>
      <c r="S807" s="69">
        <f>IF($J807="","",IFERROR(INDEX(B!$K$2:$K$61,MATCH($J807,B!$E$2:$E$61,0))&amp;"",""))</f>
        <v/>
      </c>
      <c r="T807" s="69">
        <f>IF($J807="","",IFERROR(INDEX(B!$L$2:$L$61,MATCH($J807,B!$E$2:$E$61,0))&amp;"",""))</f>
        <v/>
      </c>
      <c r="U807" s="20" t="n"/>
      <c r="V807" s="70">
        <f>IF($J807="","",IFERROR(INDEX(B!$M$2:$M$61,MATCH($J807,B!$E$2:$E$61,0))&amp;"",""))</f>
        <v/>
      </c>
      <c r="W807" s="71">
        <f>IF(I807="","",IFERROR(MID(I807,FIND("/d/",I807)+3,FIND("/edit",I807)-FIND("/d/",I807)-3),I807))</f>
        <v/>
      </c>
      <c r="X807" s="71">
        <f>IF($J807="","",IFERROR(INDEX(B!$C$2:$C$61,MATCH($J807,B!$E$2:$E$61,0))&amp;"",""))</f>
        <v/>
      </c>
      <c r="Y807" s="20" t="n"/>
      <c r="Z807" s="72">
        <f>IF($J807="",FALSE,ISNUMBER(SEARCH("scout",$K807)))</f>
        <v/>
      </c>
      <c r="AA807" s="72">
        <f>IF($J807="",FALSE,IFERROR(INDEX(B!$N$2:$N$61,MATCH($J807,B!$E$2:$E$61,0))="Sim",FALSE))</f>
        <v/>
      </c>
      <c r="AB807" s="72">
        <f>IF($J807="",FALSE,LEFT($X807,2)="XX")</f>
        <v/>
      </c>
      <c r="AC807" s="72">
        <f>IF($J807="",FALSE,IFERROR(INDEX(B!$P$2:$P$61,MATCH($J807,B!$E$2:$E$61,0))="Sim",FALSE))</f>
        <v/>
      </c>
      <c r="AD807" s="20" t="n"/>
      <c r="AE807" s="52">
        <f>IF(H807="","",HOUR(H807))</f>
        <v/>
      </c>
      <c r="AF807" s="52" t="n"/>
    </row>
    <row r="808" ht="19.5" customHeight="1" s="58">
      <c r="A808" s="62">
        <f>IF(G808="","",IF(G808=G807,"",COUNTIF($G$3:$G$976,G808)))</f>
        <v/>
      </c>
      <c r="B808" s="20" t="n"/>
      <c r="C808" s="63">
        <f>IF(G808="","",DAY(G808))</f>
        <v/>
      </c>
      <c r="D808" s="63">
        <f>IF(G808="","",MONTH(G808))</f>
        <v/>
      </c>
      <c r="E808" s="63">
        <f>IF(G808="","",YEAR(G808))</f>
        <v/>
      </c>
      <c r="F808" s="33">
        <f>IF(G808="","",CHOOSE(MONTH(G808),"Janeiro","Fevereiro","Março","Abril","Maio","Junho","Julho","Agosto","Setembro","Outubro","Novembro","Dezembro"))</f>
        <v/>
      </c>
      <c r="G808" s="64" t="n">
        <v>46078</v>
      </c>
      <c r="H808" s="65" t="n">
        <v>0.01165509259259259</v>
      </c>
      <c r="I808" s="66" t="inlineStr">
        <is>
          <t>https://docs.google.com/spreadsheets/d/1ZiCGoPjLCjuYvujDTXK9Ixbth3tekiLtFBzBrGjPCr4/edit?gid=0#gid=0</t>
        </is>
      </c>
      <c r="J808" s="67" t="inlineStr">
        <is>
          <t>Não houve Taxa de Cancelamento - [NTX]</t>
        </is>
      </c>
      <c r="K808" s="67" t="inlineStr">
        <is>
          <t>Scout</t>
        </is>
      </c>
      <c r="L808" s="68" t="b">
        <v>0</v>
      </c>
      <c r="M808" s="20" t="n"/>
      <c r="N808" s="69">
        <f>IF($J808="","",IFERROR(INDEX(B!$F$2:$F$61,MATCH($J808,B!$E$2:$E$61,0))&amp;"",""))</f>
        <v/>
      </c>
      <c r="O808" s="69">
        <f>IF($J808="","",IFERROR(INDEX(B!$G$2:$G$61,MATCH($J808,B!$E$2:$E$61,0))&amp;"",""))</f>
        <v/>
      </c>
      <c r="P808" s="69">
        <f>IF($J808="","",IFERROR(INDEX(B!$H$2:$H$61,MATCH($J808,B!$E$2:$E$61,0))&amp;"",""))</f>
        <v/>
      </c>
      <c r="Q808" s="69">
        <f>IF($J808="","",IFERROR(INDEX(B!$I$2:$I$61,MATCH($J808,B!$E$2:$E$61,0))&amp;"",""))</f>
        <v/>
      </c>
      <c r="R808" s="69">
        <f>IF($J808="","",IFERROR(INDEX(B!$J$2:$J$61,MATCH($J808,B!$E$2:$E$61,0))&amp;"",""))</f>
        <v/>
      </c>
      <c r="S808" s="69">
        <f>IF($J808="","",IFERROR(INDEX(B!$K$2:$K$61,MATCH($J808,B!$E$2:$E$61,0))&amp;"",""))</f>
        <v/>
      </c>
      <c r="T808" s="69">
        <f>IF($J808="","",IFERROR(INDEX(B!$L$2:$L$61,MATCH($J808,B!$E$2:$E$61,0))&amp;"",""))</f>
        <v/>
      </c>
      <c r="U808" s="20" t="n"/>
      <c r="V808" s="70">
        <f>IF($J808="","",IFERROR(INDEX(B!$M$2:$M$61,MATCH($J808,B!$E$2:$E$61,0))&amp;"",""))</f>
        <v/>
      </c>
      <c r="W808" s="71">
        <f>IF(I808="","",IFERROR(MID(I808,FIND("/d/",I808)+3,FIND("/edit",I808)-FIND("/d/",I808)-3),I808))</f>
        <v/>
      </c>
      <c r="X808" s="71">
        <f>IF($J808="","",IFERROR(INDEX(B!$C$2:$C$61,MATCH($J808,B!$E$2:$E$61,0))&amp;"",""))</f>
        <v/>
      </c>
      <c r="Y808" s="20" t="n"/>
      <c r="Z808" s="72">
        <f>IF($J808="",FALSE,ISNUMBER(SEARCH("scout",$K808)))</f>
        <v/>
      </c>
      <c r="AA808" s="72">
        <f>IF($J808="",FALSE,IFERROR(INDEX(B!$N$2:$N$61,MATCH($J808,B!$E$2:$E$61,0))="Sim",FALSE))</f>
        <v/>
      </c>
      <c r="AB808" s="72">
        <f>IF($J808="",FALSE,LEFT($X808,2)="XX")</f>
        <v/>
      </c>
      <c r="AC808" s="72">
        <f>IF($J808="",FALSE,IFERROR(INDEX(B!$P$2:$P$61,MATCH($J808,B!$E$2:$E$61,0))="Sim",FALSE))</f>
        <v/>
      </c>
      <c r="AD808" s="20" t="n"/>
      <c r="AE808" s="52">
        <f>IF(H808="","",HOUR(H808))</f>
        <v/>
      </c>
      <c r="AF808" s="52" t="n"/>
    </row>
    <row r="809" ht="19.5" customHeight="1" s="58">
      <c r="A809" s="62">
        <f>IF(G809="","",IF(G809=G808,"",COUNTIF($G$3:$G$976,G809)))</f>
        <v/>
      </c>
      <c r="B809" s="20" t="n"/>
      <c r="C809" s="63">
        <f>IF(G809="","",DAY(G809))</f>
        <v/>
      </c>
      <c r="D809" s="63">
        <f>IF(G809="","",MONTH(G809))</f>
        <v/>
      </c>
      <c r="E809" s="63">
        <f>IF(G809="","",YEAR(G809))</f>
        <v/>
      </c>
      <c r="F809" s="33">
        <f>IF(G809="","",CHOOSE(MONTH(G809),"Janeiro","Fevereiro","Março","Abril","Maio","Junho","Julho","Agosto","Setembro","Outubro","Novembro","Dezembro"))</f>
        <v/>
      </c>
      <c r="G809" s="64" t="n">
        <v>46078</v>
      </c>
      <c r="H809" s="65" t="n">
        <v>0.01200231481481481</v>
      </c>
      <c r="I809" s="66" t="inlineStr">
        <is>
          <t>https://docs.google.com/spreadsheets/d/1ZiCGoPjLCjuYvujDTXK9Ixbth3tekiLtFBzBrGjPCr4/edit?gid=0#gid=0</t>
        </is>
      </c>
      <c r="J809" s="67" t="inlineStr">
        <is>
          <t>Taxa de Cancelamento - [TXC]</t>
        </is>
      </c>
      <c r="K809" s="67" t="inlineStr">
        <is>
          <t>Scout</t>
        </is>
      </c>
      <c r="L809" s="68" t="b">
        <v>0</v>
      </c>
      <c r="M809" s="20" t="n"/>
      <c r="N809" s="69">
        <f>IF($J809="","",IFERROR(INDEX(B!$F$2:$F$61,MATCH($J809,B!$E$2:$E$61,0))&amp;"",""))</f>
        <v/>
      </c>
      <c r="O809" s="69">
        <f>IF($J809="","",IFERROR(INDEX(B!$G$2:$G$61,MATCH($J809,B!$E$2:$E$61,0))&amp;"",""))</f>
        <v/>
      </c>
      <c r="P809" s="69">
        <f>IF($J809="","",IFERROR(INDEX(B!$H$2:$H$61,MATCH($J809,B!$E$2:$E$61,0))&amp;"",""))</f>
        <v/>
      </c>
      <c r="Q809" s="69">
        <f>IF($J809="","",IFERROR(INDEX(B!$I$2:$I$61,MATCH($J809,B!$E$2:$E$61,0))&amp;"",""))</f>
        <v/>
      </c>
      <c r="R809" s="69">
        <f>IF($J809="","",IFERROR(INDEX(B!$J$2:$J$61,MATCH($J809,B!$E$2:$E$61,0))&amp;"",""))</f>
        <v/>
      </c>
      <c r="S809" s="69">
        <f>IF($J809="","",IFERROR(INDEX(B!$K$2:$K$61,MATCH($J809,B!$E$2:$E$61,0))&amp;"",""))</f>
        <v/>
      </c>
      <c r="T809" s="69">
        <f>IF($J809="","",IFERROR(INDEX(B!$L$2:$L$61,MATCH($J809,B!$E$2:$E$61,0))&amp;"",""))</f>
        <v/>
      </c>
      <c r="U809" s="20" t="n"/>
      <c r="V809" s="70">
        <f>IF($J809="","",IFERROR(INDEX(B!$M$2:$M$61,MATCH($J809,B!$E$2:$E$61,0))&amp;"",""))</f>
        <v/>
      </c>
      <c r="W809" s="71">
        <f>IF(I809="","",IFERROR(MID(I809,FIND("/d/",I809)+3,FIND("/edit",I809)-FIND("/d/",I809)-3),I809))</f>
        <v/>
      </c>
      <c r="X809" s="71">
        <f>IF($J809="","",IFERROR(INDEX(B!$C$2:$C$61,MATCH($J809,B!$E$2:$E$61,0))&amp;"",""))</f>
        <v/>
      </c>
      <c r="Y809" s="20" t="n"/>
      <c r="Z809" s="72">
        <f>IF($J809="",FALSE,ISNUMBER(SEARCH("scout",$K809)))</f>
        <v/>
      </c>
      <c r="AA809" s="72">
        <f>IF($J809="",FALSE,IFERROR(INDEX(B!$N$2:$N$61,MATCH($J809,B!$E$2:$E$61,0))="Sim",FALSE))</f>
        <v/>
      </c>
      <c r="AB809" s="72">
        <f>IF($J809="",FALSE,LEFT($X809,2)="XX")</f>
        <v/>
      </c>
      <c r="AC809" s="72">
        <f>IF($J809="",FALSE,IFERROR(INDEX(B!$P$2:$P$61,MATCH($J809,B!$E$2:$E$61,0))="Sim",FALSE))</f>
        <v/>
      </c>
      <c r="AD809" s="20" t="n"/>
      <c r="AE809" s="52">
        <f>IF(H809="","",HOUR(H809))</f>
        <v/>
      </c>
      <c r="AF809" s="52" t="n"/>
    </row>
    <row r="810" ht="19.5" customHeight="1" s="58">
      <c r="A810" s="62">
        <f>IF(G810="","",IF(G810=G809,"",COUNTIF($G$3:$G$976,G810)))</f>
        <v/>
      </c>
      <c r="B810" s="20" t="n"/>
      <c r="C810" s="63">
        <f>IF(G810="","",DAY(G810))</f>
        <v/>
      </c>
      <c r="D810" s="63">
        <f>IF(G810="","",MONTH(G810))</f>
        <v/>
      </c>
      <c r="E810" s="63">
        <f>IF(G810="","",YEAR(G810))</f>
        <v/>
      </c>
      <c r="F810" s="33">
        <f>IF(G810="","",CHOOSE(MONTH(G810),"Janeiro","Fevereiro","Março","Abril","Maio","Junho","Julho","Agosto","Setembro","Outubro","Novembro","Dezembro"))</f>
        <v/>
      </c>
      <c r="G810" s="64" t="n">
        <v>46078</v>
      </c>
      <c r="H810" s="65" t="n">
        <v>0.01207175925925926</v>
      </c>
      <c r="I810" s="66" t="inlineStr">
        <is>
          <t>https://docs.google.com/spreadsheets/d/1ZiCGoPjLCjuYvujDTXK9Ixbth3tekiLtFBzBrGjPCr4/edit?gid=0#gid=0</t>
        </is>
      </c>
      <c r="J810" s="67" t="inlineStr">
        <is>
          <t>Transferência de LOB (Lost Items) - [TILI]</t>
        </is>
      </c>
      <c r="K810" s="67" t="inlineStr"/>
      <c r="L810" s="68" t="b">
        <v>0</v>
      </c>
      <c r="M810" s="20" t="n"/>
      <c r="N810" s="69">
        <f>IF($J810="","",IFERROR(INDEX(B!$F$2:$F$61,MATCH($J810,B!$E$2:$E$61,0))&amp;"",""))</f>
        <v/>
      </c>
      <c r="O810" s="69">
        <f>IF($J810="","",IFERROR(INDEX(B!$G$2:$G$61,MATCH($J810,B!$E$2:$E$61,0))&amp;"",""))</f>
        <v/>
      </c>
      <c r="P810" s="69">
        <f>IF($J810="","",IFERROR(INDEX(B!$H$2:$H$61,MATCH($J810,B!$E$2:$E$61,0))&amp;"",""))</f>
        <v/>
      </c>
      <c r="Q810" s="69">
        <f>IF($J810="","",IFERROR(INDEX(B!$I$2:$I$61,MATCH($J810,B!$E$2:$E$61,0))&amp;"",""))</f>
        <v/>
      </c>
      <c r="R810" s="69">
        <f>IF($J810="","",IFERROR(INDEX(B!$J$2:$J$61,MATCH($J810,B!$E$2:$E$61,0))&amp;"",""))</f>
        <v/>
      </c>
      <c r="S810" s="69">
        <f>IF($J810="","",IFERROR(INDEX(B!$K$2:$K$61,MATCH($J810,B!$E$2:$E$61,0))&amp;"",""))</f>
        <v/>
      </c>
      <c r="T810" s="69">
        <f>IF($J810="","",IFERROR(INDEX(B!$L$2:$L$61,MATCH($J810,B!$E$2:$E$61,0))&amp;"",""))</f>
        <v/>
      </c>
      <c r="U810" s="20" t="n"/>
      <c r="V810" s="70">
        <f>IF($J810="","",IFERROR(INDEX(B!$M$2:$M$61,MATCH($J810,B!$E$2:$E$61,0))&amp;"",""))</f>
        <v/>
      </c>
      <c r="W810" s="71">
        <f>IF(I810="","",IFERROR(MID(I810,FIND("/d/",I810)+3,FIND("/edit",I810)-FIND("/d/",I810)-3),I810))</f>
        <v/>
      </c>
      <c r="X810" s="71">
        <f>IF($J810="","",IFERROR(INDEX(B!$C$2:$C$61,MATCH($J810,B!$E$2:$E$61,0))&amp;"",""))</f>
        <v/>
      </c>
      <c r="Y810" s="20" t="n"/>
      <c r="Z810" s="72">
        <f>IF($J810="",FALSE,ISNUMBER(SEARCH("scout",$K810)))</f>
        <v/>
      </c>
      <c r="AA810" s="72">
        <f>IF($J810="",FALSE,IFERROR(INDEX(B!$N$2:$N$61,MATCH($J810,B!$E$2:$E$61,0))="Sim",FALSE))</f>
        <v/>
      </c>
      <c r="AB810" s="72">
        <f>IF($J810="",FALSE,LEFT($X810,2)="XX")</f>
        <v/>
      </c>
      <c r="AC810" s="72">
        <f>IF($J810="",FALSE,IFERROR(INDEX(B!$P$2:$P$61,MATCH($J810,B!$E$2:$E$61,0))="Sim",FALSE))</f>
        <v/>
      </c>
      <c r="AD810" s="20" t="n"/>
      <c r="AE810" s="52">
        <f>IF(H810="","",HOUR(H810))</f>
        <v/>
      </c>
      <c r="AF810" s="52" t="n"/>
    </row>
    <row r="811" ht="19.5" customHeight="1" s="58">
      <c r="A811" s="62">
        <f>IF(G811="","",IF(G811=G810,"",COUNTIF($G$3:$G$976,G811)))</f>
        <v/>
      </c>
      <c r="B811" s="20" t="n"/>
      <c r="C811" s="63">
        <f>IF(G811="","",DAY(G811))</f>
        <v/>
      </c>
      <c r="D811" s="63">
        <f>IF(G811="","",MONTH(G811))</f>
        <v/>
      </c>
      <c r="E811" s="63">
        <f>IF(G811="","",YEAR(G811))</f>
        <v/>
      </c>
      <c r="F811" s="33">
        <f>IF(G811="","",CHOOSE(MONTH(G811),"Janeiro","Fevereiro","Março","Abril","Maio","Junho","Julho","Agosto","Setembro","Outubro","Novembro","Dezembro"))</f>
        <v/>
      </c>
      <c r="G811" s="64" t="n">
        <v>46078</v>
      </c>
      <c r="H811" s="65" t="n">
        <v>0.01967592592592593</v>
      </c>
      <c r="I811" s="66" t="inlineStr">
        <is>
          <t>https://docs.google.com/spreadsheets/d/1ZiCGoPjLCjuYvujDTXK9Ixbth3tekiLtFBzBrGjPCr4/edit?gid=0#gid=0</t>
        </is>
      </c>
      <c r="J811" s="67" t="inlineStr">
        <is>
          <t>Mais informações (Quanto Pagou?) - [AAV]</t>
        </is>
      </c>
      <c r="K811" s="67" t="inlineStr"/>
      <c r="L811" s="68" t="b">
        <v>0</v>
      </c>
      <c r="M811" s="20" t="n"/>
      <c r="N811" s="69">
        <f>IF($J811="","",IFERROR(INDEX(B!$F$2:$F$61,MATCH($J811,B!$E$2:$E$61,0))&amp;"",""))</f>
        <v/>
      </c>
      <c r="O811" s="69">
        <f>IF($J811="","",IFERROR(INDEX(B!$G$2:$G$61,MATCH($J811,B!$E$2:$E$61,0))&amp;"",""))</f>
        <v/>
      </c>
      <c r="P811" s="69">
        <f>IF($J811="","",IFERROR(INDEX(B!$H$2:$H$61,MATCH($J811,B!$E$2:$E$61,0))&amp;"",""))</f>
        <v/>
      </c>
      <c r="Q811" s="69">
        <f>IF($J811="","",IFERROR(INDEX(B!$I$2:$I$61,MATCH($J811,B!$E$2:$E$61,0))&amp;"",""))</f>
        <v/>
      </c>
      <c r="R811" s="69">
        <f>IF($J811="","",IFERROR(INDEX(B!$J$2:$J$61,MATCH($J811,B!$E$2:$E$61,0))&amp;"",""))</f>
        <v/>
      </c>
      <c r="S811" s="69">
        <f>IF($J811="","",IFERROR(INDEX(B!$K$2:$K$61,MATCH($J811,B!$E$2:$E$61,0))&amp;"",""))</f>
        <v/>
      </c>
      <c r="T811" s="69">
        <f>IF($J811="","",IFERROR(INDEX(B!$L$2:$L$61,MATCH($J811,B!$E$2:$E$61,0))&amp;"",""))</f>
        <v/>
      </c>
      <c r="U811" s="20" t="n"/>
      <c r="V811" s="70">
        <f>IF($J811="","",IFERROR(INDEX(B!$M$2:$M$61,MATCH($J811,B!$E$2:$E$61,0))&amp;"",""))</f>
        <v/>
      </c>
      <c r="W811" s="71">
        <f>IF(I811="","",IFERROR(MID(I811,FIND("/d/",I811)+3,FIND("/edit",I811)-FIND("/d/",I811)-3),I811))</f>
        <v/>
      </c>
      <c r="X811" s="71">
        <f>IF($J811="","",IFERROR(INDEX(B!$C$2:$C$61,MATCH($J811,B!$E$2:$E$61,0))&amp;"",""))</f>
        <v/>
      </c>
      <c r="Y811" s="20" t="n"/>
      <c r="Z811" s="72">
        <f>IF($J811="",FALSE,ISNUMBER(SEARCH("scout",$K811)))</f>
        <v/>
      </c>
      <c r="AA811" s="72">
        <f>IF($J811="",FALSE,IFERROR(INDEX(B!$N$2:$N$61,MATCH($J811,B!$E$2:$E$61,0))="Sim",FALSE))</f>
        <v/>
      </c>
      <c r="AB811" s="72">
        <f>IF($J811="",FALSE,LEFT($X811,2)="XX")</f>
        <v/>
      </c>
      <c r="AC811" s="72">
        <f>IF($J811="",FALSE,IFERROR(INDEX(B!$P$2:$P$61,MATCH($J811,B!$E$2:$E$61,0))="Sim",FALSE))</f>
        <v/>
      </c>
      <c r="AD811" s="20" t="n"/>
      <c r="AE811" s="52">
        <f>IF(H811="","",HOUR(H811))</f>
        <v/>
      </c>
      <c r="AF811" s="52" t="n"/>
    </row>
    <row r="812" ht="19.5" customHeight="1" s="58">
      <c r="A812" s="62">
        <f>IF(G812="","",IF(G812=G811,"",COUNTIF($G$3:$G$976,G812)))</f>
        <v/>
      </c>
      <c r="B812" s="20" t="n"/>
      <c r="C812" s="63">
        <f>IF(G812="","",DAY(G812))</f>
        <v/>
      </c>
      <c r="D812" s="63">
        <f>IF(G812="","",MONTH(G812))</f>
        <v/>
      </c>
      <c r="E812" s="63">
        <f>IF(G812="","",YEAR(G812))</f>
        <v/>
      </c>
      <c r="F812" s="33">
        <f>IF(G812="","",CHOOSE(MONTH(G812),"Janeiro","Fevereiro","Março","Abril","Maio","Junho","Julho","Agosto","Setembro","Outubro","Novembro","Dezembro"))</f>
        <v/>
      </c>
      <c r="G812" s="64" t="n">
        <v>46078</v>
      </c>
      <c r="H812" s="65" t="n">
        <v>0.02490740740740741</v>
      </c>
      <c r="I812" s="66" t="inlineStr">
        <is>
          <t>https://docs.google.com/spreadsheets/d/1ZiCGoPjLCjuYvujDTXK9Ixbth3tekiLtFBzBrGjPCr4/edit?gid=0#gid=0</t>
        </is>
      </c>
      <c r="J812" s="67" t="inlineStr">
        <is>
          <t>Overpaid, Não excede o limite, Com comprovante - [OPNC]</t>
        </is>
      </c>
      <c r="K812" s="67" t="inlineStr"/>
      <c r="L812" s="68" t="b">
        <v>0</v>
      </c>
      <c r="M812" s="20" t="n"/>
      <c r="N812" s="69">
        <f>IF($J812="","",IFERROR(INDEX(B!$F$2:$F$61,MATCH($J812,B!$E$2:$E$61,0))&amp;"",""))</f>
        <v/>
      </c>
      <c r="O812" s="69">
        <f>IF($J812="","",IFERROR(INDEX(B!$G$2:$G$61,MATCH($J812,B!$E$2:$E$61,0))&amp;"",""))</f>
        <v/>
      </c>
      <c r="P812" s="69">
        <f>IF($J812="","",IFERROR(INDEX(B!$H$2:$H$61,MATCH($J812,B!$E$2:$E$61,0))&amp;"",""))</f>
        <v/>
      </c>
      <c r="Q812" s="69">
        <f>IF($J812="","",IFERROR(INDEX(B!$I$2:$I$61,MATCH($J812,B!$E$2:$E$61,0))&amp;"",""))</f>
        <v/>
      </c>
      <c r="R812" s="69">
        <f>IF($J812="","",IFERROR(INDEX(B!$J$2:$J$61,MATCH($J812,B!$E$2:$E$61,0))&amp;"",""))</f>
        <v/>
      </c>
      <c r="S812" s="69">
        <f>IF($J812="","",IFERROR(INDEX(B!$K$2:$K$61,MATCH($J812,B!$E$2:$E$61,0))&amp;"",""))</f>
        <v/>
      </c>
      <c r="T812" s="69">
        <f>IF($J812="","",IFERROR(INDEX(B!$L$2:$L$61,MATCH($J812,B!$E$2:$E$61,0))&amp;"",""))</f>
        <v/>
      </c>
      <c r="U812" s="20" t="n"/>
      <c r="V812" s="70">
        <f>IF($J812="","",IFERROR(INDEX(B!$M$2:$M$61,MATCH($J812,B!$E$2:$E$61,0))&amp;"",""))</f>
        <v/>
      </c>
      <c r="W812" s="71">
        <f>IF(I812="","",IFERROR(MID(I812,FIND("/d/",I812)+3,FIND("/edit",I812)-FIND("/d/",I812)-3),I812))</f>
        <v/>
      </c>
      <c r="X812" s="71">
        <f>IF($J812="","",IFERROR(INDEX(B!$C$2:$C$61,MATCH($J812,B!$E$2:$E$61,0))&amp;"",""))</f>
        <v/>
      </c>
      <c r="Y812" s="20" t="n"/>
      <c r="Z812" s="72">
        <f>IF($J812="",FALSE,ISNUMBER(SEARCH("scout",$K812)))</f>
        <v/>
      </c>
      <c r="AA812" s="72">
        <f>IF($J812="",FALSE,IFERROR(INDEX(B!$N$2:$N$61,MATCH($J812,B!$E$2:$E$61,0))="Sim",FALSE))</f>
        <v/>
      </c>
      <c r="AB812" s="72">
        <f>IF($J812="",FALSE,LEFT($X812,2)="XX")</f>
        <v/>
      </c>
      <c r="AC812" s="72">
        <f>IF($J812="",FALSE,IFERROR(INDEX(B!$P$2:$P$61,MATCH($J812,B!$E$2:$E$61,0))="Sim",FALSE))</f>
        <v/>
      </c>
      <c r="AD812" s="20" t="n"/>
      <c r="AE812" s="52">
        <f>IF(H812="","",HOUR(H812))</f>
        <v/>
      </c>
      <c r="AF812" s="52" t="n"/>
    </row>
    <row r="813" ht="19.5" customHeight="1" s="58">
      <c r="A813" s="62">
        <f>IF(G813="","",IF(G813=G812,"",COUNTIF($G$3:$G$976,G813)))</f>
        <v/>
      </c>
      <c r="B813" s="20" t="n"/>
      <c r="C813" s="63">
        <f>IF(G813="","",DAY(G813))</f>
        <v/>
      </c>
      <c r="D813" s="63">
        <f>IF(G813="","",MONTH(G813))</f>
        <v/>
      </c>
      <c r="E813" s="63">
        <f>IF(G813="","",YEAR(G813))</f>
        <v/>
      </c>
      <c r="F813" s="33">
        <f>IF(G813="","",CHOOSE(MONTH(G813),"Janeiro","Fevereiro","Março","Abril","Maio","Junho","Julho","Agosto","Setembro","Outubro","Novembro","Dezembro"))</f>
        <v/>
      </c>
      <c r="G813" s="64" t="n">
        <v>46078</v>
      </c>
      <c r="H813" s="65" t="n">
        <v>0.02612268518518519</v>
      </c>
      <c r="I813" s="66" t="inlineStr">
        <is>
          <t>https://docs.google.com/spreadsheets/d/1ZiCGoPjLCjuYvujDTXK9Ixbth3tekiLtFBzBrGjPCr4/edit?gid=0#gid=0</t>
        </is>
      </c>
      <c r="J813" s="67" t="inlineStr">
        <is>
          <t>Comprovante de Pagamento - [CP]</t>
        </is>
      </c>
      <c r="K813" s="67" t="inlineStr">
        <is>
          <t>Scout</t>
        </is>
      </c>
      <c r="L813" s="68" t="b">
        <v>0</v>
      </c>
      <c r="M813" s="20" t="n"/>
      <c r="N813" s="69">
        <f>IF($J813="","",IFERROR(INDEX(B!$F$2:$F$61,MATCH($J813,B!$E$2:$E$61,0))&amp;"",""))</f>
        <v/>
      </c>
      <c r="O813" s="69">
        <f>IF($J813="","",IFERROR(INDEX(B!$G$2:$G$61,MATCH($J813,B!$E$2:$E$61,0))&amp;"",""))</f>
        <v/>
      </c>
      <c r="P813" s="69">
        <f>IF($J813="","",IFERROR(INDEX(B!$H$2:$H$61,MATCH($J813,B!$E$2:$E$61,0))&amp;"",""))</f>
        <v/>
      </c>
      <c r="Q813" s="69">
        <f>IF($J813="","",IFERROR(INDEX(B!$I$2:$I$61,MATCH($J813,B!$E$2:$E$61,0))&amp;"",""))</f>
        <v/>
      </c>
      <c r="R813" s="69">
        <f>IF($J813="","",IFERROR(INDEX(B!$J$2:$J$61,MATCH($J813,B!$E$2:$E$61,0))&amp;"",""))</f>
        <v/>
      </c>
      <c r="S813" s="69">
        <f>IF($J813="","",IFERROR(INDEX(B!$K$2:$K$61,MATCH($J813,B!$E$2:$E$61,0))&amp;"",""))</f>
        <v/>
      </c>
      <c r="T813" s="69">
        <f>IF($J813="","",IFERROR(INDEX(B!$L$2:$L$61,MATCH($J813,B!$E$2:$E$61,0))&amp;"",""))</f>
        <v/>
      </c>
      <c r="U813" s="20" t="n"/>
      <c r="V813" s="70">
        <f>IF($J813="","",IFERROR(INDEX(B!$M$2:$M$61,MATCH($J813,B!$E$2:$E$61,0))&amp;"",""))</f>
        <v/>
      </c>
      <c r="W813" s="71">
        <f>IF(I813="","",IFERROR(MID(I813,FIND("/d/",I813)+3,FIND("/edit",I813)-FIND("/d/",I813)-3),I813))</f>
        <v/>
      </c>
      <c r="X813" s="71">
        <f>IF($J813="","",IFERROR(INDEX(B!$C$2:$C$61,MATCH($J813,B!$E$2:$E$61,0))&amp;"",""))</f>
        <v/>
      </c>
      <c r="Y813" s="20" t="n"/>
      <c r="Z813" s="72">
        <f>IF($J813="",FALSE,ISNUMBER(SEARCH("scout",$K813)))</f>
        <v/>
      </c>
      <c r="AA813" s="72">
        <f>IF($J813="",FALSE,IFERROR(INDEX(B!$N$2:$N$61,MATCH($J813,B!$E$2:$E$61,0))="Sim",FALSE))</f>
        <v/>
      </c>
      <c r="AB813" s="72">
        <f>IF($J813="",FALSE,LEFT($X813,2)="XX")</f>
        <v/>
      </c>
      <c r="AC813" s="72">
        <f>IF($J813="",FALSE,IFERROR(INDEX(B!$P$2:$P$61,MATCH($J813,B!$E$2:$E$61,0))="Sim",FALSE))</f>
        <v/>
      </c>
      <c r="AD813" s="20" t="n"/>
      <c r="AE813" s="52">
        <f>IF(H813="","",HOUR(H813))</f>
        <v/>
      </c>
      <c r="AF813" s="52" t="n"/>
    </row>
    <row r="814" ht="19.5" customHeight="1" s="58">
      <c r="A814" s="62">
        <f>IF(G814="","",IF(G814=G813,"",COUNTIF($G$3:$G$976,G814)))</f>
        <v/>
      </c>
      <c r="B814" s="20" t="n"/>
      <c r="C814" s="63">
        <f>IF(G814="","",DAY(G814))</f>
        <v/>
      </c>
      <c r="D814" s="63">
        <f>IF(G814="","",MONTH(G814))</f>
        <v/>
      </c>
      <c r="E814" s="63">
        <f>IF(G814="","",YEAR(G814))</f>
        <v/>
      </c>
      <c r="F814" s="33">
        <f>IF(G814="","",CHOOSE(MONTH(G814),"Janeiro","Fevereiro","Março","Abril","Maio","Junho","Julho","Agosto","Setembro","Outubro","Novembro","Dezembro"))</f>
        <v/>
      </c>
      <c r="G814" s="64" t="n">
        <v>46078</v>
      </c>
      <c r="H814" s="65" t="n">
        <v>0.03991898148148148</v>
      </c>
      <c r="I814" s="66" t="inlineStr">
        <is>
          <t>https://docs.google.com/spreadsheets/d/1ZiCGoPjLCjuYvujDTXK9Ixbth3tekiLtFBzBrGjPCr4/edit?gid=0#gid=0</t>
        </is>
      </c>
      <c r="J814" s="67" t="inlineStr">
        <is>
          <t>Trajeto Ruim - [TR]</t>
        </is>
      </c>
      <c r="K814" s="67" t="inlineStr"/>
      <c r="L814" s="68" t="b">
        <v>0</v>
      </c>
      <c r="M814" s="20" t="n"/>
      <c r="N814" s="69">
        <f>IF($J814="","",IFERROR(INDEX(B!$F$2:$F$61,MATCH($J814,B!$E$2:$E$61,0))&amp;"",""))</f>
        <v/>
      </c>
      <c r="O814" s="69">
        <f>IF($J814="","",IFERROR(INDEX(B!$G$2:$G$61,MATCH($J814,B!$E$2:$E$61,0))&amp;"",""))</f>
        <v/>
      </c>
      <c r="P814" s="69">
        <f>IF($J814="","",IFERROR(INDEX(B!$H$2:$H$61,MATCH($J814,B!$E$2:$E$61,0))&amp;"",""))</f>
        <v/>
      </c>
      <c r="Q814" s="69">
        <f>IF($J814="","",IFERROR(INDEX(B!$I$2:$I$61,MATCH($J814,B!$E$2:$E$61,0))&amp;"",""))</f>
        <v/>
      </c>
      <c r="R814" s="69">
        <f>IF($J814="","",IFERROR(INDEX(B!$J$2:$J$61,MATCH($J814,B!$E$2:$E$61,0))&amp;"",""))</f>
        <v/>
      </c>
      <c r="S814" s="69">
        <f>IF($J814="","",IFERROR(INDEX(B!$K$2:$K$61,MATCH($J814,B!$E$2:$E$61,0))&amp;"",""))</f>
        <v/>
      </c>
      <c r="T814" s="69">
        <f>IF($J814="","",IFERROR(INDEX(B!$L$2:$L$61,MATCH($J814,B!$E$2:$E$61,0))&amp;"",""))</f>
        <v/>
      </c>
      <c r="U814" s="20" t="n"/>
      <c r="V814" s="70">
        <f>IF($J814="","",IFERROR(INDEX(B!$M$2:$M$61,MATCH($J814,B!$E$2:$E$61,0))&amp;"",""))</f>
        <v/>
      </c>
      <c r="W814" s="71">
        <f>IF(I814="","",IFERROR(MID(I814,FIND("/d/",I814)+3,FIND("/edit",I814)-FIND("/d/",I814)-3),I814))</f>
        <v/>
      </c>
      <c r="X814" s="71">
        <f>IF($J814="","",IFERROR(INDEX(B!$C$2:$C$61,MATCH($J814,B!$E$2:$E$61,0))&amp;"",""))</f>
        <v/>
      </c>
      <c r="Y814" s="20" t="n"/>
      <c r="Z814" s="72">
        <f>IF($J814="",FALSE,ISNUMBER(SEARCH("scout",$K814)))</f>
        <v/>
      </c>
      <c r="AA814" s="72">
        <f>IF($J814="",FALSE,IFERROR(INDEX(B!$N$2:$N$61,MATCH($J814,B!$E$2:$E$61,0))="Sim",FALSE))</f>
        <v/>
      </c>
      <c r="AB814" s="72">
        <f>IF($J814="",FALSE,LEFT($X814,2)="XX")</f>
        <v/>
      </c>
      <c r="AC814" s="72">
        <f>IF($J814="",FALSE,IFERROR(INDEX(B!$P$2:$P$61,MATCH($J814,B!$E$2:$E$61,0))="Sim",FALSE))</f>
        <v/>
      </c>
      <c r="AD814" s="20" t="n"/>
      <c r="AE814" s="52">
        <f>IF(H814="","",HOUR(H814))</f>
        <v/>
      </c>
      <c r="AF814" s="52" t="n"/>
    </row>
    <row r="815" ht="19.5" customHeight="1" s="58">
      <c r="A815" s="62">
        <f>IF(G815="","",IF(G815=G814,"",COUNTIF($G$3:$G$976,G815)))</f>
        <v/>
      </c>
      <c r="B815" s="20" t="n"/>
      <c r="C815" s="63">
        <f>IF(G815="","",DAY(G815))</f>
        <v/>
      </c>
      <c r="D815" s="63">
        <f>IF(G815="","",MONTH(G815))</f>
        <v/>
      </c>
      <c r="E815" s="63">
        <f>IF(G815="","",YEAR(G815))</f>
        <v/>
      </c>
      <c r="F815" s="33">
        <f>IF(G815="","",CHOOSE(MONTH(G815),"Janeiro","Fevereiro","Março","Abril","Maio","Junho","Julho","Agosto","Setembro","Outubro","Novembro","Dezembro"))</f>
        <v/>
      </c>
      <c r="G815" s="64" t="n">
        <v>46078</v>
      </c>
      <c r="H815" s="65" t="n">
        <v>0.0534375</v>
      </c>
      <c r="I815" s="66" t="inlineStr">
        <is>
          <t>https://docs.google.com/spreadsheets/d/1ZiCGoPjLCjuYvujDTXK9Ixbth3tekiLtFBzBrGjPCr4/edit?gid=0#gid=0</t>
        </is>
      </c>
      <c r="J815" s="67" t="inlineStr">
        <is>
          <t>Comprovante de Pagamento - [CP]</t>
        </is>
      </c>
      <c r="K815" s="67" t="inlineStr"/>
      <c r="L815" s="68" t="b">
        <v>0</v>
      </c>
      <c r="M815" s="20" t="n"/>
      <c r="N815" s="69">
        <f>IF($J815="","",IFERROR(INDEX(B!$F$2:$F$61,MATCH($J815,B!$E$2:$E$61,0))&amp;"",""))</f>
        <v/>
      </c>
      <c r="O815" s="69">
        <f>IF($J815="","",IFERROR(INDEX(B!$G$2:$G$61,MATCH($J815,B!$E$2:$E$61,0))&amp;"",""))</f>
        <v/>
      </c>
      <c r="P815" s="69">
        <f>IF($J815="","",IFERROR(INDEX(B!$H$2:$H$61,MATCH($J815,B!$E$2:$E$61,0))&amp;"",""))</f>
        <v/>
      </c>
      <c r="Q815" s="69">
        <f>IF($J815="","",IFERROR(INDEX(B!$I$2:$I$61,MATCH($J815,B!$E$2:$E$61,0))&amp;"",""))</f>
        <v/>
      </c>
      <c r="R815" s="69">
        <f>IF($J815="","",IFERROR(INDEX(B!$J$2:$J$61,MATCH($J815,B!$E$2:$E$61,0))&amp;"",""))</f>
        <v/>
      </c>
      <c r="S815" s="69">
        <f>IF($J815="","",IFERROR(INDEX(B!$K$2:$K$61,MATCH($J815,B!$E$2:$E$61,0))&amp;"",""))</f>
        <v/>
      </c>
      <c r="T815" s="69">
        <f>IF($J815="","",IFERROR(INDEX(B!$L$2:$L$61,MATCH($J815,B!$E$2:$E$61,0))&amp;"",""))</f>
        <v/>
      </c>
      <c r="U815" s="20" t="n"/>
      <c r="V815" s="70">
        <f>IF($J815="","",IFERROR(INDEX(B!$M$2:$M$61,MATCH($J815,B!$E$2:$E$61,0))&amp;"",""))</f>
        <v/>
      </c>
      <c r="W815" s="71">
        <f>IF(I815="","",IFERROR(MID(I815,FIND("/d/",I815)+3,FIND("/edit",I815)-FIND("/d/",I815)-3),I815))</f>
        <v/>
      </c>
      <c r="X815" s="71">
        <f>IF($J815="","",IFERROR(INDEX(B!$C$2:$C$61,MATCH($J815,B!$E$2:$E$61,0))&amp;"",""))</f>
        <v/>
      </c>
      <c r="Y815" s="20" t="n"/>
      <c r="Z815" s="72">
        <f>IF($J815="",FALSE,ISNUMBER(SEARCH("scout",$K815)))</f>
        <v/>
      </c>
      <c r="AA815" s="72">
        <f>IF($J815="",FALSE,IFERROR(INDEX(B!$N$2:$N$61,MATCH($J815,B!$E$2:$E$61,0))="Sim",FALSE))</f>
        <v/>
      </c>
      <c r="AB815" s="72">
        <f>IF($J815="",FALSE,LEFT($X815,2)="XX")</f>
        <v/>
      </c>
      <c r="AC815" s="72">
        <f>IF($J815="",FALSE,IFERROR(INDEX(B!$P$2:$P$61,MATCH($J815,B!$E$2:$E$61,0))="Sim",FALSE))</f>
        <v/>
      </c>
      <c r="AD815" s="20" t="n"/>
      <c r="AE815" s="52">
        <f>IF(H815="","",HOUR(H815))</f>
        <v/>
      </c>
      <c r="AF815" s="52" t="n"/>
    </row>
    <row r="816" ht="19.5" customHeight="1" s="58">
      <c r="A816" s="62">
        <f>IF(G816="","",IF(G816=G815,"",COUNTIF($G$3:$G$976,G816)))</f>
        <v/>
      </c>
      <c r="B816" s="20" t="n"/>
      <c r="C816" s="63">
        <f>IF(G816="","",DAY(G816))</f>
        <v/>
      </c>
      <c r="D816" s="63">
        <f>IF(G816="","",MONTH(G816))</f>
        <v/>
      </c>
      <c r="E816" s="63">
        <f>IF(G816="","",YEAR(G816))</f>
        <v/>
      </c>
      <c r="F816" s="33">
        <f>IF(G816="","",CHOOSE(MONTH(G816),"Janeiro","Fevereiro","Março","Abril","Maio","Junho","Julho","Agosto","Setembro","Outubro","Novembro","Dezembro"))</f>
        <v/>
      </c>
      <c r="G816" s="64" t="n">
        <v>46078</v>
      </c>
      <c r="H816" s="65" t="n">
        <v>0.05508101851851852</v>
      </c>
      <c r="I816" s="66" t="inlineStr">
        <is>
          <t>https://docs.google.com/spreadsheets/d/1ZiCGoPjLCjuYvujDTXK9Ixbth3tekiLtFBzBrGjPCr4/edit?gid=0#gid=0</t>
        </is>
      </c>
      <c r="J816" s="67" t="inlineStr">
        <is>
          <t>Overpaid, Não excede o limite, Com comprovante - [OPNC]</t>
        </is>
      </c>
      <c r="K816" s="67" t="inlineStr"/>
      <c r="L816" s="68" t="b">
        <v>0</v>
      </c>
      <c r="M816" s="20" t="n"/>
      <c r="N816" s="69">
        <f>IF($J816="","",IFERROR(INDEX(B!$F$2:$F$61,MATCH($J816,B!$E$2:$E$61,0))&amp;"",""))</f>
        <v/>
      </c>
      <c r="O816" s="69">
        <f>IF($J816="","",IFERROR(INDEX(B!$G$2:$G$61,MATCH($J816,B!$E$2:$E$61,0))&amp;"",""))</f>
        <v/>
      </c>
      <c r="P816" s="69">
        <f>IF($J816="","",IFERROR(INDEX(B!$H$2:$H$61,MATCH($J816,B!$E$2:$E$61,0))&amp;"",""))</f>
        <v/>
      </c>
      <c r="Q816" s="69">
        <f>IF($J816="","",IFERROR(INDEX(B!$I$2:$I$61,MATCH($J816,B!$E$2:$E$61,0))&amp;"",""))</f>
        <v/>
      </c>
      <c r="R816" s="69">
        <f>IF($J816="","",IFERROR(INDEX(B!$J$2:$J$61,MATCH($J816,B!$E$2:$E$61,0))&amp;"",""))</f>
        <v/>
      </c>
      <c r="S816" s="69">
        <f>IF($J816="","",IFERROR(INDEX(B!$K$2:$K$61,MATCH($J816,B!$E$2:$E$61,0))&amp;"",""))</f>
        <v/>
      </c>
      <c r="T816" s="69">
        <f>IF($J816="","",IFERROR(INDEX(B!$L$2:$L$61,MATCH($J816,B!$E$2:$E$61,0))&amp;"",""))</f>
        <v/>
      </c>
      <c r="U816" s="20" t="n"/>
      <c r="V816" s="70">
        <f>IF($J816="","",IFERROR(INDEX(B!$M$2:$M$61,MATCH($J816,B!$E$2:$E$61,0))&amp;"",""))</f>
        <v/>
      </c>
      <c r="W816" s="71">
        <f>IF(I816="","",IFERROR(MID(I816,FIND("/d/",I816)+3,FIND("/edit",I816)-FIND("/d/",I816)-3),I816))</f>
        <v/>
      </c>
      <c r="X816" s="71">
        <f>IF($J816="","",IFERROR(INDEX(B!$C$2:$C$61,MATCH($J816,B!$E$2:$E$61,0))&amp;"",""))</f>
        <v/>
      </c>
      <c r="Y816" s="20" t="n"/>
      <c r="Z816" s="72">
        <f>IF($J816="",FALSE,ISNUMBER(SEARCH("scout",$K816)))</f>
        <v/>
      </c>
      <c r="AA816" s="72">
        <f>IF($J816="",FALSE,IFERROR(INDEX(B!$N$2:$N$61,MATCH($J816,B!$E$2:$E$61,0))="Sim",FALSE))</f>
        <v/>
      </c>
      <c r="AB816" s="72">
        <f>IF($J816="",FALSE,LEFT($X816,2)="XX")</f>
        <v/>
      </c>
      <c r="AC816" s="72">
        <f>IF($J816="",FALSE,IFERROR(INDEX(B!$P$2:$P$61,MATCH($J816,B!$E$2:$E$61,0))="Sim",FALSE))</f>
        <v/>
      </c>
      <c r="AD816" s="20" t="n"/>
      <c r="AE816" s="52">
        <f>IF(H816="","",HOUR(H816))</f>
        <v/>
      </c>
      <c r="AF816" s="52" t="n"/>
    </row>
    <row r="817" ht="19.5" customHeight="1" s="58">
      <c r="A817" s="62">
        <f>IF(G817="","",IF(G817=G816,"",COUNTIF($G$3:$G$976,G817)))</f>
        <v/>
      </c>
      <c r="B817" s="20" t="n"/>
      <c r="C817" s="63">
        <f>IF(G817="","",DAY(G817))</f>
        <v/>
      </c>
      <c r="D817" s="63">
        <f>IF(G817="","",MONTH(G817))</f>
        <v/>
      </c>
      <c r="E817" s="63">
        <f>IF(G817="","",YEAR(G817))</f>
        <v/>
      </c>
      <c r="F817" s="33">
        <f>IF(G817="","",CHOOSE(MONTH(G817),"Janeiro","Fevereiro","Março","Abril","Maio","Junho","Julho","Agosto","Setembro","Outubro","Novembro","Dezembro"))</f>
        <v/>
      </c>
      <c r="G817" s="64" t="n">
        <v>46078</v>
      </c>
      <c r="H817" s="65" t="n">
        <v>0.05857638888888889</v>
      </c>
      <c r="I817" s="66" t="inlineStr">
        <is>
          <t>https://docs.google.com/spreadsheets/d/1ZiCGoPjLCjuYvujDTXK9Ixbth3tekiLtFBzBrGjPCr4/edit?gid=0#gid=0</t>
        </is>
      </c>
      <c r="J817" s="67" t="inlineStr">
        <is>
          <t>Overpaid, Excede o limite Com comprovante - [OPEC]</t>
        </is>
      </c>
      <c r="K817" s="67" t="inlineStr"/>
      <c r="L817" s="68" t="b">
        <v>0</v>
      </c>
      <c r="M817" s="20" t="n"/>
      <c r="N817" s="69">
        <f>IF($J817="","",IFERROR(INDEX(B!$F$2:$F$61,MATCH($J817,B!$E$2:$E$61,0))&amp;"",""))</f>
        <v/>
      </c>
      <c r="O817" s="69">
        <f>IF($J817="","",IFERROR(INDEX(B!$G$2:$G$61,MATCH($J817,B!$E$2:$E$61,0))&amp;"",""))</f>
        <v/>
      </c>
      <c r="P817" s="69">
        <f>IF($J817="","",IFERROR(INDEX(B!$H$2:$H$61,MATCH($J817,B!$E$2:$E$61,0))&amp;"",""))</f>
        <v/>
      </c>
      <c r="Q817" s="69">
        <f>IF($J817="","",IFERROR(INDEX(B!$I$2:$I$61,MATCH($J817,B!$E$2:$E$61,0))&amp;"",""))</f>
        <v/>
      </c>
      <c r="R817" s="69">
        <f>IF($J817="","",IFERROR(INDEX(B!$J$2:$J$61,MATCH($J817,B!$E$2:$E$61,0))&amp;"",""))</f>
        <v/>
      </c>
      <c r="S817" s="69">
        <f>IF($J817="","",IFERROR(INDEX(B!$K$2:$K$61,MATCH($J817,B!$E$2:$E$61,0))&amp;"",""))</f>
        <v/>
      </c>
      <c r="T817" s="69">
        <f>IF($J817="","",IFERROR(INDEX(B!$L$2:$L$61,MATCH($J817,B!$E$2:$E$61,0))&amp;"",""))</f>
        <v/>
      </c>
      <c r="U817" s="20" t="n"/>
      <c r="V817" s="70">
        <f>IF($J817="","",IFERROR(INDEX(B!$M$2:$M$61,MATCH($J817,B!$E$2:$E$61,0))&amp;"",""))</f>
        <v/>
      </c>
      <c r="W817" s="71">
        <f>IF(I817="","",IFERROR(MID(I817,FIND("/d/",I817)+3,FIND("/edit",I817)-FIND("/d/",I817)-3),I817))</f>
        <v/>
      </c>
      <c r="X817" s="71">
        <f>IF($J817="","",IFERROR(INDEX(B!$C$2:$C$61,MATCH($J817,B!$E$2:$E$61,0))&amp;"",""))</f>
        <v/>
      </c>
      <c r="Y817" s="20" t="n"/>
      <c r="Z817" s="72">
        <f>IF($J817="",FALSE,ISNUMBER(SEARCH("scout",$K817)))</f>
        <v/>
      </c>
      <c r="AA817" s="72">
        <f>IF($J817="",FALSE,IFERROR(INDEX(B!$N$2:$N$61,MATCH($J817,B!$E$2:$E$61,0))="Sim",FALSE))</f>
        <v/>
      </c>
      <c r="AB817" s="72">
        <f>IF($J817="",FALSE,LEFT($X817,2)="XX")</f>
        <v/>
      </c>
      <c r="AC817" s="72">
        <f>IF($J817="",FALSE,IFERROR(INDEX(B!$P$2:$P$61,MATCH($J817,B!$E$2:$E$61,0))="Sim",FALSE))</f>
        <v/>
      </c>
      <c r="AD817" s="20" t="n"/>
      <c r="AE817" s="52">
        <f>IF(H817="","",HOUR(H817))</f>
        <v/>
      </c>
      <c r="AF817" s="52" t="n"/>
    </row>
    <row r="818" ht="19.5" customHeight="1" s="58">
      <c r="A818" s="62">
        <f>IF(G818="","",IF(G818=G817,"",COUNTIF($G$3:$G$976,G818)))</f>
        <v/>
      </c>
      <c r="B818" s="20" t="n"/>
      <c r="C818" s="63">
        <f>IF(G818="","",DAY(G818))</f>
        <v/>
      </c>
      <c r="D818" s="63">
        <f>IF(G818="","",MONTH(G818))</f>
        <v/>
      </c>
      <c r="E818" s="63">
        <f>IF(G818="","",YEAR(G818))</f>
        <v/>
      </c>
      <c r="F818" s="33">
        <f>IF(G818="","",CHOOSE(MONTH(G818),"Janeiro","Fevereiro","Março","Abril","Maio","Junho","Julho","Agosto","Setembro","Outubro","Novembro","Dezembro"))</f>
        <v/>
      </c>
      <c r="G818" s="64" t="n">
        <v>46078</v>
      </c>
      <c r="H818" s="65" t="n">
        <v>0.06666666666666667</v>
      </c>
      <c r="I818" s="66" t="inlineStr">
        <is>
          <t>https://docs.google.com/spreadsheets/d/1ZiCGoPjLCjuYvujDTXK9Ixbth3tekiLtFBzBrGjPCr4/edit?gid=0#gid=0</t>
        </is>
      </c>
      <c r="J818" s="67" t="inlineStr">
        <is>
          <t>Pushback - [XX]</t>
        </is>
      </c>
      <c r="K818" s="67" t="inlineStr"/>
      <c r="L818" s="68" t="b">
        <v>0</v>
      </c>
      <c r="M818" s="20" t="n"/>
      <c r="N818" s="69">
        <f>IF($J818="","",IFERROR(INDEX(B!$F$2:$F$61,MATCH($J818,B!$E$2:$E$61,0))&amp;"",""))</f>
        <v/>
      </c>
      <c r="O818" s="69">
        <f>IF($J818="","",IFERROR(INDEX(B!$G$2:$G$61,MATCH($J818,B!$E$2:$E$61,0))&amp;"",""))</f>
        <v/>
      </c>
      <c r="P818" s="69">
        <f>IF($J818="","",IFERROR(INDEX(B!$H$2:$H$61,MATCH($J818,B!$E$2:$E$61,0))&amp;"",""))</f>
        <v/>
      </c>
      <c r="Q818" s="69">
        <f>IF($J818="","",IFERROR(INDEX(B!$I$2:$I$61,MATCH($J818,B!$E$2:$E$61,0))&amp;"",""))</f>
        <v/>
      </c>
      <c r="R818" s="69">
        <f>IF($J818="","",IFERROR(INDEX(B!$J$2:$J$61,MATCH($J818,B!$E$2:$E$61,0))&amp;"",""))</f>
        <v/>
      </c>
      <c r="S818" s="69">
        <f>IF($J818="","",IFERROR(INDEX(B!$K$2:$K$61,MATCH($J818,B!$E$2:$E$61,0))&amp;"",""))</f>
        <v/>
      </c>
      <c r="T818" s="69">
        <f>IF($J818="","",IFERROR(INDEX(B!$L$2:$L$61,MATCH($J818,B!$E$2:$E$61,0))&amp;"",""))</f>
        <v/>
      </c>
      <c r="U818" s="20" t="n"/>
      <c r="V818" s="70">
        <f>IF($J818="","",IFERROR(INDEX(B!$M$2:$M$61,MATCH($J818,B!$E$2:$E$61,0))&amp;"",""))</f>
        <v/>
      </c>
      <c r="W818" s="71">
        <f>IF(I818="","",IFERROR(MID(I818,FIND("/d/",I818)+3,FIND("/edit",I818)-FIND("/d/",I818)-3),I818))</f>
        <v/>
      </c>
      <c r="X818" s="71">
        <f>IF($J818="","",IFERROR(INDEX(B!$C$2:$C$61,MATCH($J818,B!$E$2:$E$61,0))&amp;"",""))</f>
        <v/>
      </c>
      <c r="Y818" s="20" t="n"/>
      <c r="Z818" s="72">
        <f>IF($J818="",FALSE,ISNUMBER(SEARCH("scout",$K818)))</f>
        <v/>
      </c>
      <c r="AA818" s="72">
        <f>IF($J818="",FALSE,IFERROR(INDEX(B!$N$2:$N$61,MATCH($J818,B!$E$2:$E$61,0))="Sim",FALSE))</f>
        <v/>
      </c>
      <c r="AB818" s="72">
        <f>IF($J818="",FALSE,LEFT($X818,2)="XX")</f>
        <v/>
      </c>
      <c r="AC818" s="72">
        <f>IF($J818="",FALSE,IFERROR(INDEX(B!$P$2:$P$61,MATCH($J818,B!$E$2:$E$61,0))="Sim",FALSE))</f>
        <v/>
      </c>
      <c r="AD818" s="20" t="n"/>
      <c r="AE818" s="52">
        <f>IF(H818="","",HOUR(H818))</f>
        <v/>
      </c>
      <c r="AF818" s="52" t="n"/>
    </row>
    <row r="819" ht="19.5" customHeight="1" s="58">
      <c r="A819" s="62">
        <f>IF(G819="","",IF(G819=G818,"",COUNTIF($G$3:$G$976,G819)))</f>
        <v/>
      </c>
      <c r="B819" s="20" t="n"/>
      <c r="C819" s="63">
        <f>IF(G819="","",DAY(G819))</f>
        <v/>
      </c>
      <c r="D819" s="63">
        <f>IF(G819="","",MONTH(G819))</f>
        <v/>
      </c>
      <c r="E819" s="63">
        <f>IF(G819="","",YEAR(G819))</f>
        <v/>
      </c>
      <c r="F819" s="33">
        <f>IF(G819="","",CHOOSE(MONTH(G819),"Janeiro","Fevereiro","Março","Abril","Maio","Junho","Julho","Agosto","Setembro","Outubro","Novembro","Dezembro"))</f>
        <v/>
      </c>
      <c r="G819" s="64" t="n">
        <v>46078</v>
      </c>
      <c r="H819" s="65" t="n">
        <v>0.07023148148148148</v>
      </c>
      <c r="I819" s="66" t="inlineStr">
        <is>
          <t>https://docs.google.com/spreadsheets/d/1ZiCGoPjLCjuYvujDTXK9Ixbth3tekiLtFBzBrGjPCr4/edit?gid=0#gid=0</t>
        </is>
      </c>
      <c r="J819" s="67" t="inlineStr">
        <is>
          <t>Mais informações (Quanto Pagou?) - [AAV]</t>
        </is>
      </c>
      <c r="K819" s="67" t="inlineStr">
        <is>
          <t>Scout</t>
        </is>
      </c>
      <c r="L819" s="68" t="b">
        <v>0</v>
      </c>
      <c r="M819" s="20" t="n"/>
      <c r="N819" s="69">
        <f>IF($J819="","",IFERROR(INDEX(B!$F$2:$F$61,MATCH($J819,B!$E$2:$E$61,0))&amp;"",""))</f>
        <v/>
      </c>
      <c r="O819" s="69">
        <f>IF($J819="","",IFERROR(INDEX(B!$G$2:$G$61,MATCH($J819,B!$E$2:$E$61,0))&amp;"",""))</f>
        <v/>
      </c>
      <c r="P819" s="69">
        <f>IF($J819="","",IFERROR(INDEX(B!$H$2:$H$61,MATCH($J819,B!$E$2:$E$61,0))&amp;"",""))</f>
        <v/>
      </c>
      <c r="Q819" s="69">
        <f>IF($J819="","",IFERROR(INDEX(B!$I$2:$I$61,MATCH($J819,B!$E$2:$E$61,0))&amp;"",""))</f>
        <v/>
      </c>
      <c r="R819" s="69">
        <f>IF($J819="","",IFERROR(INDEX(B!$J$2:$J$61,MATCH($J819,B!$E$2:$E$61,0))&amp;"",""))</f>
        <v/>
      </c>
      <c r="S819" s="69">
        <f>IF($J819="","",IFERROR(INDEX(B!$K$2:$K$61,MATCH($J819,B!$E$2:$E$61,0))&amp;"",""))</f>
        <v/>
      </c>
      <c r="T819" s="69">
        <f>IF($J819="","",IFERROR(INDEX(B!$L$2:$L$61,MATCH($J819,B!$E$2:$E$61,0))&amp;"",""))</f>
        <v/>
      </c>
      <c r="U819" s="20" t="n"/>
      <c r="V819" s="70">
        <f>IF($J819="","",IFERROR(INDEX(B!$M$2:$M$61,MATCH($J819,B!$E$2:$E$61,0))&amp;"",""))</f>
        <v/>
      </c>
      <c r="W819" s="71">
        <f>IF(I819="","",IFERROR(MID(I819,FIND("/d/",I819)+3,FIND("/edit",I819)-FIND("/d/",I819)-3),I819))</f>
        <v/>
      </c>
      <c r="X819" s="71">
        <f>IF($J819="","",IFERROR(INDEX(B!$C$2:$C$61,MATCH($J819,B!$E$2:$E$61,0))&amp;"",""))</f>
        <v/>
      </c>
      <c r="Y819" s="20" t="n"/>
      <c r="Z819" s="72">
        <f>IF($J819="",FALSE,ISNUMBER(SEARCH("scout",$K819)))</f>
        <v/>
      </c>
      <c r="AA819" s="72">
        <f>IF($J819="",FALSE,IFERROR(INDEX(B!$N$2:$N$61,MATCH($J819,B!$E$2:$E$61,0))="Sim",FALSE))</f>
        <v/>
      </c>
      <c r="AB819" s="72">
        <f>IF($J819="",FALSE,LEFT($X819,2)="XX")</f>
        <v/>
      </c>
      <c r="AC819" s="72">
        <f>IF($J819="",FALSE,IFERROR(INDEX(B!$P$2:$P$61,MATCH($J819,B!$E$2:$E$61,0))="Sim",FALSE))</f>
        <v/>
      </c>
      <c r="AD819" s="20" t="n"/>
      <c r="AE819" s="52">
        <f>IF(H819="","",HOUR(H819))</f>
        <v/>
      </c>
      <c r="AF819" s="52" t="n"/>
    </row>
    <row r="820" ht="19.5" customHeight="1" s="58">
      <c r="A820" s="62">
        <f>IF(G820="","",IF(G820=G819,"",COUNTIF($G$3:$G$976,G820)))</f>
        <v/>
      </c>
      <c r="B820" s="20" t="n"/>
      <c r="C820" s="63">
        <f>IF(G820="","",DAY(G820))</f>
        <v/>
      </c>
      <c r="D820" s="63">
        <f>IF(G820="","",MONTH(G820))</f>
        <v/>
      </c>
      <c r="E820" s="63">
        <f>IF(G820="","",YEAR(G820))</f>
        <v/>
      </c>
      <c r="F820" s="33">
        <f>IF(G820="","",CHOOSE(MONTH(G820),"Janeiro","Fevereiro","Março","Abril","Maio","Junho","Julho","Agosto","Setembro","Outubro","Novembro","Dezembro"))</f>
        <v/>
      </c>
      <c r="G820" s="64" t="n">
        <v>46078</v>
      </c>
      <c r="H820" s="65" t="n">
        <v>0.07064814814814815</v>
      </c>
      <c r="I820" s="66" t="inlineStr">
        <is>
          <t>https://docs.google.com/spreadsheets/d/1ZiCGoPjLCjuYvujDTXK9Ixbth3tekiLtFBzBrGjPCr4/edit?gid=0#gid=0</t>
        </is>
      </c>
      <c r="J820" s="67" t="inlineStr">
        <is>
          <t>Comprovante de Pagamento - [CP]</t>
        </is>
      </c>
      <c r="K820" s="67" t="inlineStr"/>
      <c r="L820" s="68" t="b">
        <v>0</v>
      </c>
      <c r="M820" s="20" t="n"/>
      <c r="N820" s="69">
        <f>IF($J820="","",IFERROR(INDEX(B!$F$2:$F$61,MATCH($J820,B!$E$2:$E$61,0))&amp;"",""))</f>
        <v/>
      </c>
      <c r="O820" s="69">
        <f>IF($J820="","",IFERROR(INDEX(B!$G$2:$G$61,MATCH($J820,B!$E$2:$E$61,0))&amp;"",""))</f>
        <v/>
      </c>
      <c r="P820" s="69">
        <f>IF($J820="","",IFERROR(INDEX(B!$H$2:$H$61,MATCH($J820,B!$E$2:$E$61,0))&amp;"",""))</f>
        <v/>
      </c>
      <c r="Q820" s="69">
        <f>IF($J820="","",IFERROR(INDEX(B!$I$2:$I$61,MATCH($J820,B!$E$2:$E$61,0))&amp;"",""))</f>
        <v/>
      </c>
      <c r="R820" s="69">
        <f>IF($J820="","",IFERROR(INDEX(B!$J$2:$J$61,MATCH($J820,B!$E$2:$E$61,0))&amp;"",""))</f>
        <v/>
      </c>
      <c r="S820" s="69">
        <f>IF($J820="","",IFERROR(INDEX(B!$K$2:$K$61,MATCH($J820,B!$E$2:$E$61,0))&amp;"",""))</f>
        <v/>
      </c>
      <c r="T820" s="69">
        <f>IF($J820="","",IFERROR(INDEX(B!$L$2:$L$61,MATCH($J820,B!$E$2:$E$61,0))&amp;"",""))</f>
        <v/>
      </c>
      <c r="U820" s="20" t="n"/>
      <c r="V820" s="70">
        <f>IF($J820="","",IFERROR(INDEX(B!$M$2:$M$61,MATCH($J820,B!$E$2:$E$61,0))&amp;"",""))</f>
        <v/>
      </c>
      <c r="W820" s="71">
        <f>IF(I820="","",IFERROR(MID(I820,FIND("/d/",I820)+3,FIND("/edit",I820)-FIND("/d/",I820)-3),I820))</f>
        <v/>
      </c>
      <c r="X820" s="71">
        <f>IF($J820="","",IFERROR(INDEX(B!$C$2:$C$61,MATCH($J820,B!$E$2:$E$61,0))&amp;"",""))</f>
        <v/>
      </c>
      <c r="Y820" s="20" t="n"/>
      <c r="Z820" s="72">
        <f>IF($J820="",FALSE,ISNUMBER(SEARCH("scout",$K820)))</f>
        <v/>
      </c>
      <c r="AA820" s="72">
        <f>IF($J820="",FALSE,IFERROR(INDEX(B!$N$2:$N$61,MATCH($J820,B!$E$2:$E$61,0))="Sim",FALSE))</f>
        <v/>
      </c>
      <c r="AB820" s="72">
        <f>IF($J820="",FALSE,LEFT($X820,2)="XX")</f>
        <v/>
      </c>
      <c r="AC820" s="72">
        <f>IF($J820="",FALSE,IFERROR(INDEX(B!$P$2:$P$61,MATCH($J820,B!$E$2:$E$61,0))="Sim",FALSE))</f>
        <v/>
      </c>
      <c r="AD820" s="20" t="n"/>
      <c r="AE820" s="52">
        <f>IF(H820="","",HOUR(H820))</f>
        <v/>
      </c>
      <c r="AF820" s="52" t="n"/>
    </row>
    <row r="821" ht="19.5" customHeight="1" s="58">
      <c r="A821" s="62">
        <f>IF(G821="","",IF(G821=G820,"",COUNTIF($G$3:$G$976,G821)))</f>
        <v/>
      </c>
      <c r="B821" s="20" t="n"/>
      <c r="C821" s="63">
        <f>IF(G821="","",DAY(G821))</f>
        <v/>
      </c>
      <c r="D821" s="63">
        <f>IF(G821="","",MONTH(G821))</f>
        <v/>
      </c>
      <c r="E821" s="63">
        <f>IF(G821="","",YEAR(G821))</f>
        <v/>
      </c>
      <c r="F821" s="33">
        <f>IF(G821="","",CHOOSE(MONTH(G821),"Janeiro","Fevereiro","Março","Abril","Maio","Junho","Julho","Agosto","Setembro","Outubro","Novembro","Dezembro"))</f>
        <v/>
      </c>
      <c r="G821" s="64" t="n">
        <v>46078</v>
      </c>
      <c r="H821" s="65" t="n">
        <v>0.0749537037037037</v>
      </c>
      <c r="I821" s="66" t="inlineStr">
        <is>
          <t>https://docs.google.com/spreadsheets/d/1ZiCGoPjLCjuYvujDTXK9Ixbth3tekiLtFBzBrGjPCr4/edit?gid=0#gid=0</t>
        </is>
      </c>
      <c r="J821" s="67" t="inlineStr">
        <is>
          <t>Overpaid, Excede o limite, Sem comprovante - [OPEN]</t>
        </is>
      </c>
      <c r="K821" s="67" t="inlineStr"/>
      <c r="L821" s="68" t="b">
        <v>1</v>
      </c>
      <c r="M821" s="20" t="n"/>
      <c r="N821" s="69">
        <f>IF($J821="","",IFERROR(INDEX(B!$F$2:$F$61,MATCH($J821,B!$E$2:$E$61,0))&amp;"",""))</f>
        <v/>
      </c>
      <c r="O821" s="69">
        <f>IF($J821="","",IFERROR(INDEX(B!$G$2:$G$61,MATCH($J821,B!$E$2:$E$61,0))&amp;"",""))</f>
        <v/>
      </c>
      <c r="P821" s="69">
        <f>IF($J821="","",IFERROR(INDEX(B!$H$2:$H$61,MATCH($J821,B!$E$2:$E$61,0))&amp;"",""))</f>
        <v/>
      </c>
      <c r="Q821" s="69">
        <f>IF($J821="","",IFERROR(INDEX(B!$I$2:$I$61,MATCH($J821,B!$E$2:$E$61,0))&amp;"",""))</f>
        <v/>
      </c>
      <c r="R821" s="69">
        <f>IF($J821="","",IFERROR(INDEX(B!$J$2:$J$61,MATCH($J821,B!$E$2:$E$61,0))&amp;"",""))</f>
        <v/>
      </c>
      <c r="S821" s="69">
        <f>IF($J821="","",IFERROR(INDEX(B!$K$2:$K$61,MATCH($J821,B!$E$2:$E$61,0))&amp;"",""))</f>
        <v/>
      </c>
      <c r="T821" s="69">
        <f>IF($J821="","",IFERROR(INDEX(B!$L$2:$L$61,MATCH($J821,B!$E$2:$E$61,0))&amp;"",""))</f>
        <v/>
      </c>
      <c r="U821" s="20" t="n"/>
      <c r="V821" s="70">
        <f>IF($J821="","",IFERROR(INDEX(B!$M$2:$M$61,MATCH($J821,B!$E$2:$E$61,0))&amp;"",""))</f>
        <v/>
      </c>
      <c r="W821" s="71">
        <f>IF(I821="","",IFERROR(MID(I821,FIND("/d/",I821)+3,FIND("/edit",I821)-FIND("/d/",I821)-3),I821))</f>
        <v/>
      </c>
      <c r="X821" s="71">
        <f>IF($J821="","",IFERROR(INDEX(B!$C$2:$C$61,MATCH($J821,B!$E$2:$E$61,0))&amp;"",""))</f>
        <v/>
      </c>
      <c r="Y821" s="20" t="n"/>
      <c r="Z821" s="72">
        <f>IF($J821="",FALSE,ISNUMBER(SEARCH("scout",$K821)))</f>
        <v/>
      </c>
      <c r="AA821" s="72">
        <f>IF($J821="",FALSE,IFERROR(INDEX(B!$N$2:$N$61,MATCH($J821,B!$E$2:$E$61,0))="Sim",FALSE))</f>
        <v/>
      </c>
      <c r="AB821" s="72">
        <f>IF($J821="",FALSE,LEFT($X821,2)="XX")</f>
        <v/>
      </c>
      <c r="AC821" s="72">
        <f>IF($J821="",FALSE,IFERROR(INDEX(B!$P$2:$P$61,MATCH($J821,B!$E$2:$E$61,0))="Sim",FALSE))</f>
        <v/>
      </c>
      <c r="AD821" s="20" t="n"/>
      <c r="AE821" s="52">
        <f>IF(H821="","",HOUR(H821))</f>
        <v/>
      </c>
      <c r="AF821" s="52" t="n"/>
    </row>
    <row r="822" ht="19.5" customHeight="1" s="58">
      <c r="A822" s="62">
        <f>IF(G822="","",IF(G822=G821,"",COUNTIF($G$3:$G$976,G822)))</f>
        <v/>
      </c>
      <c r="B822" s="20" t="n"/>
      <c r="C822" s="63">
        <f>IF(G822="","",DAY(G822))</f>
        <v/>
      </c>
      <c r="D822" s="63">
        <f>IF(G822="","",MONTH(G822))</f>
        <v/>
      </c>
      <c r="E822" s="63">
        <f>IF(G822="","",YEAR(G822))</f>
        <v/>
      </c>
      <c r="F822" s="33">
        <f>IF(G822="","",CHOOSE(MONTH(G822),"Janeiro","Fevereiro","Março","Abril","Maio","Junho","Julho","Agosto","Setembro","Outubro","Novembro","Dezembro"))</f>
        <v/>
      </c>
      <c r="G822" s="64" t="n">
        <v>46078</v>
      </c>
      <c r="H822" s="65" t="n">
        <v>0.07688657407407408</v>
      </c>
      <c r="I822" s="66" t="inlineStr">
        <is>
          <t>https://docs.google.com/spreadsheets/d/1ZiCGoPjLCjuYvujDTXK9Ixbth3tekiLtFBzBrGjPCr4/edit?gid=0#gid=0</t>
        </is>
      </c>
      <c r="J822" s="67" t="inlineStr">
        <is>
          <t>Transferência de LOB (Lost Items) - [TILI]</t>
        </is>
      </c>
      <c r="K822" s="67" t="inlineStr">
        <is>
          <t>Scout</t>
        </is>
      </c>
      <c r="L822" s="68" t="b">
        <v>0</v>
      </c>
      <c r="M822" s="20" t="n"/>
      <c r="N822" s="69">
        <f>IF($J822="","",IFERROR(INDEX(B!$F$2:$F$61,MATCH($J822,B!$E$2:$E$61,0))&amp;"",""))</f>
        <v/>
      </c>
      <c r="O822" s="69">
        <f>IF($J822="","",IFERROR(INDEX(B!$G$2:$G$61,MATCH($J822,B!$E$2:$E$61,0))&amp;"",""))</f>
        <v/>
      </c>
      <c r="P822" s="69">
        <f>IF($J822="","",IFERROR(INDEX(B!$H$2:$H$61,MATCH($J822,B!$E$2:$E$61,0))&amp;"",""))</f>
        <v/>
      </c>
      <c r="Q822" s="69">
        <f>IF($J822="","",IFERROR(INDEX(B!$I$2:$I$61,MATCH($J822,B!$E$2:$E$61,0))&amp;"",""))</f>
        <v/>
      </c>
      <c r="R822" s="69">
        <f>IF($J822="","",IFERROR(INDEX(B!$J$2:$J$61,MATCH($J822,B!$E$2:$E$61,0))&amp;"",""))</f>
        <v/>
      </c>
      <c r="S822" s="69">
        <f>IF($J822="","",IFERROR(INDEX(B!$K$2:$K$61,MATCH($J822,B!$E$2:$E$61,0))&amp;"",""))</f>
        <v/>
      </c>
      <c r="T822" s="69">
        <f>IF($J822="","",IFERROR(INDEX(B!$L$2:$L$61,MATCH($J822,B!$E$2:$E$61,0))&amp;"",""))</f>
        <v/>
      </c>
      <c r="U822" s="20" t="n"/>
      <c r="V822" s="70">
        <f>IF($J822="","",IFERROR(INDEX(B!$M$2:$M$61,MATCH($J822,B!$E$2:$E$61,0))&amp;"",""))</f>
        <v/>
      </c>
      <c r="W822" s="71">
        <f>IF(I822="","",IFERROR(MID(I822,FIND("/d/",I822)+3,FIND("/edit",I822)-FIND("/d/",I822)-3),I822))</f>
        <v/>
      </c>
      <c r="X822" s="71">
        <f>IF($J822="","",IFERROR(INDEX(B!$C$2:$C$61,MATCH($J822,B!$E$2:$E$61,0))&amp;"",""))</f>
        <v/>
      </c>
      <c r="Y822" s="20" t="n"/>
      <c r="Z822" s="72">
        <f>IF($J822="",FALSE,ISNUMBER(SEARCH("scout",$K822)))</f>
        <v/>
      </c>
      <c r="AA822" s="72">
        <f>IF($J822="",FALSE,IFERROR(INDEX(B!$N$2:$N$61,MATCH($J822,B!$E$2:$E$61,0))="Sim",FALSE))</f>
        <v/>
      </c>
      <c r="AB822" s="72">
        <f>IF($J822="",FALSE,LEFT($X822,2)="XX")</f>
        <v/>
      </c>
      <c r="AC822" s="72">
        <f>IF($J822="",FALSE,IFERROR(INDEX(B!$P$2:$P$61,MATCH($J822,B!$E$2:$E$61,0))="Sim",FALSE))</f>
        <v/>
      </c>
      <c r="AD822" s="20" t="n"/>
      <c r="AE822" s="52">
        <f>IF(H822="","",HOUR(H822))</f>
        <v/>
      </c>
      <c r="AF822" s="52" t="n"/>
    </row>
    <row r="823" ht="19.5" customHeight="1" s="58">
      <c r="A823" s="62">
        <f>IF(G823="","",IF(G823=G822,"",COUNTIF($G$3:$G$976,G823)))</f>
        <v/>
      </c>
      <c r="B823" s="20" t="n"/>
      <c r="C823" s="63">
        <f>IF(G823="","",DAY(G823))</f>
        <v/>
      </c>
      <c r="D823" s="63">
        <f>IF(G823="","",MONTH(G823))</f>
        <v/>
      </c>
      <c r="E823" s="63">
        <f>IF(G823="","",YEAR(G823))</f>
        <v/>
      </c>
      <c r="F823" s="33">
        <f>IF(G823="","",CHOOSE(MONTH(G823),"Janeiro","Fevereiro","Março","Abril","Maio","Junho","Julho","Agosto","Setembro","Outubro","Novembro","Dezembro"))</f>
        <v/>
      </c>
      <c r="G823" s="64" t="n">
        <v>46078</v>
      </c>
      <c r="H823" s="65" t="n">
        <v>0.07695601851851852</v>
      </c>
      <c r="I823" s="66" t="inlineStr">
        <is>
          <t>https://docs.google.com/spreadsheets/d/1ZiCGoPjLCjuYvujDTXK9Ixbth3tekiLtFBzBrGjPCr4/edit?gid=0#gid=0</t>
        </is>
      </c>
      <c r="J823" s="67" t="inlineStr">
        <is>
          <t>Overpaid, Excede o limite, Sem comprovante - [OPEN]</t>
        </is>
      </c>
      <c r="K823" s="67" t="inlineStr"/>
      <c r="L823" s="68" t="b">
        <v>0</v>
      </c>
      <c r="M823" s="20" t="n"/>
      <c r="N823" s="69">
        <f>IF($J823="","",IFERROR(INDEX(B!$F$2:$F$61,MATCH($J823,B!$E$2:$E$61,0))&amp;"",""))</f>
        <v/>
      </c>
      <c r="O823" s="69">
        <f>IF($J823="","",IFERROR(INDEX(B!$G$2:$G$61,MATCH($J823,B!$E$2:$E$61,0))&amp;"",""))</f>
        <v/>
      </c>
      <c r="P823" s="69">
        <f>IF($J823="","",IFERROR(INDEX(B!$H$2:$H$61,MATCH($J823,B!$E$2:$E$61,0))&amp;"",""))</f>
        <v/>
      </c>
      <c r="Q823" s="69">
        <f>IF($J823="","",IFERROR(INDEX(B!$I$2:$I$61,MATCH($J823,B!$E$2:$E$61,0))&amp;"",""))</f>
        <v/>
      </c>
      <c r="R823" s="69">
        <f>IF($J823="","",IFERROR(INDEX(B!$J$2:$J$61,MATCH($J823,B!$E$2:$E$61,0))&amp;"",""))</f>
        <v/>
      </c>
      <c r="S823" s="69">
        <f>IF($J823="","",IFERROR(INDEX(B!$K$2:$K$61,MATCH($J823,B!$E$2:$E$61,0))&amp;"",""))</f>
        <v/>
      </c>
      <c r="T823" s="69">
        <f>IF($J823="","",IFERROR(INDEX(B!$L$2:$L$61,MATCH($J823,B!$E$2:$E$61,0))&amp;"",""))</f>
        <v/>
      </c>
      <c r="U823" s="20" t="n"/>
      <c r="V823" s="70">
        <f>IF($J823="","",IFERROR(INDEX(B!$M$2:$M$61,MATCH($J823,B!$E$2:$E$61,0))&amp;"",""))</f>
        <v/>
      </c>
      <c r="W823" s="71">
        <f>IF(I823="","",IFERROR(MID(I823,FIND("/d/",I823)+3,FIND("/edit",I823)-FIND("/d/",I823)-3),I823))</f>
        <v/>
      </c>
      <c r="X823" s="71">
        <f>IF($J823="","",IFERROR(INDEX(B!$C$2:$C$61,MATCH($J823,B!$E$2:$E$61,0))&amp;"",""))</f>
        <v/>
      </c>
      <c r="Y823" s="20" t="n"/>
      <c r="Z823" s="72">
        <f>IF($J823="",FALSE,ISNUMBER(SEARCH("scout",$K823)))</f>
        <v/>
      </c>
      <c r="AA823" s="72">
        <f>IF($J823="",FALSE,IFERROR(INDEX(B!$N$2:$N$61,MATCH($J823,B!$E$2:$E$61,0))="Sim",FALSE))</f>
        <v/>
      </c>
      <c r="AB823" s="72">
        <f>IF($J823="",FALSE,LEFT($X823,2)="XX")</f>
        <v/>
      </c>
      <c r="AC823" s="72">
        <f>IF($J823="",FALSE,IFERROR(INDEX(B!$P$2:$P$61,MATCH($J823,B!$E$2:$E$61,0))="Sim",FALSE))</f>
        <v/>
      </c>
      <c r="AD823" s="20" t="n"/>
      <c r="AE823" s="52">
        <f>IF(H823="","",HOUR(H823))</f>
        <v/>
      </c>
      <c r="AF823" s="52" t="n"/>
    </row>
    <row r="824" ht="19.5" customHeight="1" s="58">
      <c r="A824" s="62">
        <f>IF(G824="","",IF(G824=G823,"",COUNTIF($G$3:$G$976,G824)))</f>
        <v/>
      </c>
      <c r="B824" s="20" t="n"/>
      <c r="C824" s="63">
        <f>IF(G824="","",DAY(G824))</f>
        <v/>
      </c>
      <c r="D824" s="63">
        <f>IF(G824="","",MONTH(G824))</f>
        <v/>
      </c>
      <c r="E824" s="63">
        <f>IF(G824="","",YEAR(G824))</f>
        <v/>
      </c>
      <c r="F824" s="33">
        <f>IF(G824="","",CHOOSE(MONTH(G824),"Janeiro","Fevereiro","Março","Abril","Maio","Junho","Julho","Agosto","Setembro","Outubro","Novembro","Dezembro"))</f>
        <v/>
      </c>
      <c r="G824" s="64" t="n">
        <v>46078</v>
      </c>
      <c r="H824" s="65" t="n">
        <v>0.09270833333333334</v>
      </c>
      <c r="I824" s="66" t="inlineStr">
        <is>
          <t>https://docs.google.com/spreadsheets/d/1ZiCGoPjLCjuYvujDTXK9Ixbth3tekiLtFBzBrGjPCr4/edit?gid=0#gid=0</t>
        </is>
      </c>
      <c r="J824" s="67" t="inlineStr">
        <is>
          <t>Taxa de Cancelamento Cobrada Corretamente - [TXCO]</t>
        </is>
      </c>
      <c r="K824" s="67" t="inlineStr"/>
      <c r="L824" s="68" t="b">
        <v>0</v>
      </c>
      <c r="M824" s="20" t="n"/>
      <c r="N824" s="69">
        <f>IF($J824="","",IFERROR(INDEX(B!$F$2:$F$61,MATCH($J824,B!$E$2:$E$61,0))&amp;"",""))</f>
        <v/>
      </c>
      <c r="O824" s="69">
        <f>IF($J824="","",IFERROR(INDEX(B!$G$2:$G$61,MATCH($J824,B!$E$2:$E$61,0))&amp;"",""))</f>
        <v/>
      </c>
      <c r="P824" s="69">
        <f>IF($J824="","",IFERROR(INDEX(B!$H$2:$H$61,MATCH($J824,B!$E$2:$E$61,0))&amp;"",""))</f>
        <v/>
      </c>
      <c r="Q824" s="69">
        <f>IF($J824="","",IFERROR(INDEX(B!$I$2:$I$61,MATCH($J824,B!$E$2:$E$61,0))&amp;"",""))</f>
        <v/>
      </c>
      <c r="R824" s="69">
        <f>IF($J824="","",IFERROR(INDEX(B!$J$2:$J$61,MATCH($J824,B!$E$2:$E$61,0))&amp;"",""))</f>
        <v/>
      </c>
      <c r="S824" s="69">
        <f>IF($J824="","",IFERROR(INDEX(B!$K$2:$K$61,MATCH($J824,B!$E$2:$E$61,0))&amp;"",""))</f>
        <v/>
      </c>
      <c r="T824" s="69">
        <f>IF($J824="","",IFERROR(INDEX(B!$L$2:$L$61,MATCH($J824,B!$E$2:$E$61,0))&amp;"",""))</f>
        <v/>
      </c>
      <c r="U824" s="20" t="n"/>
      <c r="V824" s="70">
        <f>IF($J824="","",IFERROR(INDEX(B!$M$2:$M$61,MATCH($J824,B!$E$2:$E$61,0))&amp;"",""))</f>
        <v/>
      </c>
      <c r="W824" s="71">
        <f>IF(I824="","",IFERROR(MID(I824,FIND("/d/",I824)+3,FIND("/edit",I824)-FIND("/d/",I824)-3),I824))</f>
        <v/>
      </c>
      <c r="X824" s="71">
        <f>IF($J824="","",IFERROR(INDEX(B!$C$2:$C$61,MATCH($J824,B!$E$2:$E$61,0))&amp;"",""))</f>
        <v/>
      </c>
      <c r="Y824" s="20" t="n"/>
      <c r="Z824" s="72">
        <f>IF($J824="",FALSE,ISNUMBER(SEARCH("scout",$K824)))</f>
        <v/>
      </c>
      <c r="AA824" s="72">
        <f>IF($J824="",FALSE,IFERROR(INDEX(B!$N$2:$N$61,MATCH($J824,B!$E$2:$E$61,0))="Sim",FALSE))</f>
        <v/>
      </c>
      <c r="AB824" s="72">
        <f>IF($J824="",FALSE,LEFT($X824,2)="XX")</f>
        <v/>
      </c>
      <c r="AC824" s="72">
        <f>IF($J824="",FALSE,IFERROR(INDEX(B!$P$2:$P$61,MATCH($J824,B!$E$2:$E$61,0))="Sim",FALSE))</f>
        <v/>
      </c>
      <c r="AD824" s="20" t="n"/>
      <c r="AE824" s="52">
        <f>IF(H824="","",HOUR(H824))</f>
        <v/>
      </c>
      <c r="AF824" s="52" t="n"/>
    </row>
    <row r="825" ht="19.5" customHeight="1" s="58">
      <c r="A825" s="62">
        <f>IF(G825="","",IF(G825=G824,"",COUNTIF($G$3:$G$976,G825)))</f>
        <v/>
      </c>
      <c r="B825" s="20" t="n"/>
      <c r="C825" s="63">
        <f>IF(G825="","",DAY(G825))</f>
        <v/>
      </c>
      <c r="D825" s="63">
        <f>IF(G825="","",MONTH(G825))</f>
        <v/>
      </c>
      <c r="E825" s="63">
        <f>IF(G825="","",YEAR(G825))</f>
        <v/>
      </c>
      <c r="F825" s="33">
        <f>IF(G825="","",CHOOSE(MONTH(G825),"Janeiro","Fevereiro","Março","Abril","Maio","Junho","Julho","Agosto","Setembro","Outubro","Novembro","Dezembro"))</f>
        <v/>
      </c>
      <c r="G825" s="64" t="n">
        <v>46078</v>
      </c>
      <c r="H825" s="65" t="n">
        <v>0.09354166666666666</v>
      </c>
      <c r="I825" s="66" t="inlineStr">
        <is>
          <t>https://docs.google.com/spreadsheets/d/1ZiCGoPjLCjuYvujDTXK9Ixbth3tekiLtFBzBrGjPCr4/edit?gid=0#gid=0</t>
        </is>
      </c>
      <c r="J825" s="67" t="inlineStr">
        <is>
          <t>Overpaid, Excede o limite Com comprovante - [OPEC]</t>
        </is>
      </c>
      <c r="K825" s="67" t="inlineStr"/>
      <c r="L825" s="68" t="b">
        <v>0</v>
      </c>
      <c r="M825" s="20" t="n"/>
      <c r="N825" s="69">
        <f>IF($J825="","",IFERROR(INDEX(B!$F$2:$F$61,MATCH($J825,B!$E$2:$E$61,0))&amp;"",""))</f>
        <v/>
      </c>
      <c r="O825" s="69">
        <f>IF($J825="","",IFERROR(INDEX(B!$G$2:$G$61,MATCH($J825,B!$E$2:$E$61,0))&amp;"",""))</f>
        <v/>
      </c>
      <c r="P825" s="69">
        <f>IF($J825="","",IFERROR(INDEX(B!$H$2:$H$61,MATCH($J825,B!$E$2:$E$61,0))&amp;"",""))</f>
        <v/>
      </c>
      <c r="Q825" s="69">
        <f>IF($J825="","",IFERROR(INDEX(B!$I$2:$I$61,MATCH($J825,B!$E$2:$E$61,0))&amp;"",""))</f>
        <v/>
      </c>
      <c r="R825" s="69">
        <f>IF($J825="","",IFERROR(INDEX(B!$J$2:$J$61,MATCH($J825,B!$E$2:$E$61,0))&amp;"",""))</f>
        <v/>
      </c>
      <c r="S825" s="69">
        <f>IF($J825="","",IFERROR(INDEX(B!$K$2:$K$61,MATCH($J825,B!$E$2:$E$61,0))&amp;"",""))</f>
        <v/>
      </c>
      <c r="T825" s="69">
        <f>IF($J825="","",IFERROR(INDEX(B!$L$2:$L$61,MATCH($J825,B!$E$2:$E$61,0))&amp;"",""))</f>
        <v/>
      </c>
      <c r="U825" s="20" t="n"/>
      <c r="V825" s="70">
        <f>IF($J825="","",IFERROR(INDEX(B!$M$2:$M$61,MATCH($J825,B!$E$2:$E$61,0))&amp;"",""))</f>
        <v/>
      </c>
      <c r="W825" s="71">
        <f>IF(I825="","",IFERROR(MID(I825,FIND("/d/",I825)+3,FIND("/edit",I825)-FIND("/d/",I825)-3),I825))</f>
        <v/>
      </c>
      <c r="X825" s="71">
        <f>IF($J825="","",IFERROR(INDEX(B!$C$2:$C$61,MATCH($J825,B!$E$2:$E$61,0))&amp;"",""))</f>
        <v/>
      </c>
      <c r="Y825" s="20" t="n"/>
      <c r="Z825" s="72">
        <f>IF($J825="",FALSE,ISNUMBER(SEARCH("scout",$K825)))</f>
        <v/>
      </c>
      <c r="AA825" s="72">
        <f>IF($J825="",FALSE,IFERROR(INDEX(B!$N$2:$N$61,MATCH($J825,B!$E$2:$E$61,0))="Sim",FALSE))</f>
        <v/>
      </c>
      <c r="AB825" s="72">
        <f>IF($J825="",FALSE,LEFT($X825,2)="XX")</f>
        <v/>
      </c>
      <c r="AC825" s="72">
        <f>IF($J825="",FALSE,IFERROR(INDEX(B!$P$2:$P$61,MATCH($J825,B!$E$2:$E$61,0))="Sim",FALSE))</f>
        <v/>
      </c>
      <c r="AD825" s="20" t="n"/>
      <c r="AE825" s="52">
        <f>IF(H825="","",HOUR(H825))</f>
        <v/>
      </c>
      <c r="AF825" s="52" t="n"/>
    </row>
    <row r="826" ht="19.5" customHeight="1" s="58">
      <c r="A826" s="62">
        <f>IF(G826="","",IF(G826=G825,"",COUNTIF($G$3:$G$976,G826)))</f>
        <v/>
      </c>
      <c r="B826" s="20" t="n"/>
      <c r="C826" s="63">
        <f>IF(G826="","",DAY(G826))</f>
        <v/>
      </c>
      <c r="D826" s="63">
        <f>IF(G826="","",MONTH(G826))</f>
        <v/>
      </c>
      <c r="E826" s="63">
        <f>IF(G826="","",YEAR(G826))</f>
        <v/>
      </c>
      <c r="F826" s="33">
        <f>IF(G826="","",CHOOSE(MONTH(G826),"Janeiro","Fevereiro","Março","Abril","Maio","Junho","Julho","Agosto","Setembro","Outubro","Novembro","Dezembro"))</f>
        <v/>
      </c>
      <c r="G826" s="64" t="n">
        <v>46078</v>
      </c>
      <c r="H826" s="65" t="n">
        <v>0.09386574074074074</v>
      </c>
      <c r="I826" s="66" t="inlineStr">
        <is>
          <t>https://docs.google.com/spreadsheets/d/1ZiCGoPjLCjuYvujDTXK9Ixbth3tekiLtFBzBrGjPCr4/edit?gid=0#gid=0</t>
        </is>
      </c>
      <c r="J826" s="67" t="inlineStr">
        <is>
          <t>Transferência de LOB (Accounts) - [TIAC]</t>
        </is>
      </c>
      <c r="K826" s="67" t="inlineStr"/>
      <c r="L826" s="68" t="b">
        <v>0</v>
      </c>
      <c r="M826" s="20" t="n"/>
      <c r="N826" s="69">
        <f>IF($J826="","",IFERROR(INDEX(B!$F$2:$F$61,MATCH($J826,B!$E$2:$E$61,0))&amp;"",""))</f>
        <v/>
      </c>
      <c r="O826" s="69">
        <f>IF($J826="","",IFERROR(INDEX(B!$G$2:$G$61,MATCH($J826,B!$E$2:$E$61,0))&amp;"",""))</f>
        <v/>
      </c>
      <c r="P826" s="69">
        <f>IF($J826="","",IFERROR(INDEX(B!$H$2:$H$61,MATCH($J826,B!$E$2:$E$61,0))&amp;"",""))</f>
        <v/>
      </c>
      <c r="Q826" s="69">
        <f>IF($J826="","",IFERROR(INDEX(B!$I$2:$I$61,MATCH($J826,B!$E$2:$E$61,0))&amp;"",""))</f>
        <v/>
      </c>
      <c r="R826" s="69">
        <f>IF($J826="","",IFERROR(INDEX(B!$J$2:$J$61,MATCH($J826,B!$E$2:$E$61,0))&amp;"",""))</f>
        <v/>
      </c>
      <c r="S826" s="69">
        <f>IF($J826="","",IFERROR(INDEX(B!$K$2:$K$61,MATCH($J826,B!$E$2:$E$61,0))&amp;"",""))</f>
        <v/>
      </c>
      <c r="T826" s="69">
        <f>IF($J826="","",IFERROR(INDEX(B!$L$2:$L$61,MATCH($J826,B!$E$2:$E$61,0))&amp;"",""))</f>
        <v/>
      </c>
      <c r="U826" s="20" t="n"/>
      <c r="V826" s="70">
        <f>IF($J826="","",IFERROR(INDEX(B!$M$2:$M$61,MATCH($J826,B!$E$2:$E$61,0))&amp;"",""))</f>
        <v/>
      </c>
      <c r="W826" s="71">
        <f>IF(I826="","",IFERROR(MID(I826,FIND("/d/",I826)+3,FIND("/edit",I826)-FIND("/d/",I826)-3),I826))</f>
        <v/>
      </c>
      <c r="X826" s="71">
        <f>IF($J826="","",IFERROR(INDEX(B!$C$2:$C$61,MATCH($J826,B!$E$2:$E$61,0))&amp;"",""))</f>
        <v/>
      </c>
      <c r="Y826" s="20" t="n"/>
      <c r="Z826" s="72">
        <f>IF($J826="",FALSE,ISNUMBER(SEARCH("scout",$K826)))</f>
        <v/>
      </c>
      <c r="AA826" s="72">
        <f>IF($J826="",FALSE,IFERROR(INDEX(B!$N$2:$N$61,MATCH($J826,B!$E$2:$E$61,0))="Sim",FALSE))</f>
        <v/>
      </c>
      <c r="AB826" s="72">
        <f>IF($J826="",FALSE,LEFT($X826,2)="XX")</f>
        <v/>
      </c>
      <c r="AC826" s="72">
        <f>IF($J826="",FALSE,IFERROR(INDEX(B!$P$2:$P$61,MATCH($J826,B!$E$2:$E$61,0))="Sim",FALSE))</f>
        <v/>
      </c>
      <c r="AD826" s="20" t="n"/>
      <c r="AE826" s="52">
        <f>IF(H826="","",HOUR(H826))</f>
        <v/>
      </c>
      <c r="AF826" s="52" t="n"/>
    </row>
    <row r="827" ht="19.5" customHeight="1" s="58">
      <c r="A827" s="62">
        <f>IF(G827="","",IF(G827=G826,"",COUNTIF($G$3:$G$976,G827)))</f>
        <v/>
      </c>
      <c r="B827" s="20" t="n"/>
      <c r="C827" s="63">
        <f>IF(G827="","",DAY(G827))</f>
        <v/>
      </c>
      <c r="D827" s="63">
        <f>IF(G827="","",MONTH(G827))</f>
        <v/>
      </c>
      <c r="E827" s="63">
        <f>IF(G827="","",YEAR(G827))</f>
        <v/>
      </c>
      <c r="F827" s="33">
        <f>IF(G827="","",CHOOSE(MONTH(G827),"Janeiro","Fevereiro","Março","Abril","Maio","Junho","Julho","Agosto","Setembro","Outubro","Novembro","Dezembro"))</f>
        <v/>
      </c>
      <c r="G827" s="64" t="n">
        <v>46078</v>
      </c>
      <c r="H827" s="65" t="n">
        <v>0.09392361111111111</v>
      </c>
      <c r="I827" s="66" t="inlineStr">
        <is>
          <t>https://docs.google.com/spreadsheets/d/1ZiCGoPjLCjuYvujDTXK9Ixbth3tekiLtFBzBrGjPCr4/edit?gid=0#gid=0</t>
        </is>
      </c>
      <c r="J827" s="67" t="inlineStr">
        <is>
          <t>Overpaid, Excede o limite, Sem comprovante - [OPEN]</t>
        </is>
      </c>
      <c r="K827" s="67" t="inlineStr"/>
      <c r="L827" s="68" t="b">
        <v>0</v>
      </c>
      <c r="M827" s="20" t="n"/>
      <c r="N827" s="69">
        <f>IF($J827="","",IFERROR(INDEX(B!$F$2:$F$61,MATCH($J827,B!$E$2:$E$61,0))&amp;"",""))</f>
        <v/>
      </c>
      <c r="O827" s="69">
        <f>IF($J827="","",IFERROR(INDEX(B!$G$2:$G$61,MATCH($J827,B!$E$2:$E$61,0))&amp;"",""))</f>
        <v/>
      </c>
      <c r="P827" s="69">
        <f>IF($J827="","",IFERROR(INDEX(B!$H$2:$H$61,MATCH($J827,B!$E$2:$E$61,0))&amp;"",""))</f>
        <v/>
      </c>
      <c r="Q827" s="69">
        <f>IF($J827="","",IFERROR(INDEX(B!$I$2:$I$61,MATCH($J827,B!$E$2:$E$61,0))&amp;"",""))</f>
        <v/>
      </c>
      <c r="R827" s="69">
        <f>IF($J827="","",IFERROR(INDEX(B!$J$2:$J$61,MATCH($J827,B!$E$2:$E$61,0))&amp;"",""))</f>
        <v/>
      </c>
      <c r="S827" s="69">
        <f>IF($J827="","",IFERROR(INDEX(B!$K$2:$K$61,MATCH($J827,B!$E$2:$E$61,0))&amp;"",""))</f>
        <v/>
      </c>
      <c r="T827" s="69">
        <f>IF($J827="","",IFERROR(INDEX(B!$L$2:$L$61,MATCH($J827,B!$E$2:$E$61,0))&amp;"",""))</f>
        <v/>
      </c>
      <c r="U827" s="20" t="n"/>
      <c r="V827" s="70">
        <f>IF($J827="","",IFERROR(INDEX(B!$M$2:$M$61,MATCH($J827,B!$E$2:$E$61,0))&amp;"",""))</f>
        <v/>
      </c>
      <c r="W827" s="71">
        <f>IF(I827="","",IFERROR(MID(I827,FIND("/d/",I827)+3,FIND("/edit",I827)-FIND("/d/",I827)-3),I827))</f>
        <v/>
      </c>
      <c r="X827" s="71">
        <f>IF($J827="","",IFERROR(INDEX(B!$C$2:$C$61,MATCH($J827,B!$E$2:$E$61,0))&amp;"",""))</f>
        <v/>
      </c>
      <c r="Y827" s="20" t="n"/>
      <c r="Z827" s="72">
        <f>IF($J827="",FALSE,ISNUMBER(SEARCH("scout",$K827)))</f>
        <v/>
      </c>
      <c r="AA827" s="72">
        <f>IF($J827="",FALSE,IFERROR(INDEX(B!$N$2:$N$61,MATCH($J827,B!$E$2:$E$61,0))="Sim",FALSE))</f>
        <v/>
      </c>
      <c r="AB827" s="72">
        <f>IF($J827="",FALSE,LEFT($X827,2)="XX")</f>
        <v/>
      </c>
      <c r="AC827" s="72">
        <f>IF($J827="",FALSE,IFERROR(INDEX(B!$P$2:$P$61,MATCH($J827,B!$E$2:$E$61,0))="Sim",FALSE))</f>
        <v/>
      </c>
      <c r="AD827" s="20" t="n"/>
      <c r="AE827" s="52">
        <f>IF(H827="","",HOUR(H827))</f>
        <v/>
      </c>
      <c r="AF827" s="52" t="n"/>
    </row>
    <row r="828" ht="19.5" customHeight="1" s="58">
      <c r="A828" s="62">
        <f>IF(G828="","",IF(G828=G827,"",COUNTIF($G$3:$G$976,G828)))</f>
        <v/>
      </c>
      <c r="B828" s="20" t="n"/>
      <c r="C828" s="63">
        <f>IF(G828="","",DAY(G828))</f>
        <v/>
      </c>
      <c r="D828" s="63">
        <f>IF(G828="","",MONTH(G828))</f>
        <v/>
      </c>
      <c r="E828" s="63">
        <f>IF(G828="","",YEAR(G828))</f>
        <v/>
      </c>
      <c r="F828" s="33">
        <f>IF(G828="","",CHOOSE(MONTH(G828),"Janeiro","Fevereiro","Março","Abril","Maio","Junho","Julho","Agosto","Setembro","Outubro","Novembro","Dezembro"))</f>
        <v/>
      </c>
      <c r="G828" s="64" t="n">
        <v>46078</v>
      </c>
      <c r="H828" s="65" t="n">
        <v>0.09596064814814814</v>
      </c>
      <c r="I828" s="66" t="inlineStr">
        <is>
          <t>https://docs.google.com/spreadsheets/d/1ZiCGoPjLCjuYvujDTXK9Ixbth3tekiLtFBzBrGjPCr4/edit?gid=0#gid=0</t>
        </is>
      </c>
      <c r="J828" s="67" t="inlineStr">
        <is>
          <t>Mais informações (Quanto Pagou?) - [AAV]</t>
        </is>
      </c>
      <c r="K828" s="67" t="inlineStr"/>
      <c r="L828" s="68" t="b">
        <v>0</v>
      </c>
      <c r="M828" s="20" t="n"/>
      <c r="N828" s="69">
        <f>IF($J828="","",IFERROR(INDEX(B!$F$2:$F$61,MATCH($J828,B!$E$2:$E$61,0))&amp;"",""))</f>
        <v/>
      </c>
      <c r="O828" s="69">
        <f>IF($J828="","",IFERROR(INDEX(B!$G$2:$G$61,MATCH($J828,B!$E$2:$E$61,0))&amp;"",""))</f>
        <v/>
      </c>
      <c r="P828" s="69">
        <f>IF($J828="","",IFERROR(INDEX(B!$H$2:$H$61,MATCH($J828,B!$E$2:$E$61,0))&amp;"",""))</f>
        <v/>
      </c>
      <c r="Q828" s="69">
        <f>IF($J828="","",IFERROR(INDEX(B!$I$2:$I$61,MATCH($J828,B!$E$2:$E$61,0))&amp;"",""))</f>
        <v/>
      </c>
      <c r="R828" s="69">
        <f>IF($J828="","",IFERROR(INDEX(B!$J$2:$J$61,MATCH($J828,B!$E$2:$E$61,0))&amp;"",""))</f>
        <v/>
      </c>
      <c r="S828" s="69">
        <f>IF($J828="","",IFERROR(INDEX(B!$K$2:$K$61,MATCH($J828,B!$E$2:$E$61,0))&amp;"",""))</f>
        <v/>
      </c>
      <c r="T828" s="69">
        <f>IF($J828="","",IFERROR(INDEX(B!$L$2:$L$61,MATCH($J828,B!$E$2:$E$61,0))&amp;"",""))</f>
        <v/>
      </c>
      <c r="U828" s="20" t="n"/>
      <c r="V828" s="70">
        <f>IF($J828="","",IFERROR(INDEX(B!$M$2:$M$61,MATCH($J828,B!$E$2:$E$61,0))&amp;"",""))</f>
        <v/>
      </c>
      <c r="W828" s="71">
        <f>IF(I828="","",IFERROR(MID(I828,FIND("/d/",I828)+3,FIND("/edit",I828)-FIND("/d/",I828)-3),I828))</f>
        <v/>
      </c>
      <c r="X828" s="71">
        <f>IF($J828="","",IFERROR(INDEX(B!$C$2:$C$61,MATCH($J828,B!$E$2:$E$61,0))&amp;"",""))</f>
        <v/>
      </c>
      <c r="Y828" s="20" t="n"/>
      <c r="Z828" s="72">
        <f>IF($J828="",FALSE,ISNUMBER(SEARCH("scout",$K828)))</f>
        <v/>
      </c>
      <c r="AA828" s="72">
        <f>IF($J828="",FALSE,IFERROR(INDEX(B!$N$2:$N$61,MATCH($J828,B!$E$2:$E$61,0))="Sim",FALSE))</f>
        <v/>
      </c>
      <c r="AB828" s="72">
        <f>IF($J828="",FALSE,LEFT($X828,2)="XX")</f>
        <v/>
      </c>
      <c r="AC828" s="72">
        <f>IF($J828="",FALSE,IFERROR(INDEX(B!$P$2:$P$61,MATCH($J828,B!$E$2:$E$61,0))="Sim",FALSE))</f>
        <v/>
      </c>
      <c r="AD828" s="20" t="n"/>
      <c r="AE828" s="52">
        <f>IF(H828="","",HOUR(H828))</f>
        <v/>
      </c>
      <c r="AF828" s="52" t="n"/>
    </row>
    <row r="829" ht="19.5" customHeight="1" s="58">
      <c r="A829" s="62">
        <f>IF(G829="","",IF(G829=G828,"",COUNTIF($G$3:$G$976,G829)))</f>
        <v/>
      </c>
      <c r="B829" s="20" t="n"/>
      <c r="C829" s="63">
        <f>IF(G829="","",DAY(G829))</f>
        <v/>
      </c>
      <c r="D829" s="63">
        <f>IF(G829="","",MONTH(G829))</f>
        <v/>
      </c>
      <c r="E829" s="63">
        <f>IF(G829="","",YEAR(G829))</f>
        <v/>
      </c>
      <c r="F829" s="33">
        <f>IF(G829="","",CHOOSE(MONTH(G829),"Janeiro","Fevereiro","Março","Abril","Maio","Junho","Julho","Agosto","Setembro","Outubro","Novembro","Dezembro"))</f>
        <v/>
      </c>
      <c r="G829" s="64" t="n">
        <v>46078</v>
      </c>
      <c r="H829" s="65" t="n">
        <v>0.1046759259259259</v>
      </c>
      <c r="I829" s="66" t="inlineStr">
        <is>
          <t>https://docs.google.com/spreadsheets/d/1ZiCGoPjLCjuYvujDTXK9Ixbth3tekiLtFBzBrGjPCr4/edit?gid=0#gid=0</t>
        </is>
      </c>
      <c r="J829" s="67" t="inlineStr">
        <is>
          <t>Evento Raro - [ER]</t>
        </is>
      </c>
      <c r="K829" s="67" t="inlineStr"/>
      <c r="L829" s="68" t="b">
        <v>0</v>
      </c>
      <c r="M829" s="20" t="n"/>
      <c r="N829" s="69">
        <f>IF($J829="","",IFERROR(INDEX(B!$F$2:$F$61,MATCH($J829,B!$E$2:$E$61,0))&amp;"",""))</f>
        <v/>
      </c>
      <c r="O829" s="69">
        <f>IF($J829="","",IFERROR(INDEX(B!$G$2:$G$61,MATCH($J829,B!$E$2:$E$61,0))&amp;"",""))</f>
        <v/>
      </c>
      <c r="P829" s="69">
        <f>IF($J829="","",IFERROR(INDEX(B!$H$2:$H$61,MATCH($J829,B!$E$2:$E$61,0))&amp;"",""))</f>
        <v/>
      </c>
      <c r="Q829" s="69">
        <f>IF($J829="","",IFERROR(INDEX(B!$I$2:$I$61,MATCH($J829,B!$E$2:$E$61,0))&amp;"",""))</f>
        <v/>
      </c>
      <c r="R829" s="69">
        <f>IF($J829="","",IFERROR(INDEX(B!$J$2:$J$61,MATCH($J829,B!$E$2:$E$61,0))&amp;"",""))</f>
        <v/>
      </c>
      <c r="S829" s="69">
        <f>IF($J829="","",IFERROR(INDEX(B!$K$2:$K$61,MATCH($J829,B!$E$2:$E$61,0))&amp;"",""))</f>
        <v/>
      </c>
      <c r="T829" s="69">
        <f>IF($J829="","",IFERROR(INDEX(B!$L$2:$L$61,MATCH($J829,B!$E$2:$E$61,0))&amp;"",""))</f>
        <v/>
      </c>
      <c r="U829" s="20" t="n"/>
      <c r="V829" s="70">
        <f>IF($J829="","",IFERROR(INDEX(B!$M$2:$M$61,MATCH($J829,B!$E$2:$E$61,0))&amp;"",""))</f>
        <v/>
      </c>
      <c r="W829" s="71">
        <f>IF(I829="","",IFERROR(MID(I829,FIND("/d/",I829)+3,FIND("/edit",I829)-FIND("/d/",I829)-3),I829))</f>
        <v/>
      </c>
      <c r="X829" s="71">
        <f>IF($J829="","",IFERROR(INDEX(B!$C$2:$C$61,MATCH($J829,B!$E$2:$E$61,0))&amp;"",""))</f>
        <v/>
      </c>
      <c r="Y829" s="20" t="n"/>
      <c r="Z829" s="72">
        <f>IF($J829="",FALSE,ISNUMBER(SEARCH("scout",$K829)))</f>
        <v/>
      </c>
      <c r="AA829" s="72">
        <f>IF($J829="",FALSE,IFERROR(INDEX(B!$N$2:$N$61,MATCH($J829,B!$E$2:$E$61,0))="Sim",FALSE))</f>
        <v/>
      </c>
      <c r="AB829" s="72">
        <f>IF($J829="",FALSE,LEFT($X829,2)="XX")</f>
        <v/>
      </c>
      <c r="AC829" s="72">
        <f>IF($J829="",FALSE,IFERROR(INDEX(B!$P$2:$P$61,MATCH($J829,B!$E$2:$E$61,0))="Sim",FALSE))</f>
        <v/>
      </c>
      <c r="AD829" s="20" t="n"/>
      <c r="AE829" s="52">
        <f>IF(H829="","",HOUR(H829))</f>
        <v/>
      </c>
      <c r="AF829" s="52" t="n"/>
    </row>
    <row r="830" ht="19.5" customHeight="1" s="58">
      <c r="A830" s="62">
        <f>IF(G830="","",IF(G830=G829,"",COUNTIF($G$3:$G$976,G830)))</f>
        <v/>
      </c>
      <c r="B830" s="20" t="n"/>
      <c r="C830" s="63">
        <f>IF(G830="","",DAY(G830))</f>
        <v/>
      </c>
      <c r="D830" s="63">
        <f>IF(G830="","",MONTH(G830))</f>
        <v/>
      </c>
      <c r="E830" s="63">
        <f>IF(G830="","",YEAR(G830))</f>
        <v/>
      </c>
      <c r="F830" s="33">
        <f>IF(G830="","",CHOOSE(MONTH(G830),"Janeiro","Fevereiro","Março","Abril","Maio","Junho","Julho","Agosto","Setembro","Outubro","Novembro","Dezembro"))</f>
        <v/>
      </c>
      <c r="G830" s="64" t="n">
        <v>46078</v>
      </c>
      <c r="H830" s="65" t="n">
        <v>0.1100231481481481</v>
      </c>
      <c r="I830" s="66" t="inlineStr">
        <is>
          <t>https://docs.google.com/spreadsheets/d/1ZiCGoPjLCjuYvujDTXK9Ixbth3tekiLtFBzBrGjPCr4/edit?gid=0#gid=0</t>
        </is>
      </c>
      <c r="J830" s="67" t="inlineStr">
        <is>
          <t>Mais informações Gerais - [AA]</t>
        </is>
      </c>
      <c r="K830" s="67" t="inlineStr"/>
      <c r="L830" s="68" t="b">
        <v>0</v>
      </c>
      <c r="M830" s="20" t="n"/>
      <c r="N830" s="69">
        <f>IF($J830="","",IFERROR(INDEX(B!$F$2:$F$61,MATCH($J830,B!$E$2:$E$61,0))&amp;"",""))</f>
        <v/>
      </c>
      <c r="O830" s="69">
        <f>IF($J830="","",IFERROR(INDEX(B!$G$2:$G$61,MATCH($J830,B!$E$2:$E$61,0))&amp;"",""))</f>
        <v/>
      </c>
      <c r="P830" s="69">
        <f>IF($J830="","",IFERROR(INDEX(B!$H$2:$H$61,MATCH($J830,B!$E$2:$E$61,0))&amp;"",""))</f>
        <v/>
      </c>
      <c r="Q830" s="69">
        <f>IF($J830="","",IFERROR(INDEX(B!$I$2:$I$61,MATCH($J830,B!$E$2:$E$61,0))&amp;"",""))</f>
        <v/>
      </c>
      <c r="R830" s="69">
        <f>IF($J830="","",IFERROR(INDEX(B!$J$2:$J$61,MATCH($J830,B!$E$2:$E$61,0))&amp;"",""))</f>
        <v/>
      </c>
      <c r="S830" s="69">
        <f>IF($J830="","",IFERROR(INDEX(B!$K$2:$K$61,MATCH($J830,B!$E$2:$E$61,0))&amp;"",""))</f>
        <v/>
      </c>
      <c r="T830" s="69">
        <f>IF($J830="","",IFERROR(INDEX(B!$L$2:$L$61,MATCH($J830,B!$E$2:$E$61,0))&amp;"",""))</f>
        <v/>
      </c>
      <c r="U830" s="20" t="n"/>
      <c r="V830" s="70">
        <f>IF($J830="","",IFERROR(INDEX(B!$M$2:$M$61,MATCH($J830,B!$E$2:$E$61,0))&amp;"",""))</f>
        <v/>
      </c>
      <c r="W830" s="71">
        <f>IF(I830="","",IFERROR(MID(I830,FIND("/d/",I830)+3,FIND("/edit",I830)-FIND("/d/",I830)-3),I830))</f>
        <v/>
      </c>
      <c r="X830" s="71">
        <f>IF($J830="","",IFERROR(INDEX(B!$C$2:$C$61,MATCH($J830,B!$E$2:$E$61,0))&amp;"",""))</f>
        <v/>
      </c>
      <c r="Y830" s="20" t="n"/>
      <c r="Z830" s="72">
        <f>IF($J830="",FALSE,ISNUMBER(SEARCH("scout",$K830)))</f>
        <v/>
      </c>
      <c r="AA830" s="72">
        <f>IF($J830="",FALSE,IFERROR(INDEX(B!$N$2:$N$61,MATCH($J830,B!$E$2:$E$61,0))="Sim",FALSE))</f>
        <v/>
      </c>
      <c r="AB830" s="72">
        <f>IF($J830="",FALSE,LEFT($X830,2)="XX")</f>
        <v/>
      </c>
      <c r="AC830" s="72">
        <f>IF($J830="",FALSE,IFERROR(INDEX(B!$P$2:$P$61,MATCH($J830,B!$E$2:$E$61,0))="Sim",FALSE))</f>
        <v/>
      </c>
      <c r="AD830" s="20" t="n"/>
      <c r="AE830" s="52">
        <f>IF(H830="","",HOUR(H830))</f>
        <v/>
      </c>
      <c r="AF830" s="52" t="n"/>
    </row>
    <row r="831" ht="19.5" customHeight="1" s="58">
      <c r="A831" s="62">
        <f>IF(G831="","",IF(G831=G830,"",COUNTIF($G$3:$G$976,G831)))</f>
        <v/>
      </c>
      <c r="B831" s="20" t="n"/>
      <c r="C831" s="63">
        <f>IF(G831="","",DAY(G831))</f>
        <v/>
      </c>
      <c r="D831" s="63">
        <f>IF(G831="","",MONTH(G831))</f>
        <v/>
      </c>
      <c r="E831" s="63">
        <f>IF(G831="","",YEAR(G831))</f>
        <v/>
      </c>
      <c r="F831" s="33">
        <f>IF(G831="","",CHOOSE(MONTH(G831),"Janeiro","Fevereiro","Março","Abril","Maio","Junho","Julho","Agosto","Setembro","Outubro","Novembro","Dezembro"))</f>
        <v/>
      </c>
      <c r="G831" s="64" t="n">
        <v>46078</v>
      </c>
      <c r="H831" s="65" t="n">
        <v>0.1120486111111111</v>
      </c>
      <c r="I831" s="66" t="inlineStr">
        <is>
          <t>https://docs.google.com/spreadsheets/d/1ZiCGoPjLCjuYvujDTXK9Ixbth3tekiLtFBzBrGjPCr4/edit?gid=0#gid=0</t>
        </is>
      </c>
      <c r="J831" s="67" t="inlineStr">
        <is>
          <t>Taxa de Cancelamento - [TXC]</t>
        </is>
      </c>
      <c r="K831" s="67" t="inlineStr">
        <is>
          <t>Scout</t>
        </is>
      </c>
      <c r="L831" s="68" t="b">
        <v>0</v>
      </c>
      <c r="M831" s="20" t="n"/>
      <c r="N831" s="69">
        <f>IF($J831="","",IFERROR(INDEX(B!$F$2:$F$61,MATCH($J831,B!$E$2:$E$61,0))&amp;"",""))</f>
        <v/>
      </c>
      <c r="O831" s="69">
        <f>IF($J831="","",IFERROR(INDEX(B!$G$2:$G$61,MATCH($J831,B!$E$2:$E$61,0))&amp;"",""))</f>
        <v/>
      </c>
      <c r="P831" s="69">
        <f>IF($J831="","",IFERROR(INDEX(B!$H$2:$H$61,MATCH($J831,B!$E$2:$E$61,0))&amp;"",""))</f>
        <v/>
      </c>
      <c r="Q831" s="69">
        <f>IF($J831="","",IFERROR(INDEX(B!$I$2:$I$61,MATCH($J831,B!$E$2:$E$61,0))&amp;"",""))</f>
        <v/>
      </c>
      <c r="R831" s="69">
        <f>IF($J831="","",IFERROR(INDEX(B!$J$2:$J$61,MATCH($J831,B!$E$2:$E$61,0))&amp;"",""))</f>
        <v/>
      </c>
      <c r="S831" s="69">
        <f>IF($J831="","",IFERROR(INDEX(B!$K$2:$K$61,MATCH($J831,B!$E$2:$E$61,0))&amp;"",""))</f>
        <v/>
      </c>
      <c r="T831" s="69">
        <f>IF($J831="","",IFERROR(INDEX(B!$L$2:$L$61,MATCH($J831,B!$E$2:$E$61,0))&amp;"",""))</f>
        <v/>
      </c>
      <c r="U831" s="20" t="n"/>
      <c r="V831" s="70">
        <f>IF($J831="","",IFERROR(INDEX(B!$M$2:$M$61,MATCH($J831,B!$E$2:$E$61,0))&amp;"",""))</f>
        <v/>
      </c>
      <c r="W831" s="71">
        <f>IF(I831="","",IFERROR(MID(I831,FIND("/d/",I831)+3,FIND("/edit",I831)-FIND("/d/",I831)-3),I831))</f>
        <v/>
      </c>
      <c r="X831" s="71">
        <f>IF($J831="","",IFERROR(INDEX(B!$C$2:$C$61,MATCH($J831,B!$E$2:$E$61,0))&amp;"",""))</f>
        <v/>
      </c>
      <c r="Y831" s="20" t="n"/>
      <c r="Z831" s="72">
        <f>IF($J831="",FALSE,ISNUMBER(SEARCH("scout",$K831)))</f>
        <v/>
      </c>
      <c r="AA831" s="72">
        <f>IF($J831="",FALSE,IFERROR(INDEX(B!$N$2:$N$61,MATCH($J831,B!$E$2:$E$61,0))="Sim",FALSE))</f>
        <v/>
      </c>
      <c r="AB831" s="72">
        <f>IF($J831="",FALSE,LEFT($X831,2)="XX")</f>
        <v/>
      </c>
      <c r="AC831" s="72">
        <f>IF($J831="",FALSE,IFERROR(INDEX(B!$P$2:$P$61,MATCH($J831,B!$E$2:$E$61,0))="Sim",FALSE))</f>
        <v/>
      </c>
      <c r="AD831" s="20" t="n"/>
      <c r="AE831" s="52">
        <f>IF(H831="","",HOUR(H831))</f>
        <v/>
      </c>
      <c r="AF831" s="52" t="n"/>
    </row>
    <row r="832" ht="19.5" customHeight="1" s="58">
      <c r="A832" s="62">
        <f>IF(G832="","",IF(G832=G831,"",COUNTIF($G$3:$G$976,G832)))</f>
        <v/>
      </c>
      <c r="B832" s="20" t="n"/>
      <c r="C832" s="63">
        <f>IF(G832="","",DAY(G832))</f>
        <v/>
      </c>
      <c r="D832" s="63">
        <f>IF(G832="","",MONTH(G832))</f>
        <v/>
      </c>
      <c r="E832" s="63">
        <f>IF(G832="","",YEAR(G832))</f>
        <v/>
      </c>
      <c r="F832" s="33">
        <f>IF(G832="","",CHOOSE(MONTH(G832),"Janeiro","Fevereiro","Março","Abril","Maio","Junho","Julho","Agosto","Setembro","Outubro","Novembro","Dezembro"))</f>
        <v/>
      </c>
      <c r="G832" s="64" t="n">
        <v>46078</v>
      </c>
      <c r="H832" s="65" t="n">
        <v>0.1217361111111111</v>
      </c>
      <c r="I832" s="66" t="inlineStr">
        <is>
          <t>https://docs.google.com/spreadsheets/d/1ZiCGoPjLCjuYvujDTXK9Ixbth3tekiLtFBzBrGjPCr4/edit?gid=0#gid=0</t>
        </is>
      </c>
      <c r="J832" s="67" t="inlineStr">
        <is>
          <t>Viagem Calculada Incorretamente - [VCI]</t>
        </is>
      </c>
      <c r="K832" s="67" t="inlineStr">
        <is>
          <t>Scout</t>
        </is>
      </c>
      <c r="L832" s="68" t="b">
        <v>0</v>
      </c>
      <c r="M832" s="20" t="n"/>
      <c r="N832" s="69">
        <f>IF($J832="","",IFERROR(INDEX(B!$F$2:$F$61,MATCH($J832,B!$E$2:$E$61,0))&amp;"",""))</f>
        <v/>
      </c>
      <c r="O832" s="69">
        <f>IF($J832="","",IFERROR(INDEX(B!$G$2:$G$61,MATCH($J832,B!$E$2:$E$61,0))&amp;"",""))</f>
        <v/>
      </c>
      <c r="P832" s="69">
        <f>IF($J832="","",IFERROR(INDEX(B!$H$2:$H$61,MATCH($J832,B!$E$2:$E$61,0))&amp;"",""))</f>
        <v/>
      </c>
      <c r="Q832" s="69">
        <f>IF($J832="","",IFERROR(INDEX(B!$I$2:$I$61,MATCH($J832,B!$E$2:$E$61,0))&amp;"",""))</f>
        <v/>
      </c>
      <c r="R832" s="69">
        <f>IF($J832="","",IFERROR(INDEX(B!$J$2:$J$61,MATCH($J832,B!$E$2:$E$61,0))&amp;"",""))</f>
        <v/>
      </c>
      <c r="S832" s="69">
        <f>IF($J832="","",IFERROR(INDEX(B!$K$2:$K$61,MATCH($J832,B!$E$2:$E$61,0))&amp;"",""))</f>
        <v/>
      </c>
      <c r="T832" s="69">
        <f>IF($J832="","",IFERROR(INDEX(B!$L$2:$L$61,MATCH($J832,B!$E$2:$E$61,0))&amp;"",""))</f>
        <v/>
      </c>
      <c r="U832" s="20" t="n"/>
      <c r="V832" s="70">
        <f>IF($J832="","",IFERROR(INDEX(B!$M$2:$M$61,MATCH($J832,B!$E$2:$E$61,0))&amp;"",""))</f>
        <v/>
      </c>
      <c r="W832" s="71">
        <f>IF(I832="","",IFERROR(MID(I832,FIND("/d/",I832)+3,FIND("/edit",I832)-FIND("/d/",I832)-3),I832))</f>
        <v/>
      </c>
      <c r="X832" s="71">
        <f>IF($J832="","",IFERROR(INDEX(B!$C$2:$C$61,MATCH($J832,B!$E$2:$E$61,0))&amp;"",""))</f>
        <v/>
      </c>
      <c r="Y832" s="20" t="n"/>
      <c r="Z832" s="72">
        <f>IF($J832="",FALSE,ISNUMBER(SEARCH("scout",$K832)))</f>
        <v/>
      </c>
      <c r="AA832" s="72">
        <f>IF($J832="",FALSE,IFERROR(INDEX(B!$N$2:$N$61,MATCH($J832,B!$E$2:$E$61,0))="Sim",FALSE))</f>
        <v/>
      </c>
      <c r="AB832" s="72">
        <f>IF($J832="",FALSE,LEFT($X832,2)="XX")</f>
        <v/>
      </c>
      <c r="AC832" s="72">
        <f>IF($J832="",FALSE,IFERROR(INDEX(B!$P$2:$P$61,MATCH($J832,B!$E$2:$E$61,0))="Sim",FALSE))</f>
        <v/>
      </c>
      <c r="AD832" s="20" t="n"/>
      <c r="AE832" s="52">
        <f>IF(H832="","",HOUR(H832))</f>
        <v/>
      </c>
      <c r="AF832" s="52" t="n"/>
    </row>
    <row r="833" ht="19.5" customHeight="1" s="58">
      <c r="A833" s="62">
        <f>IF(G833="","",IF(G833=G832,"",COUNTIF($G$3:$G$976,G833)))</f>
        <v/>
      </c>
      <c r="B833" s="20" t="n"/>
      <c r="C833" s="63">
        <f>IF(G833="","",DAY(G833))</f>
        <v/>
      </c>
      <c r="D833" s="63">
        <f>IF(G833="","",MONTH(G833))</f>
        <v/>
      </c>
      <c r="E833" s="63">
        <f>IF(G833="","",YEAR(G833))</f>
        <v/>
      </c>
      <c r="F833" s="33">
        <f>IF(G833="","",CHOOSE(MONTH(G833),"Janeiro","Fevereiro","Março","Abril","Maio","Junho","Julho","Agosto","Setembro","Outubro","Novembro","Dezembro"))</f>
        <v/>
      </c>
      <c r="G833" s="64" t="n">
        <v>46078</v>
      </c>
      <c r="H833" s="65" t="n">
        <v>0.1286921296296296</v>
      </c>
      <c r="I833" s="66" t="inlineStr">
        <is>
          <t>https://docs.google.com/spreadsheets/d/1ZiCGoPjLCjuYvujDTXK9Ixbth3tekiLtFBzBrGjPCr4/edit?gid=0#gid=0</t>
        </is>
      </c>
      <c r="J833" s="67" t="inlineStr">
        <is>
          <t>Pushback (Agradecimento) - [XXA]</t>
        </is>
      </c>
      <c r="K833" s="67" t="inlineStr"/>
      <c r="L833" s="68" t="b">
        <v>0</v>
      </c>
      <c r="M833" s="20" t="n"/>
      <c r="N833" s="69">
        <f>IF($J833="","",IFERROR(INDEX(B!$F$2:$F$61,MATCH($J833,B!$E$2:$E$61,0))&amp;"",""))</f>
        <v/>
      </c>
      <c r="O833" s="69">
        <f>IF($J833="","",IFERROR(INDEX(B!$G$2:$G$61,MATCH($J833,B!$E$2:$E$61,0))&amp;"",""))</f>
        <v/>
      </c>
      <c r="P833" s="69">
        <f>IF($J833="","",IFERROR(INDEX(B!$H$2:$H$61,MATCH($J833,B!$E$2:$E$61,0))&amp;"",""))</f>
        <v/>
      </c>
      <c r="Q833" s="69">
        <f>IF($J833="","",IFERROR(INDEX(B!$I$2:$I$61,MATCH($J833,B!$E$2:$E$61,0))&amp;"",""))</f>
        <v/>
      </c>
      <c r="R833" s="69">
        <f>IF($J833="","",IFERROR(INDEX(B!$J$2:$J$61,MATCH($J833,B!$E$2:$E$61,0))&amp;"",""))</f>
        <v/>
      </c>
      <c r="S833" s="69">
        <f>IF($J833="","",IFERROR(INDEX(B!$K$2:$K$61,MATCH($J833,B!$E$2:$E$61,0))&amp;"",""))</f>
        <v/>
      </c>
      <c r="T833" s="69">
        <f>IF($J833="","",IFERROR(INDEX(B!$L$2:$L$61,MATCH($J833,B!$E$2:$E$61,0))&amp;"",""))</f>
        <v/>
      </c>
      <c r="U833" s="20" t="n"/>
      <c r="V833" s="70">
        <f>IF($J833="","",IFERROR(INDEX(B!$M$2:$M$61,MATCH($J833,B!$E$2:$E$61,0))&amp;"",""))</f>
        <v/>
      </c>
      <c r="W833" s="71">
        <f>IF(I833="","",IFERROR(MID(I833,FIND("/d/",I833)+3,FIND("/edit",I833)-FIND("/d/",I833)-3),I833))</f>
        <v/>
      </c>
      <c r="X833" s="71">
        <f>IF($J833="","",IFERROR(INDEX(B!$C$2:$C$61,MATCH($J833,B!$E$2:$E$61,0))&amp;"",""))</f>
        <v/>
      </c>
      <c r="Y833" s="20" t="n"/>
      <c r="Z833" s="72">
        <f>IF($J833="",FALSE,ISNUMBER(SEARCH("scout",$K833)))</f>
        <v/>
      </c>
      <c r="AA833" s="72">
        <f>IF($J833="",FALSE,IFERROR(INDEX(B!$N$2:$N$61,MATCH($J833,B!$E$2:$E$61,0))="Sim",FALSE))</f>
        <v/>
      </c>
      <c r="AB833" s="72">
        <f>IF($J833="",FALSE,LEFT($X833,2)="XX")</f>
        <v/>
      </c>
      <c r="AC833" s="72">
        <f>IF($J833="",FALSE,IFERROR(INDEX(B!$P$2:$P$61,MATCH($J833,B!$E$2:$E$61,0))="Sim",FALSE))</f>
        <v/>
      </c>
      <c r="AD833" s="20" t="n"/>
      <c r="AE833" s="52">
        <f>IF(H833="","",HOUR(H833))</f>
        <v/>
      </c>
      <c r="AF833" s="52" t="n"/>
    </row>
    <row r="834" ht="19.5" customHeight="1" s="58">
      <c r="A834" s="62">
        <f>IF(G834="","",IF(G834=G833,"",COUNTIF($G$3:$G$976,G834)))</f>
        <v/>
      </c>
      <c r="B834" s="20" t="n"/>
      <c r="C834" s="63">
        <f>IF(G834="","",DAY(G834))</f>
        <v/>
      </c>
      <c r="D834" s="63">
        <f>IF(G834="","",MONTH(G834))</f>
        <v/>
      </c>
      <c r="E834" s="63">
        <f>IF(G834="","",YEAR(G834))</f>
        <v/>
      </c>
      <c r="F834" s="33">
        <f>IF(G834="","",CHOOSE(MONTH(G834),"Janeiro","Fevereiro","Março","Abril","Maio","Junho","Julho","Agosto","Setembro","Outubro","Novembro","Dezembro"))</f>
        <v/>
      </c>
      <c r="G834" s="64" t="n">
        <v>46078</v>
      </c>
      <c r="H834" s="65" t="n">
        <v>0.1330208333333333</v>
      </c>
      <c r="I834" s="66" t="inlineStr">
        <is>
          <t>https://docs.google.com/spreadsheets/d/1ZiCGoPjLCjuYvujDTXK9Ixbth3tekiLtFBzBrGjPCr4/edit?gid=0#gid=0</t>
        </is>
      </c>
      <c r="J834" s="67" t="inlineStr">
        <is>
          <t>Viagem Calculada Incorretamente - [VCI]</t>
        </is>
      </c>
      <c r="K834" s="67" t="inlineStr">
        <is>
          <t>Scout</t>
        </is>
      </c>
      <c r="L834" s="68" t="b">
        <v>0</v>
      </c>
      <c r="M834" s="20" t="n"/>
      <c r="N834" s="69">
        <f>IF($J834="","",IFERROR(INDEX(B!$F$2:$F$61,MATCH($J834,B!$E$2:$E$61,0))&amp;"",""))</f>
        <v/>
      </c>
      <c r="O834" s="69">
        <f>IF($J834="","",IFERROR(INDEX(B!$G$2:$G$61,MATCH($J834,B!$E$2:$E$61,0))&amp;"",""))</f>
        <v/>
      </c>
      <c r="P834" s="69">
        <f>IF($J834="","",IFERROR(INDEX(B!$H$2:$H$61,MATCH($J834,B!$E$2:$E$61,0))&amp;"",""))</f>
        <v/>
      </c>
      <c r="Q834" s="69">
        <f>IF($J834="","",IFERROR(INDEX(B!$I$2:$I$61,MATCH($J834,B!$E$2:$E$61,0))&amp;"",""))</f>
        <v/>
      </c>
      <c r="R834" s="69">
        <f>IF($J834="","",IFERROR(INDEX(B!$J$2:$J$61,MATCH($J834,B!$E$2:$E$61,0))&amp;"",""))</f>
        <v/>
      </c>
      <c r="S834" s="69">
        <f>IF($J834="","",IFERROR(INDEX(B!$K$2:$K$61,MATCH($J834,B!$E$2:$E$61,0))&amp;"",""))</f>
        <v/>
      </c>
      <c r="T834" s="69">
        <f>IF($J834="","",IFERROR(INDEX(B!$L$2:$L$61,MATCH($J834,B!$E$2:$E$61,0))&amp;"",""))</f>
        <v/>
      </c>
      <c r="U834" s="20" t="n"/>
      <c r="V834" s="70">
        <f>IF($J834="","",IFERROR(INDEX(B!$M$2:$M$61,MATCH($J834,B!$E$2:$E$61,0))&amp;"",""))</f>
        <v/>
      </c>
      <c r="W834" s="71">
        <f>IF(I834="","",IFERROR(MID(I834,FIND("/d/",I834)+3,FIND("/edit",I834)-FIND("/d/",I834)-3),I834))</f>
        <v/>
      </c>
      <c r="X834" s="71">
        <f>IF($J834="","",IFERROR(INDEX(B!$C$2:$C$61,MATCH($J834,B!$E$2:$E$61,0))&amp;"",""))</f>
        <v/>
      </c>
      <c r="Y834" s="20" t="n"/>
      <c r="Z834" s="72">
        <f>IF($J834="",FALSE,ISNUMBER(SEARCH("scout",$K834)))</f>
        <v/>
      </c>
      <c r="AA834" s="72">
        <f>IF($J834="",FALSE,IFERROR(INDEX(B!$N$2:$N$61,MATCH($J834,B!$E$2:$E$61,0))="Sim",FALSE))</f>
        <v/>
      </c>
      <c r="AB834" s="72">
        <f>IF($J834="",FALSE,LEFT($X834,2)="XX")</f>
        <v/>
      </c>
      <c r="AC834" s="72">
        <f>IF($J834="",FALSE,IFERROR(INDEX(B!$P$2:$P$61,MATCH($J834,B!$E$2:$E$61,0))="Sim",FALSE))</f>
        <v/>
      </c>
      <c r="AD834" s="20" t="n"/>
      <c r="AE834" s="52">
        <f>IF(H834="","",HOUR(H834))</f>
        <v/>
      </c>
      <c r="AF834" s="52" t="n"/>
    </row>
    <row r="835" ht="19.5" customHeight="1" s="58">
      <c r="A835" s="62">
        <f>IF(G835="","",IF(G835=G834,"",COUNTIF($G$3:$G$976,G835)))</f>
        <v/>
      </c>
      <c r="B835" s="20" t="n"/>
      <c r="C835" s="63">
        <f>IF(G835="","",DAY(G835))</f>
        <v/>
      </c>
      <c r="D835" s="63">
        <f>IF(G835="","",MONTH(G835))</f>
        <v/>
      </c>
      <c r="E835" s="63">
        <f>IF(G835="","",YEAR(G835))</f>
        <v/>
      </c>
      <c r="F835" s="33">
        <f>IF(G835="","",CHOOSE(MONTH(G835),"Janeiro","Fevereiro","Março","Abril","Maio","Junho","Julho","Agosto","Setembro","Outubro","Novembro","Dezembro"))</f>
        <v/>
      </c>
      <c r="G835" s="64" t="n">
        <v>46078</v>
      </c>
      <c r="H835" s="65" t="n">
        <v>0.143599537037037</v>
      </c>
      <c r="I835" s="66" t="inlineStr">
        <is>
          <t>https://docs.google.com/spreadsheets/d/1ZiCGoPjLCjuYvujDTXK9Ixbth3tekiLtFBzBrGjPCr4/edit?gid=0#gid=0</t>
        </is>
      </c>
      <c r="J835" s="67" t="inlineStr">
        <is>
          <t>Overpaid, Não excede o limite, Sem comprovante - [OPNN]</t>
        </is>
      </c>
      <c r="K835" s="67" t="inlineStr"/>
      <c r="L835" s="68" t="b">
        <v>0</v>
      </c>
      <c r="M835" s="20" t="n"/>
      <c r="N835" s="69">
        <f>IF($J835="","",IFERROR(INDEX(B!$F$2:$F$61,MATCH($J835,B!$E$2:$E$61,0))&amp;"",""))</f>
        <v/>
      </c>
      <c r="O835" s="69">
        <f>IF($J835="","",IFERROR(INDEX(B!$G$2:$G$61,MATCH($J835,B!$E$2:$E$61,0))&amp;"",""))</f>
        <v/>
      </c>
      <c r="P835" s="69">
        <f>IF($J835="","",IFERROR(INDEX(B!$H$2:$H$61,MATCH($J835,B!$E$2:$E$61,0))&amp;"",""))</f>
        <v/>
      </c>
      <c r="Q835" s="69">
        <f>IF($J835="","",IFERROR(INDEX(B!$I$2:$I$61,MATCH($J835,B!$E$2:$E$61,0))&amp;"",""))</f>
        <v/>
      </c>
      <c r="R835" s="69">
        <f>IF($J835="","",IFERROR(INDEX(B!$J$2:$J$61,MATCH($J835,B!$E$2:$E$61,0))&amp;"",""))</f>
        <v/>
      </c>
      <c r="S835" s="69">
        <f>IF($J835="","",IFERROR(INDEX(B!$K$2:$K$61,MATCH($J835,B!$E$2:$E$61,0))&amp;"",""))</f>
        <v/>
      </c>
      <c r="T835" s="69">
        <f>IF($J835="","",IFERROR(INDEX(B!$L$2:$L$61,MATCH($J835,B!$E$2:$E$61,0))&amp;"",""))</f>
        <v/>
      </c>
      <c r="U835" s="20" t="n"/>
      <c r="V835" s="70">
        <f>IF($J835="","",IFERROR(INDEX(B!$M$2:$M$61,MATCH($J835,B!$E$2:$E$61,0))&amp;"",""))</f>
        <v/>
      </c>
      <c r="W835" s="71">
        <f>IF(I835="","",IFERROR(MID(I835,FIND("/d/",I835)+3,FIND("/edit",I835)-FIND("/d/",I835)-3),I835))</f>
        <v/>
      </c>
      <c r="X835" s="71">
        <f>IF($J835="","",IFERROR(INDEX(B!$C$2:$C$61,MATCH($J835,B!$E$2:$E$61,0))&amp;"",""))</f>
        <v/>
      </c>
      <c r="Y835" s="20" t="n"/>
      <c r="Z835" s="72">
        <f>IF($J835="",FALSE,ISNUMBER(SEARCH("scout",$K835)))</f>
        <v/>
      </c>
      <c r="AA835" s="72">
        <f>IF($J835="",FALSE,IFERROR(INDEX(B!$N$2:$N$61,MATCH($J835,B!$E$2:$E$61,0))="Sim",FALSE))</f>
        <v/>
      </c>
      <c r="AB835" s="72">
        <f>IF($J835="",FALSE,LEFT($X835,2)="XX")</f>
        <v/>
      </c>
      <c r="AC835" s="72">
        <f>IF($J835="",FALSE,IFERROR(INDEX(B!$P$2:$P$61,MATCH($J835,B!$E$2:$E$61,0))="Sim",FALSE))</f>
        <v/>
      </c>
      <c r="AD835" s="20" t="n"/>
      <c r="AE835" s="52">
        <f>IF(H835="","",HOUR(H835))</f>
        <v/>
      </c>
      <c r="AF835" s="52" t="n"/>
    </row>
    <row r="836" ht="19.5" customHeight="1" s="58">
      <c r="A836" s="62">
        <f>IF(G836="","",IF(G836=G835,"",COUNTIF($G$3:$G$976,G836)))</f>
        <v/>
      </c>
      <c r="B836" s="20" t="n"/>
      <c r="C836" s="63">
        <f>IF(G836="","",DAY(G836))</f>
        <v/>
      </c>
      <c r="D836" s="63">
        <f>IF(G836="","",MONTH(G836))</f>
        <v/>
      </c>
      <c r="E836" s="63">
        <f>IF(G836="","",YEAR(G836))</f>
        <v/>
      </c>
      <c r="F836" s="33">
        <f>IF(G836="","",CHOOSE(MONTH(G836),"Janeiro","Fevereiro","Março","Abril","Maio","Junho","Julho","Agosto","Setembro","Outubro","Novembro","Dezembro"))</f>
        <v/>
      </c>
      <c r="G836" s="64" t="n">
        <v>46078</v>
      </c>
      <c r="H836" s="65" t="n">
        <v>0.1440856481481481</v>
      </c>
      <c r="I836" s="66" t="inlineStr">
        <is>
          <t>https://docs.google.com/spreadsheets/d/1ZiCGoPjLCjuYvujDTXK9Ixbth3tekiLtFBzBrGjPCr4/edit?gid=0#gid=0</t>
        </is>
      </c>
      <c r="J836" s="67" t="inlineStr">
        <is>
          <t>Overpaid, Não excede o limite, Com comprovante - [OPNC]</t>
        </is>
      </c>
      <c r="K836" s="67" t="inlineStr"/>
      <c r="L836" s="68" t="b">
        <v>0</v>
      </c>
      <c r="M836" s="20" t="n"/>
      <c r="N836" s="69">
        <f>IF($J836="","",IFERROR(INDEX(B!$F$2:$F$61,MATCH($J836,B!$E$2:$E$61,0))&amp;"",""))</f>
        <v/>
      </c>
      <c r="O836" s="69">
        <f>IF($J836="","",IFERROR(INDEX(B!$G$2:$G$61,MATCH($J836,B!$E$2:$E$61,0))&amp;"",""))</f>
        <v/>
      </c>
      <c r="P836" s="69">
        <f>IF($J836="","",IFERROR(INDEX(B!$H$2:$H$61,MATCH($J836,B!$E$2:$E$61,0))&amp;"",""))</f>
        <v/>
      </c>
      <c r="Q836" s="69">
        <f>IF($J836="","",IFERROR(INDEX(B!$I$2:$I$61,MATCH($J836,B!$E$2:$E$61,0))&amp;"",""))</f>
        <v/>
      </c>
      <c r="R836" s="69">
        <f>IF($J836="","",IFERROR(INDEX(B!$J$2:$J$61,MATCH($J836,B!$E$2:$E$61,0))&amp;"",""))</f>
        <v/>
      </c>
      <c r="S836" s="69">
        <f>IF($J836="","",IFERROR(INDEX(B!$K$2:$K$61,MATCH($J836,B!$E$2:$E$61,0))&amp;"",""))</f>
        <v/>
      </c>
      <c r="T836" s="69">
        <f>IF($J836="","",IFERROR(INDEX(B!$L$2:$L$61,MATCH($J836,B!$E$2:$E$61,0))&amp;"",""))</f>
        <v/>
      </c>
      <c r="U836" s="20" t="n"/>
      <c r="V836" s="70">
        <f>IF($J836="","",IFERROR(INDEX(B!$M$2:$M$61,MATCH($J836,B!$E$2:$E$61,0))&amp;"",""))</f>
        <v/>
      </c>
      <c r="W836" s="71">
        <f>IF(I836="","",IFERROR(MID(I836,FIND("/d/",I836)+3,FIND("/edit",I836)-FIND("/d/",I836)-3),I836))</f>
        <v/>
      </c>
      <c r="X836" s="71">
        <f>IF($J836="","",IFERROR(INDEX(B!$C$2:$C$61,MATCH($J836,B!$E$2:$E$61,0))&amp;"",""))</f>
        <v/>
      </c>
      <c r="Y836" s="20" t="n"/>
      <c r="Z836" s="72">
        <f>IF($J836="",FALSE,ISNUMBER(SEARCH("scout",$K836)))</f>
        <v/>
      </c>
      <c r="AA836" s="72">
        <f>IF($J836="",FALSE,IFERROR(INDEX(B!$N$2:$N$61,MATCH($J836,B!$E$2:$E$61,0))="Sim",FALSE))</f>
        <v/>
      </c>
      <c r="AB836" s="72">
        <f>IF($J836="",FALSE,LEFT($X836,2)="XX")</f>
        <v/>
      </c>
      <c r="AC836" s="72">
        <f>IF($J836="",FALSE,IFERROR(INDEX(B!$P$2:$P$61,MATCH($J836,B!$E$2:$E$61,0))="Sim",FALSE))</f>
        <v/>
      </c>
      <c r="AD836" s="20" t="n"/>
      <c r="AE836" s="52">
        <f>IF(H836="","",HOUR(H836))</f>
        <v/>
      </c>
      <c r="AF836" s="52" t="n"/>
    </row>
    <row r="837" ht="19.5" customHeight="1" s="58">
      <c r="A837" s="62">
        <f>IF(G837="","",IF(G837=G836,"",COUNTIF($G$3:$G$976,G837)))</f>
        <v/>
      </c>
      <c r="B837" s="20" t="n"/>
      <c r="C837" s="63">
        <f>IF(G837="","",DAY(G837))</f>
        <v/>
      </c>
      <c r="D837" s="63">
        <f>IF(G837="","",MONTH(G837))</f>
        <v/>
      </c>
      <c r="E837" s="63">
        <f>IF(G837="","",YEAR(G837))</f>
        <v/>
      </c>
      <c r="F837" s="33">
        <f>IF(G837="","",CHOOSE(MONTH(G837),"Janeiro","Fevereiro","Março","Abril","Maio","Junho","Julho","Agosto","Setembro","Outubro","Novembro","Dezembro"))</f>
        <v/>
      </c>
      <c r="G837" s="64" t="n">
        <v>46079</v>
      </c>
      <c r="H837" s="65" t="n">
        <v>0.01087962962962963</v>
      </c>
      <c r="I837" s="66" t="inlineStr">
        <is>
          <t>https://docs.google.com/spreadsheets/d/1ZiCGoPjLCjuYvujDTXK9Ixbth3tekiLtFBzBrGjPCr4/edit?gid=0#gid=0</t>
        </is>
      </c>
      <c r="J837" s="67" t="inlineStr">
        <is>
          <t>Overpaid, Excede o limite Com comprovante - [OPEC]</t>
        </is>
      </c>
      <c r="K837" s="67" t="inlineStr">
        <is>
          <t>Scout</t>
        </is>
      </c>
      <c r="L837" s="68" t="b">
        <v>0</v>
      </c>
      <c r="M837" s="20" t="n"/>
      <c r="N837" s="69">
        <f>IF($J837="","",IFERROR(INDEX(B!$F$2:$F$61,MATCH($J837,B!$E$2:$E$61,0))&amp;"",""))</f>
        <v/>
      </c>
      <c r="O837" s="69">
        <f>IF($J837="","",IFERROR(INDEX(B!$G$2:$G$61,MATCH($J837,B!$E$2:$E$61,0))&amp;"",""))</f>
        <v/>
      </c>
      <c r="P837" s="69">
        <f>IF($J837="","",IFERROR(INDEX(B!$H$2:$H$61,MATCH($J837,B!$E$2:$E$61,0))&amp;"",""))</f>
        <v/>
      </c>
      <c r="Q837" s="69">
        <f>IF($J837="","",IFERROR(INDEX(B!$I$2:$I$61,MATCH($J837,B!$E$2:$E$61,0))&amp;"",""))</f>
        <v/>
      </c>
      <c r="R837" s="69">
        <f>IF($J837="","",IFERROR(INDEX(B!$J$2:$J$61,MATCH($J837,B!$E$2:$E$61,0))&amp;"",""))</f>
        <v/>
      </c>
      <c r="S837" s="69">
        <f>IF($J837="","",IFERROR(INDEX(B!$K$2:$K$61,MATCH($J837,B!$E$2:$E$61,0))&amp;"",""))</f>
        <v/>
      </c>
      <c r="T837" s="69">
        <f>IF($J837="","",IFERROR(INDEX(B!$L$2:$L$61,MATCH($J837,B!$E$2:$E$61,0))&amp;"",""))</f>
        <v/>
      </c>
      <c r="U837" s="20" t="n"/>
      <c r="V837" s="70">
        <f>IF($J837="","",IFERROR(INDEX(B!$M$2:$M$61,MATCH($J837,B!$E$2:$E$61,0))&amp;"",""))</f>
        <v/>
      </c>
      <c r="W837" s="71">
        <f>IF(I837="","",IFERROR(MID(I837,FIND("/d/",I837)+3,FIND("/edit",I837)-FIND("/d/",I837)-3),I837))</f>
        <v/>
      </c>
      <c r="X837" s="71">
        <f>IF($J837="","",IFERROR(INDEX(B!$C$2:$C$61,MATCH($J837,B!$E$2:$E$61,0))&amp;"",""))</f>
        <v/>
      </c>
      <c r="Y837" s="20" t="n"/>
      <c r="Z837" s="72">
        <f>IF($J837="",FALSE,ISNUMBER(SEARCH("scout",$K837)))</f>
        <v/>
      </c>
      <c r="AA837" s="72">
        <f>IF($J837="",FALSE,IFERROR(INDEX(B!$N$2:$N$61,MATCH($J837,B!$E$2:$E$61,0))="Sim",FALSE))</f>
        <v/>
      </c>
      <c r="AB837" s="72">
        <f>IF($J837="",FALSE,LEFT($X837,2)="XX")</f>
        <v/>
      </c>
      <c r="AC837" s="72">
        <f>IF($J837="",FALSE,IFERROR(INDEX(B!$P$2:$P$61,MATCH($J837,B!$E$2:$E$61,0))="Sim",FALSE))</f>
        <v/>
      </c>
      <c r="AD837" s="20" t="n"/>
      <c r="AE837" s="52">
        <f>IF(H837="","",HOUR(H837))</f>
        <v/>
      </c>
      <c r="AF837" s="52" t="n"/>
    </row>
    <row r="838" ht="19.5" customHeight="1" s="58">
      <c r="A838" s="62">
        <f>IF(G838="","",IF(G838=G837,"",COUNTIF($G$3:$G$976,G838)))</f>
        <v/>
      </c>
      <c r="B838" s="20" t="n"/>
      <c r="C838" s="63">
        <f>IF(G838="","",DAY(G838))</f>
        <v/>
      </c>
      <c r="D838" s="63">
        <f>IF(G838="","",MONTH(G838))</f>
        <v/>
      </c>
      <c r="E838" s="63">
        <f>IF(G838="","",YEAR(G838))</f>
        <v/>
      </c>
      <c r="F838" s="33">
        <f>IF(G838="","",CHOOSE(MONTH(G838),"Janeiro","Fevereiro","Março","Abril","Maio","Junho","Julho","Agosto","Setembro","Outubro","Novembro","Dezembro"))</f>
        <v/>
      </c>
      <c r="G838" s="64" t="n">
        <v>46079</v>
      </c>
      <c r="H838" s="65" t="n">
        <v>0.01305555555555556</v>
      </c>
      <c r="I838" s="66" t="inlineStr">
        <is>
          <t>https://docs.google.com/spreadsheets/d/1ZiCGoPjLCjuYvujDTXK9Ixbth3tekiLtFBzBrGjPCr4/edit?gid=0#gid=0</t>
        </is>
      </c>
      <c r="J838" s="67" t="inlineStr">
        <is>
          <t>Overpaid, Excede o limite, Sem comprovante - [OPEN]</t>
        </is>
      </c>
      <c r="K838" s="67" t="inlineStr"/>
      <c r="L838" s="68" t="b">
        <v>0</v>
      </c>
      <c r="M838" s="20" t="n"/>
      <c r="N838" s="69">
        <f>IF($J838="","",IFERROR(INDEX(B!$F$2:$F$61,MATCH($J838,B!$E$2:$E$61,0))&amp;"",""))</f>
        <v/>
      </c>
      <c r="O838" s="69">
        <f>IF($J838="","",IFERROR(INDEX(B!$G$2:$G$61,MATCH($J838,B!$E$2:$E$61,0))&amp;"",""))</f>
        <v/>
      </c>
      <c r="P838" s="69">
        <f>IF($J838="","",IFERROR(INDEX(B!$H$2:$H$61,MATCH($J838,B!$E$2:$E$61,0))&amp;"",""))</f>
        <v/>
      </c>
      <c r="Q838" s="69">
        <f>IF($J838="","",IFERROR(INDEX(B!$I$2:$I$61,MATCH($J838,B!$E$2:$E$61,0))&amp;"",""))</f>
        <v/>
      </c>
      <c r="R838" s="69">
        <f>IF($J838="","",IFERROR(INDEX(B!$J$2:$J$61,MATCH($J838,B!$E$2:$E$61,0))&amp;"",""))</f>
        <v/>
      </c>
      <c r="S838" s="69">
        <f>IF($J838="","",IFERROR(INDEX(B!$K$2:$K$61,MATCH($J838,B!$E$2:$E$61,0))&amp;"",""))</f>
        <v/>
      </c>
      <c r="T838" s="69">
        <f>IF($J838="","",IFERROR(INDEX(B!$L$2:$L$61,MATCH($J838,B!$E$2:$E$61,0))&amp;"",""))</f>
        <v/>
      </c>
      <c r="U838" s="20" t="n"/>
      <c r="V838" s="70">
        <f>IF($J838="","",IFERROR(INDEX(B!$M$2:$M$61,MATCH($J838,B!$E$2:$E$61,0))&amp;"",""))</f>
        <v/>
      </c>
      <c r="W838" s="71">
        <f>IF(I838="","",IFERROR(MID(I838,FIND("/d/",I838)+3,FIND("/edit",I838)-FIND("/d/",I838)-3),I838))</f>
        <v/>
      </c>
      <c r="X838" s="71">
        <f>IF($J838="","",IFERROR(INDEX(B!$C$2:$C$61,MATCH($J838,B!$E$2:$E$61,0))&amp;"",""))</f>
        <v/>
      </c>
      <c r="Y838" s="20" t="n"/>
      <c r="Z838" s="72">
        <f>IF($J838="",FALSE,ISNUMBER(SEARCH("scout",$K838)))</f>
        <v/>
      </c>
      <c r="AA838" s="72">
        <f>IF($J838="",FALSE,IFERROR(INDEX(B!$N$2:$N$61,MATCH($J838,B!$E$2:$E$61,0))="Sim",FALSE))</f>
        <v/>
      </c>
      <c r="AB838" s="72">
        <f>IF($J838="",FALSE,LEFT($X838,2)="XX")</f>
        <v/>
      </c>
      <c r="AC838" s="72">
        <f>IF($J838="",FALSE,IFERROR(INDEX(B!$P$2:$P$61,MATCH($J838,B!$E$2:$E$61,0))="Sim",FALSE))</f>
        <v/>
      </c>
      <c r="AD838" s="20" t="n"/>
      <c r="AE838" s="52">
        <f>IF(H838="","",HOUR(H838))</f>
        <v/>
      </c>
      <c r="AF838" s="52" t="n"/>
    </row>
    <row r="839" ht="19.5" customHeight="1" s="58">
      <c r="A839" s="62">
        <f>IF(G839="","",IF(G839=G838,"",COUNTIF($G$3:$G$976,G839)))</f>
        <v/>
      </c>
      <c r="B839" s="20" t="n"/>
      <c r="C839" s="63">
        <f>IF(G839="","",DAY(G839))</f>
        <v/>
      </c>
      <c r="D839" s="63">
        <f>IF(G839="","",MONTH(G839))</f>
        <v/>
      </c>
      <c r="E839" s="63">
        <f>IF(G839="","",YEAR(G839))</f>
        <v/>
      </c>
      <c r="F839" s="33">
        <f>IF(G839="","",CHOOSE(MONTH(G839),"Janeiro","Fevereiro","Março","Abril","Maio","Junho","Julho","Agosto","Setembro","Outubro","Novembro","Dezembro"))</f>
        <v/>
      </c>
      <c r="G839" s="64" t="n">
        <v>46079</v>
      </c>
      <c r="H839" s="65" t="n">
        <v>0.01390046296296296</v>
      </c>
      <c r="I839" s="66" t="inlineStr">
        <is>
          <t>https://docs.google.com/spreadsheets/d/1ZiCGoPjLCjuYvujDTXK9Ixbth3tekiLtFBzBrGjPCr4/edit?gid=0#gid=0</t>
        </is>
      </c>
      <c r="J839" s="67" t="inlineStr">
        <is>
          <t>Pushback - [XX]</t>
        </is>
      </c>
      <c r="K839" s="67" t="inlineStr"/>
      <c r="L839" s="68" t="b">
        <v>0</v>
      </c>
      <c r="M839" s="20" t="n"/>
      <c r="N839" s="69">
        <f>IF($J839="","",IFERROR(INDEX(B!$F$2:$F$61,MATCH($J839,B!$E$2:$E$61,0))&amp;"",""))</f>
        <v/>
      </c>
      <c r="O839" s="69">
        <f>IF($J839="","",IFERROR(INDEX(B!$G$2:$G$61,MATCH($J839,B!$E$2:$E$61,0))&amp;"",""))</f>
        <v/>
      </c>
      <c r="P839" s="69">
        <f>IF($J839="","",IFERROR(INDEX(B!$H$2:$H$61,MATCH($J839,B!$E$2:$E$61,0))&amp;"",""))</f>
        <v/>
      </c>
      <c r="Q839" s="69">
        <f>IF($J839="","",IFERROR(INDEX(B!$I$2:$I$61,MATCH($J839,B!$E$2:$E$61,0))&amp;"",""))</f>
        <v/>
      </c>
      <c r="R839" s="69">
        <f>IF($J839="","",IFERROR(INDEX(B!$J$2:$J$61,MATCH($J839,B!$E$2:$E$61,0))&amp;"",""))</f>
        <v/>
      </c>
      <c r="S839" s="69">
        <f>IF($J839="","",IFERROR(INDEX(B!$K$2:$K$61,MATCH($J839,B!$E$2:$E$61,0))&amp;"",""))</f>
        <v/>
      </c>
      <c r="T839" s="69">
        <f>IF($J839="","",IFERROR(INDEX(B!$L$2:$L$61,MATCH($J839,B!$E$2:$E$61,0))&amp;"",""))</f>
        <v/>
      </c>
      <c r="U839" s="20" t="n"/>
      <c r="V839" s="70">
        <f>IF($J839="","",IFERROR(INDEX(B!$M$2:$M$61,MATCH($J839,B!$E$2:$E$61,0))&amp;"",""))</f>
        <v/>
      </c>
      <c r="W839" s="71">
        <f>IF(I839="","",IFERROR(MID(I839,FIND("/d/",I839)+3,FIND("/edit",I839)-FIND("/d/",I839)-3),I839))</f>
        <v/>
      </c>
      <c r="X839" s="71">
        <f>IF($J839="","",IFERROR(INDEX(B!$C$2:$C$61,MATCH($J839,B!$E$2:$E$61,0))&amp;"",""))</f>
        <v/>
      </c>
      <c r="Y839" s="20" t="n"/>
      <c r="Z839" s="72">
        <f>IF($J839="",FALSE,ISNUMBER(SEARCH("scout",$K839)))</f>
        <v/>
      </c>
      <c r="AA839" s="72">
        <f>IF($J839="",FALSE,IFERROR(INDEX(B!$N$2:$N$61,MATCH($J839,B!$E$2:$E$61,0))="Sim",FALSE))</f>
        <v/>
      </c>
      <c r="AB839" s="72">
        <f>IF($J839="",FALSE,LEFT($X839,2)="XX")</f>
        <v/>
      </c>
      <c r="AC839" s="72">
        <f>IF($J839="",FALSE,IFERROR(INDEX(B!$P$2:$P$61,MATCH($J839,B!$E$2:$E$61,0))="Sim",FALSE))</f>
        <v/>
      </c>
      <c r="AD839" s="20" t="n"/>
      <c r="AE839" s="52">
        <f>IF(H839="","",HOUR(H839))</f>
        <v/>
      </c>
      <c r="AF839" s="52" t="n"/>
    </row>
    <row r="840" ht="19.5" customHeight="1" s="58">
      <c r="A840" s="62">
        <f>IF(G840="","",IF(G840=G839,"",COUNTIF($G$3:$G$976,G840)))</f>
        <v/>
      </c>
      <c r="B840" s="20" t="n"/>
      <c r="C840" s="63">
        <f>IF(G840="","",DAY(G840))</f>
        <v/>
      </c>
      <c r="D840" s="63">
        <f>IF(G840="","",MONTH(G840))</f>
        <v/>
      </c>
      <c r="E840" s="63">
        <f>IF(G840="","",YEAR(G840))</f>
        <v/>
      </c>
      <c r="F840" s="33">
        <f>IF(G840="","",CHOOSE(MONTH(G840),"Janeiro","Fevereiro","Março","Abril","Maio","Junho","Julho","Agosto","Setembro","Outubro","Novembro","Dezembro"))</f>
        <v/>
      </c>
      <c r="G840" s="64" t="n">
        <v>46079</v>
      </c>
      <c r="H840" s="65" t="n">
        <v>0.01425925925925926</v>
      </c>
      <c r="I840" s="66" t="inlineStr">
        <is>
          <t>https://docs.google.com/spreadsheets/d/1ZiCGoPjLCjuYvujDTXK9Ixbth3tekiLtFBzBrGjPCr4/edit?gid=0#gid=0</t>
        </is>
      </c>
      <c r="J840" s="67" t="inlineStr">
        <is>
          <t>Mais informações (Quanto Pagou?) - [AAV]</t>
        </is>
      </c>
      <c r="K840" s="67" t="inlineStr"/>
      <c r="L840" s="68" t="b">
        <v>0</v>
      </c>
      <c r="M840" s="20" t="n"/>
      <c r="N840" s="69">
        <f>IF($J840="","",IFERROR(INDEX(B!$F$2:$F$61,MATCH($J840,B!$E$2:$E$61,0))&amp;"",""))</f>
        <v/>
      </c>
      <c r="O840" s="69">
        <f>IF($J840="","",IFERROR(INDEX(B!$G$2:$G$61,MATCH($J840,B!$E$2:$E$61,0))&amp;"",""))</f>
        <v/>
      </c>
      <c r="P840" s="69">
        <f>IF($J840="","",IFERROR(INDEX(B!$H$2:$H$61,MATCH($J840,B!$E$2:$E$61,0))&amp;"",""))</f>
        <v/>
      </c>
      <c r="Q840" s="69">
        <f>IF($J840="","",IFERROR(INDEX(B!$I$2:$I$61,MATCH($J840,B!$E$2:$E$61,0))&amp;"",""))</f>
        <v/>
      </c>
      <c r="R840" s="69">
        <f>IF($J840="","",IFERROR(INDEX(B!$J$2:$J$61,MATCH($J840,B!$E$2:$E$61,0))&amp;"",""))</f>
        <v/>
      </c>
      <c r="S840" s="69">
        <f>IF($J840="","",IFERROR(INDEX(B!$K$2:$K$61,MATCH($J840,B!$E$2:$E$61,0))&amp;"",""))</f>
        <v/>
      </c>
      <c r="T840" s="69">
        <f>IF($J840="","",IFERROR(INDEX(B!$L$2:$L$61,MATCH($J840,B!$E$2:$E$61,0))&amp;"",""))</f>
        <v/>
      </c>
      <c r="U840" s="20" t="n"/>
      <c r="V840" s="70">
        <f>IF($J840="","",IFERROR(INDEX(B!$M$2:$M$61,MATCH($J840,B!$E$2:$E$61,0))&amp;"",""))</f>
        <v/>
      </c>
      <c r="W840" s="71">
        <f>IF(I840="","",IFERROR(MID(I840,FIND("/d/",I840)+3,FIND("/edit",I840)-FIND("/d/",I840)-3),I840))</f>
        <v/>
      </c>
      <c r="X840" s="71">
        <f>IF($J840="","",IFERROR(INDEX(B!$C$2:$C$61,MATCH($J840,B!$E$2:$E$61,0))&amp;"",""))</f>
        <v/>
      </c>
      <c r="Y840" s="20" t="n"/>
      <c r="Z840" s="72">
        <f>IF($J840="",FALSE,ISNUMBER(SEARCH("scout",$K840)))</f>
        <v/>
      </c>
      <c r="AA840" s="72">
        <f>IF($J840="",FALSE,IFERROR(INDEX(B!$N$2:$N$61,MATCH($J840,B!$E$2:$E$61,0))="Sim",FALSE))</f>
        <v/>
      </c>
      <c r="AB840" s="72">
        <f>IF($J840="",FALSE,LEFT($X840,2)="XX")</f>
        <v/>
      </c>
      <c r="AC840" s="72">
        <f>IF($J840="",FALSE,IFERROR(INDEX(B!$P$2:$P$61,MATCH($J840,B!$E$2:$E$61,0))="Sim",FALSE))</f>
        <v/>
      </c>
      <c r="AD840" s="20" t="n"/>
      <c r="AE840" s="52">
        <f>IF(H840="","",HOUR(H840))</f>
        <v/>
      </c>
      <c r="AF840" s="52" t="n"/>
    </row>
    <row r="841" ht="19.5" customHeight="1" s="58">
      <c r="A841" s="62">
        <f>IF(G841="","",IF(G841=G840,"",COUNTIF($G$3:$G$976,G841)))</f>
        <v/>
      </c>
      <c r="B841" s="20" t="n"/>
      <c r="C841" s="63">
        <f>IF(G841="","",DAY(G841))</f>
        <v/>
      </c>
      <c r="D841" s="63">
        <f>IF(G841="","",MONTH(G841))</f>
        <v/>
      </c>
      <c r="E841" s="63">
        <f>IF(G841="","",YEAR(G841))</f>
        <v/>
      </c>
      <c r="F841" s="33">
        <f>IF(G841="","",CHOOSE(MONTH(G841),"Janeiro","Fevereiro","Março","Abril","Maio","Junho","Julho","Agosto","Setembro","Outubro","Novembro","Dezembro"))</f>
        <v/>
      </c>
      <c r="G841" s="64" t="n">
        <v>46079</v>
      </c>
      <c r="H841" s="65" t="n">
        <v>0.01722222222222222</v>
      </c>
      <c r="I841" s="66" t="inlineStr">
        <is>
          <t>https://docs.google.com/spreadsheets/d/1ZiCGoPjLCjuYvujDTXK9Ixbth3tekiLtFBzBrGjPCr4/edit?gid=0#gid=0</t>
        </is>
      </c>
      <c r="J841" s="67" t="inlineStr">
        <is>
          <t>Erro de Gps (Problema Técnico) - [GPS]</t>
        </is>
      </c>
      <c r="K841" s="67" t="inlineStr">
        <is>
          <t>Scout</t>
        </is>
      </c>
      <c r="L841" s="68" t="b">
        <v>0</v>
      </c>
      <c r="M841" s="20" t="n"/>
      <c r="N841" s="69">
        <f>IF($J841="","",IFERROR(INDEX(B!$F$2:$F$61,MATCH($J841,B!$E$2:$E$61,0))&amp;"",""))</f>
        <v/>
      </c>
      <c r="O841" s="69">
        <f>IF($J841="","",IFERROR(INDEX(B!$G$2:$G$61,MATCH($J841,B!$E$2:$E$61,0))&amp;"",""))</f>
        <v/>
      </c>
      <c r="P841" s="69">
        <f>IF($J841="","",IFERROR(INDEX(B!$H$2:$H$61,MATCH($J841,B!$E$2:$E$61,0))&amp;"",""))</f>
        <v/>
      </c>
      <c r="Q841" s="69">
        <f>IF($J841="","",IFERROR(INDEX(B!$I$2:$I$61,MATCH($J841,B!$E$2:$E$61,0))&amp;"",""))</f>
        <v/>
      </c>
      <c r="R841" s="69">
        <f>IF($J841="","",IFERROR(INDEX(B!$J$2:$J$61,MATCH($J841,B!$E$2:$E$61,0))&amp;"",""))</f>
        <v/>
      </c>
      <c r="S841" s="69">
        <f>IF($J841="","",IFERROR(INDEX(B!$K$2:$K$61,MATCH($J841,B!$E$2:$E$61,0))&amp;"",""))</f>
        <v/>
      </c>
      <c r="T841" s="69">
        <f>IF($J841="","",IFERROR(INDEX(B!$L$2:$L$61,MATCH($J841,B!$E$2:$E$61,0))&amp;"",""))</f>
        <v/>
      </c>
      <c r="U841" s="20" t="n"/>
      <c r="V841" s="70">
        <f>IF($J841="","",IFERROR(INDEX(B!$M$2:$M$61,MATCH($J841,B!$E$2:$E$61,0))&amp;"",""))</f>
        <v/>
      </c>
      <c r="W841" s="71">
        <f>IF(I841="","",IFERROR(MID(I841,FIND("/d/",I841)+3,FIND("/edit",I841)-FIND("/d/",I841)-3),I841))</f>
        <v/>
      </c>
      <c r="X841" s="71">
        <f>IF($J841="","",IFERROR(INDEX(B!$C$2:$C$61,MATCH($J841,B!$E$2:$E$61,0))&amp;"",""))</f>
        <v/>
      </c>
      <c r="Y841" s="20" t="n"/>
      <c r="Z841" s="72">
        <f>IF($J841="",FALSE,ISNUMBER(SEARCH("scout",$K841)))</f>
        <v/>
      </c>
      <c r="AA841" s="72">
        <f>IF($J841="",FALSE,IFERROR(INDEX(B!$N$2:$N$61,MATCH($J841,B!$E$2:$E$61,0))="Sim",FALSE))</f>
        <v/>
      </c>
      <c r="AB841" s="72">
        <f>IF($J841="",FALSE,LEFT($X841,2)="XX")</f>
        <v/>
      </c>
      <c r="AC841" s="72">
        <f>IF($J841="",FALSE,IFERROR(INDEX(B!$P$2:$P$61,MATCH($J841,B!$E$2:$E$61,0))="Sim",FALSE))</f>
        <v/>
      </c>
      <c r="AD841" s="20" t="n"/>
      <c r="AE841" s="52">
        <f>IF(H841="","",HOUR(H841))</f>
        <v/>
      </c>
      <c r="AF841" s="52" t="n"/>
    </row>
    <row r="842" ht="19.5" customHeight="1" s="58">
      <c r="A842" s="62">
        <f>IF(G842="","",IF(G842=G841,"",COUNTIF($G$3:$G$976,G842)))</f>
        <v/>
      </c>
      <c r="B842" s="20" t="n"/>
      <c r="C842" s="63">
        <f>IF(G842="","",DAY(G842))</f>
        <v/>
      </c>
      <c r="D842" s="63">
        <f>IF(G842="","",MONTH(G842))</f>
        <v/>
      </c>
      <c r="E842" s="63">
        <f>IF(G842="","",YEAR(G842))</f>
        <v/>
      </c>
      <c r="F842" s="33">
        <f>IF(G842="","",CHOOSE(MONTH(G842),"Janeiro","Fevereiro","Março","Abril","Maio","Junho","Julho","Agosto","Setembro","Outubro","Novembro","Dezembro"))</f>
        <v/>
      </c>
      <c r="G842" s="64" t="n">
        <v>46079</v>
      </c>
      <c r="H842" s="65" t="n">
        <v>0.02888888888888889</v>
      </c>
      <c r="I842" s="66" t="inlineStr">
        <is>
          <t>https://docs.google.com/spreadsheets/d/1ZiCGoPjLCjuYvujDTXK9Ixbth3tekiLtFBzBrGjPCr4/edit?gid=0#gid=0</t>
        </is>
      </c>
      <c r="J842" s="67" t="inlineStr">
        <is>
          <t>Pushback - [XX]</t>
        </is>
      </c>
      <c r="K842" s="67" t="inlineStr"/>
      <c r="L842" s="68" t="b">
        <v>0</v>
      </c>
      <c r="M842" s="20" t="n"/>
      <c r="N842" s="69">
        <f>IF($J842="","",IFERROR(INDEX(B!$F$2:$F$61,MATCH($J842,B!$E$2:$E$61,0))&amp;"",""))</f>
        <v/>
      </c>
      <c r="O842" s="69">
        <f>IF($J842="","",IFERROR(INDEX(B!$G$2:$G$61,MATCH($J842,B!$E$2:$E$61,0))&amp;"",""))</f>
        <v/>
      </c>
      <c r="P842" s="69">
        <f>IF($J842="","",IFERROR(INDEX(B!$H$2:$H$61,MATCH($J842,B!$E$2:$E$61,0))&amp;"",""))</f>
        <v/>
      </c>
      <c r="Q842" s="69">
        <f>IF($J842="","",IFERROR(INDEX(B!$I$2:$I$61,MATCH($J842,B!$E$2:$E$61,0))&amp;"",""))</f>
        <v/>
      </c>
      <c r="R842" s="69">
        <f>IF($J842="","",IFERROR(INDEX(B!$J$2:$J$61,MATCH($J842,B!$E$2:$E$61,0))&amp;"",""))</f>
        <v/>
      </c>
      <c r="S842" s="69">
        <f>IF($J842="","",IFERROR(INDEX(B!$K$2:$K$61,MATCH($J842,B!$E$2:$E$61,0))&amp;"",""))</f>
        <v/>
      </c>
      <c r="T842" s="69">
        <f>IF($J842="","",IFERROR(INDEX(B!$L$2:$L$61,MATCH($J842,B!$E$2:$E$61,0))&amp;"",""))</f>
        <v/>
      </c>
      <c r="U842" s="20" t="n"/>
      <c r="V842" s="70">
        <f>IF($J842="","",IFERROR(INDEX(B!$M$2:$M$61,MATCH($J842,B!$E$2:$E$61,0))&amp;"",""))</f>
        <v/>
      </c>
      <c r="W842" s="71">
        <f>IF(I842="","",IFERROR(MID(I842,FIND("/d/",I842)+3,FIND("/edit",I842)-FIND("/d/",I842)-3),I842))</f>
        <v/>
      </c>
      <c r="X842" s="71">
        <f>IF($J842="","",IFERROR(INDEX(B!$C$2:$C$61,MATCH($J842,B!$E$2:$E$61,0))&amp;"",""))</f>
        <v/>
      </c>
      <c r="Y842" s="20" t="n"/>
      <c r="Z842" s="72">
        <f>IF($J842="",FALSE,ISNUMBER(SEARCH("scout",$K842)))</f>
        <v/>
      </c>
      <c r="AA842" s="72">
        <f>IF($J842="",FALSE,IFERROR(INDEX(B!$N$2:$N$61,MATCH($J842,B!$E$2:$E$61,0))="Sim",FALSE))</f>
        <v/>
      </c>
      <c r="AB842" s="72">
        <f>IF($J842="",FALSE,LEFT($X842,2)="XX")</f>
        <v/>
      </c>
      <c r="AC842" s="72">
        <f>IF($J842="",FALSE,IFERROR(INDEX(B!$P$2:$P$61,MATCH($J842,B!$E$2:$E$61,0))="Sim",FALSE))</f>
        <v/>
      </c>
      <c r="AD842" s="20" t="n"/>
      <c r="AE842" s="52">
        <f>IF(H842="","",HOUR(H842))</f>
        <v/>
      </c>
      <c r="AF842" s="52" t="n"/>
    </row>
    <row r="843" ht="19.5" customHeight="1" s="58">
      <c r="A843" s="62">
        <f>IF(G843="","",IF(G843=G842,"",COUNTIF($G$3:$G$976,G843)))</f>
        <v/>
      </c>
      <c r="B843" s="20" t="n"/>
      <c r="C843" s="63">
        <f>IF(G843="","",DAY(G843))</f>
        <v/>
      </c>
      <c r="D843" s="63">
        <f>IF(G843="","",MONTH(G843))</f>
        <v/>
      </c>
      <c r="E843" s="63">
        <f>IF(G843="","",YEAR(G843))</f>
        <v/>
      </c>
      <c r="F843" s="33">
        <f>IF(G843="","",CHOOSE(MONTH(G843),"Janeiro","Fevereiro","Março","Abril","Maio","Junho","Julho","Agosto","Setembro","Outubro","Novembro","Dezembro"))</f>
        <v/>
      </c>
      <c r="G843" s="64" t="n">
        <v>46079</v>
      </c>
      <c r="H843" s="65" t="n">
        <v>0.03015046296296296</v>
      </c>
      <c r="I843" s="66" t="inlineStr">
        <is>
          <t>https://docs.google.com/spreadsheets/d/1ZiCGoPjLCjuYvujDTXK9Ixbth3tekiLtFBzBrGjPCr4/edit?gid=0#gid=0</t>
        </is>
      </c>
      <c r="J843" s="67" t="inlineStr">
        <is>
          <t>Mais informações Gerais - [AA]</t>
        </is>
      </c>
      <c r="K843" s="67" t="inlineStr"/>
      <c r="L843" s="68" t="b">
        <v>1</v>
      </c>
      <c r="M843" s="20" t="n"/>
      <c r="N843" s="69">
        <f>IF($J843="","",IFERROR(INDEX(B!$F$2:$F$61,MATCH($J843,B!$E$2:$E$61,0))&amp;"",""))</f>
        <v/>
      </c>
      <c r="O843" s="69">
        <f>IF($J843="","",IFERROR(INDEX(B!$G$2:$G$61,MATCH($J843,B!$E$2:$E$61,0))&amp;"",""))</f>
        <v/>
      </c>
      <c r="P843" s="69">
        <f>IF($J843="","",IFERROR(INDEX(B!$H$2:$H$61,MATCH($J843,B!$E$2:$E$61,0))&amp;"",""))</f>
        <v/>
      </c>
      <c r="Q843" s="69">
        <f>IF($J843="","",IFERROR(INDEX(B!$I$2:$I$61,MATCH($J843,B!$E$2:$E$61,0))&amp;"",""))</f>
        <v/>
      </c>
      <c r="R843" s="69">
        <f>IF($J843="","",IFERROR(INDEX(B!$J$2:$J$61,MATCH($J843,B!$E$2:$E$61,0))&amp;"",""))</f>
        <v/>
      </c>
      <c r="S843" s="69">
        <f>IF($J843="","",IFERROR(INDEX(B!$K$2:$K$61,MATCH($J843,B!$E$2:$E$61,0))&amp;"",""))</f>
        <v/>
      </c>
      <c r="T843" s="69">
        <f>IF($J843="","",IFERROR(INDEX(B!$L$2:$L$61,MATCH($J843,B!$E$2:$E$61,0))&amp;"",""))</f>
        <v/>
      </c>
      <c r="U843" s="20" t="n"/>
      <c r="V843" s="70">
        <f>IF($J843="","",IFERROR(INDEX(B!$M$2:$M$61,MATCH($J843,B!$E$2:$E$61,0))&amp;"",""))</f>
        <v/>
      </c>
      <c r="W843" s="71">
        <f>IF(I843="","",IFERROR(MID(I843,FIND("/d/",I843)+3,FIND("/edit",I843)-FIND("/d/",I843)-3),I843))</f>
        <v/>
      </c>
      <c r="X843" s="71">
        <f>IF($J843="","",IFERROR(INDEX(B!$C$2:$C$61,MATCH($J843,B!$E$2:$E$61,0))&amp;"",""))</f>
        <v/>
      </c>
      <c r="Y843" s="20" t="n"/>
      <c r="Z843" s="72">
        <f>IF($J843="",FALSE,ISNUMBER(SEARCH("scout",$K843)))</f>
        <v/>
      </c>
      <c r="AA843" s="72">
        <f>IF($J843="",FALSE,IFERROR(INDEX(B!$N$2:$N$61,MATCH($J843,B!$E$2:$E$61,0))="Sim",FALSE))</f>
        <v/>
      </c>
      <c r="AB843" s="72">
        <f>IF($J843="",FALSE,LEFT($X843,2)="XX")</f>
        <v/>
      </c>
      <c r="AC843" s="72">
        <f>IF($J843="",FALSE,IFERROR(INDEX(B!$P$2:$P$61,MATCH($J843,B!$E$2:$E$61,0))="Sim",FALSE))</f>
        <v/>
      </c>
      <c r="AD843" s="20" t="n"/>
      <c r="AE843" s="52">
        <f>IF(H843="","",HOUR(H843))</f>
        <v/>
      </c>
      <c r="AF843" s="52" t="n"/>
    </row>
    <row r="844" ht="19.5" customHeight="1" s="58">
      <c r="A844" s="62">
        <f>IF(G844="","",IF(G844=G843,"",COUNTIF($G$3:$G$976,G844)))</f>
        <v/>
      </c>
      <c r="B844" s="20" t="n"/>
      <c r="C844" s="63">
        <f>IF(G844="","",DAY(G844))</f>
        <v/>
      </c>
      <c r="D844" s="63">
        <f>IF(G844="","",MONTH(G844))</f>
        <v/>
      </c>
      <c r="E844" s="63">
        <f>IF(G844="","",YEAR(G844))</f>
        <v/>
      </c>
      <c r="F844" s="33">
        <f>IF(G844="","",CHOOSE(MONTH(G844),"Janeiro","Fevereiro","Março","Abril","Maio","Junho","Julho","Agosto","Setembro","Outubro","Novembro","Dezembro"))</f>
        <v/>
      </c>
      <c r="G844" s="64" t="n">
        <v>46079</v>
      </c>
      <c r="H844" s="65" t="n">
        <v>0.03403935185185185</v>
      </c>
      <c r="I844" s="66" t="inlineStr">
        <is>
          <t>https://docs.google.com/spreadsheets/d/1ZiCGoPjLCjuYvujDTXK9Ixbth3tekiLtFBzBrGjPCr4/edit?gid=0#gid=0</t>
        </is>
      </c>
      <c r="J844" s="67" t="inlineStr">
        <is>
          <t>Pushback (Agradecimento) - [XXA]</t>
        </is>
      </c>
      <c r="K844" s="67" t="inlineStr"/>
      <c r="L844" s="68" t="b">
        <v>0</v>
      </c>
      <c r="M844" s="20" t="n"/>
      <c r="N844" s="69">
        <f>IF($J844="","",IFERROR(INDEX(B!$F$2:$F$61,MATCH($J844,B!$E$2:$E$61,0))&amp;"",""))</f>
        <v/>
      </c>
      <c r="O844" s="69">
        <f>IF($J844="","",IFERROR(INDEX(B!$G$2:$G$61,MATCH($J844,B!$E$2:$E$61,0))&amp;"",""))</f>
        <v/>
      </c>
      <c r="P844" s="69">
        <f>IF($J844="","",IFERROR(INDEX(B!$H$2:$H$61,MATCH($J844,B!$E$2:$E$61,0))&amp;"",""))</f>
        <v/>
      </c>
      <c r="Q844" s="69">
        <f>IF($J844="","",IFERROR(INDEX(B!$I$2:$I$61,MATCH($J844,B!$E$2:$E$61,0))&amp;"",""))</f>
        <v/>
      </c>
      <c r="R844" s="69">
        <f>IF($J844="","",IFERROR(INDEX(B!$J$2:$J$61,MATCH($J844,B!$E$2:$E$61,0))&amp;"",""))</f>
        <v/>
      </c>
      <c r="S844" s="69">
        <f>IF($J844="","",IFERROR(INDEX(B!$K$2:$K$61,MATCH($J844,B!$E$2:$E$61,0))&amp;"",""))</f>
        <v/>
      </c>
      <c r="T844" s="69">
        <f>IF($J844="","",IFERROR(INDEX(B!$L$2:$L$61,MATCH($J844,B!$E$2:$E$61,0))&amp;"",""))</f>
        <v/>
      </c>
      <c r="U844" s="20" t="n"/>
      <c r="V844" s="70">
        <f>IF($J844="","",IFERROR(INDEX(B!$M$2:$M$61,MATCH($J844,B!$E$2:$E$61,0))&amp;"",""))</f>
        <v/>
      </c>
      <c r="W844" s="71">
        <f>IF(I844="","",IFERROR(MID(I844,FIND("/d/",I844)+3,FIND("/edit",I844)-FIND("/d/",I844)-3),I844))</f>
        <v/>
      </c>
      <c r="X844" s="71">
        <f>IF($J844="","",IFERROR(INDEX(B!$C$2:$C$61,MATCH($J844,B!$E$2:$E$61,0))&amp;"",""))</f>
        <v/>
      </c>
      <c r="Y844" s="20" t="n"/>
      <c r="Z844" s="72">
        <f>IF($J844="",FALSE,ISNUMBER(SEARCH("scout",$K844)))</f>
        <v/>
      </c>
      <c r="AA844" s="72">
        <f>IF($J844="",FALSE,IFERROR(INDEX(B!$N$2:$N$61,MATCH($J844,B!$E$2:$E$61,0))="Sim",FALSE))</f>
        <v/>
      </c>
      <c r="AB844" s="72">
        <f>IF($J844="",FALSE,LEFT($X844,2)="XX")</f>
        <v/>
      </c>
      <c r="AC844" s="72">
        <f>IF($J844="",FALSE,IFERROR(INDEX(B!$P$2:$P$61,MATCH($J844,B!$E$2:$E$61,0))="Sim",FALSE))</f>
        <v/>
      </c>
      <c r="AD844" s="20" t="n"/>
      <c r="AE844" s="52">
        <f>IF(H844="","",HOUR(H844))</f>
        <v/>
      </c>
      <c r="AF844" s="52" t="n"/>
    </row>
    <row r="845" ht="19.5" customHeight="1" s="58">
      <c r="A845" s="62">
        <f>IF(G845="","",IF(G845=G844,"",COUNTIF($G$3:$G$976,G845)))</f>
        <v/>
      </c>
      <c r="B845" s="20" t="n"/>
      <c r="C845" s="63">
        <f>IF(G845="","",DAY(G845))</f>
        <v/>
      </c>
      <c r="D845" s="63">
        <f>IF(G845="","",MONTH(G845))</f>
        <v/>
      </c>
      <c r="E845" s="63">
        <f>IF(G845="","",YEAR(G845))</f>
        <v/>
      </c>
      <c r="F845" s="33">
        <f>IF(G845="","",CHOOSE(MONTH(G845),"Janeiro","Fevereiro","Março","Abril","Maio","Junho","Julho","Agosto","Setembro","Outubro","Novembro","Dezembro"))</f>
        <v/>
      </c>
      <c r="G845" s="64" t="n">
        <v>46079</v>
      </c>
      <c r="H845" s="65" t="n">
        <v>0.0353125</v>
      </c>
      <c r="I845" s="66" t="inlineStr">
        <is>
          <t>https://docs.google.com/spreadsheets/d/1ZiCGoPjLCjuYvujDTXK9Ixbth3tekiLtFBzBrGjPCr4/edit?gid=0#gid=0</t>
        </is>
      </c>
      <c r="J845" s="67" t="inlineStr">
        <is>
          <t>Outros Valores Retidos (Pedágio, Cartão, Taxa de Cancelamento...) - [OTV]</t>
        </is>
      </c>
      <c r="K845" s="67" t="inlineStr"/>
      <c r="L845" s="68" t="b">
        <v>0</v>
      </c>
      <c r="M845" s="20" t="n"/>
      <c r="N845" s="69">
        <f>IF($J845="","",IFERROR(INDEX(B!$F$2:$F$61,MATCH($J845,B!$E$2:$E$61,0))&amp;"",""))</f>
        <v/>
      </c>
      <c r="O845" s="69">
        <f>IF($J845="","",IFERROR(INDEX(B!$G$2:$G$61,MATCH($J845,B!$E$2:$E$61,0))&amp;"",""))</f>
        <v/>
      </c>
      <c r="P845" s="69">
        <f>IF($J845="","",IFERROR(INDEX(B!$H$2:$H$61,MATCH($J845,B!$E$2:$E$61,0))&amp;"",""))</f>
        <v/>
      </c>
      <c r="Q845" s="69">
        <f>IF($J845="","",IFERROR(INDEX(B!$I$2:$I$61,MATCH($J845,B!$E$2:$E$61,0))&amp;"",""))</f>
        <v/>
      </c>
      <c r="R845" s="69">
        <f>IF($J845="","",IFERROR(INDEX(B!$J$2:$J$61,MATCH($J845,B!$E$2:$E$61,0))&amp;"",""))</f>
        <v/>
      </c>
      <c r="S845" s="69">
        <f>IF($J845="","",IFERROR(INDEX(B!$K$2:$K$61,MATCH($J845,B!$E$2:$E$61,0))&amp;"",""))</f>
        <v/>
      </c>
      <c r="T845" s="69">
        <f>IF($J845="","",IFERROR(INDEX(B!$L$2:$L$61,MATCH($J845,B!$E$2:$E$61,0))&amp;"",""))</f>
        <v/>
      </c>
      <c r="U845" s="20" t="n"/>
      <c r="V845" s="70">
        <f>IF($J845="","",IFERROR(INDEX(B!$M$2:$M$61,MATCH($J845,B!$E$2:$E$61,0))&amp;"",""))</f>
        <v/>
      </c>
      <c r="W845" s="71">
        <f>IF(I845="","",IFERROR(MID(I845,FIND("/d/",I845)+3,FIND("/edit",I845)-FIND("/d/",I845)-3),I845))</f>
        <v/>
      </c>
      <c r="X845" s="71">
        <f>IF($J845="","",IFERROR(INDEX(B!$C$2:$C$61,MATCH($J845,B!$E$2:$E$61,0))&amp;"",""))</f>
        <v/>
      </c>
      <c r="Y845" s="20" t="n"/>
      <c r="Z845" s="72">
        <f>IF($J845="",FALSE,ISNUMBER(SEARCH("scout",$K845)))</f>
        <v/>
      </c>
      <c r="AA845" s="72">
        <f>IF($J845="",FALSE,IFERROR(INDEX(B!$N$2:$N$61,MATCH($J845,B!$E$2:$E$61,0))="Sim",FALSE))</f>
        <v/>
      </c>
      <c r="AB845" s="72">
        <f>IF($J845="",FALSE,LEFT($X845,2)="XX")</f>
        <v/>
      </c>
      <c r="AC845" s="72">
        <f>IF($J845="",FALSE,IFERROR(INDEX(B!$P$2:$P$61,MATCH($J845,B!$E$2:$E$61,0))="Sim",FALSE))</f>
        <v/>
      </c>
      <c r="AD845" s="20" t="n"/>
      <c r="AE845" s="52">
        <f>IF(H845="","",HOUR(H845))</f>
        <v/>
      </c>
      <c r="AF845" s="52" t="n"/>
    </row>
    <row r="846" ht="19.5" customHeight="1" s="58">
      <c r="A846" s="62">
        <f>IF(G846="","",IF(G846=G845,"",COUNTIF($G$3:$G$976,G846)))</f>
        <v/>
      </c>
      <c r="B846" s="20" t="n"/>
      <c r="C846" s="63">
        <f>IF(G846="","",DAY(G846))</f>
        <v/>
      </c>
      <c r="D846" s="63">
        <f>IF(G846="","",MONTH(G846))</f>
        <v/>
      </c>
      <c r="E846" s="63">
        <f>IF(G846="","",YEAR(G846))</f>
        <v/>
      </c>
      <c r="F846" s="33">
        <f>IF(G846="","",CHOOSE(MONTH(G846),"Janeiro","Fevereiro","Março","Abril","Maio","Junho","Julho","Agosto","Setembro","Outubro","Novembro","Dezembro"))</f>
        <v/>
      </c>
      <c r="G846" s="64" t="n">
        <v>46079</v>
      </c>
      <c r="H846" s="65" t="n">
        <v>0.04064814814814815</v>
      </c>
      <c r="I846" s="66" t="inlineStr">
        <is>
          <t>https://docs.google.com/spreadsheets/d/1ZiCGoPjLCjuYvujDTXK9Ixbth3tekiLtFBzBrGjPCr4/edit?gid=0#gid=0</t>
        </is>
      </c>
      <c r="J846" s="67" t="inlineStr">
        <is>
          <t>Erro de Gps (Problema Técnico) - [GPS]</t>
        </is>
      </c>
      <c r="K846" s="67" t="inlineStr"/>
      <c r="L846" s="68" t="b">
        <v>0</v>
      </c>
      <c r="M846" s="20" t="n"/>
      <c r="N846" s="69">
        <f>IF($J846="","",IFERROR(INDEX(B!$F$2:$F$61,MATCH($J846,B!$E$2:$E$61,0))&amp;"",""))</f>
        <v/>
      </c>
      <c r="O846" s="69">
        <f>IF($J846="","",IFERROR(INDEX(B!$G$2:$G$61,MATCH($J846,B!$E$2:$E$61,0))&amp;"",""))</f>
        <v/>
      </c>
      <c r="P846" s="69">
        <f>IF($J846="","",IFERROR(INDEX(B!$H$2:$H$61,MATCH($J846,B!$E$2:$E$61,0))&amp;"",""))</f>
        <v/>
      </c>
      <c r="Q846" s="69">
        <f>IF($J846="","",IFERROR(INDEX(B!$I$2:$I$61,MATCH($J846,B!$E$2:$E$61,0))&amp;"",""))</f>
        <v/>
      </c>
      <c r="R846" s="69">
        <f>IF($J846="","",IFERROR(INDEX(B!$J$2:$J$61,MATCH($J846,B!$E$2:$E$61,0))&amp;"",""))</f>
        <v/>
      </c>
      <c r="S846" s="69">
        <f>IF($J846="","",IFERROR(INDEX(B!$K$2:$K$61,MATCH($J846,B!$E$2:$E$61,0))&amp;"",""))</f>
        <v/>
      </c>
      <c r="T846" s="69">
        <f>IF($J846="","",IFERROR(INDEX(B!$L$2:$L$61,MATCH($J846,B!$E$2:$E$61,0))&amp;"",""))</f>
        <v/>
      </c>
      <c r="U846" s="20" t="n"/>
      <c r="V846" s="70">
        <f>IF($J846="","",IFERROR(INDEX(B!$M$2:$M$61,MATCH($J846,B!$E$2:$E$61,0))&amp;"",""))</f>
        <v/>
      </c>
      <c r="W846" s="71">
        <f>IF(I846="","",IFERROR(MID(I846,FIND("/d/",I846)+3,FIND("/edit",I846)-FIND("/d/",I846)-3),I846))</f>
        <v/>
      </c>
      <c r="X846" s="71">
        <f>IF($J846="","",IFERROR(INDEX(B!$C$2:$C$61,MATCH($J846,B!$E$2:$E$61,0))&amp;"",""))</f>
        <v/>
      </c>
      <c r="Y846" s="20" t="n"/>
      <c r="Z846" s="72">
        <f>IF($J846="",FALSE,ISNUMBER(SEARCH("scout",$K846)))</f>
        <v/>
      </c>
      <c r="AA846" s="72">
        <f>IF($J846="",FALSE,IFERROR(INDEX(B!$N$2:$N$61,MATCH($J846,B!$E$2:$E$61,0))="Sim",FALSE))</f>
        <v/>
      </c>
      <c r="AB846" s="72">
        <f>IF($J846="",FALSE,LEFT($X846,2)="XX")</f>
        <v/>
      </c>
      <c r="AC846" s="72">
        <f>IF($J846="",FALSE,IFERROR(INDEX(B!$P$2:$P$61,MATCH($J846,B!$E$2:$E$61,0))="Sim",FALSE))</f>
        <v/>
      </c>
      <c r="AD846" s="20" t="n"/>
      <c r="AE846" s="52">
        <f>IF(H846="","",HOUR(H846))</f>
        <v/>
      </c>
      <c r="AF846" s="52" t="n"/>
    </row>
    <row r="847" ht="19.5" customHeight="1" s="58">
      <c r="A847" s="62">
        <f>IF(G847="","",IF(G847=G846,"",COUNTIF($G$3:$G$976,G847)))</f>
        <v/>
      </c>
      <c r="B847" s="20" t="n"/>
      <c r="C847" s="63">
        <f>IF(G847="","",DAY(G847))</f>
        <v/>
      </c>
      <c r="D847" s="63">
        <f>IF(G847="","",MONTH(G847))</f>
        <v/>
      </c>
      <c r="E847" s="63">
        <f>IF(G847="","",YEAR(G847))</f>
        <v/>
      </c>
      <c r="F847" s="33">
        <f>IF(G847="","",CHOOSE(MONTH(G847),"Janeiro","Fevereiro","Março","Abril","Maio","Junho","Julho","Agosto","Setembro","Outubro","Novembro","Dezembro"))</f>
        <v/>
      </c>
      <c r="G847" s="64" t="n">
        <v>46079</v>
      </c>
      <c r="H847" s="65" t="n">
        <v>0.05127314814814815</v>
      </c>
      <c r="I847" s="66" t="inlineStr">
        <is>
          <t>https://docs.google.com/spreadsheets/d/1ZiCGoPjLCjuYvujDTXK9Ixbth3tekiLtFBzBrGjPCr4/edit?gid=0#gid=0</t>
        </is>
      </c>
      <c r="J847" s="67" t="inlineStr">
        <is>
          <t>Transferência de LOB (Driver) - [TIDV]</t>
        </is>
      </c>
      <c r="K847" s="67" t="inlineStr">
        <is>
          <t>Scout</t>
        </is>
      </c>
      <c r="L847" s="68" t="b">
        <v>0</v>
      </c>
      <c r="M847" s="20" t="n"/>
      <c r="N847" s="69">
        <f>IF($J847="","",IFERROR(INDEX(B!$F$2:$F$61,MATCH($J847,B!$E$2:$E$61,0))&amp;"",""))</f>
        <v/>
      </c>
      <c r="O847" s="69">
        <f>IF($J847="","",IFERROR(INDEX(B!$G$2:$G$61,MATCH($J847,B!$E$2:$E$61,0))&amp;"",""))</f>
        <v/>
      </c>
      <c r="P847" s="69">
        <f>IF($J847="","",IFERROR(INDEX(B!$H$2:$H$61,MATCH($J847,B!$E$2:$E$61,0))&amp;"",""))</f>
        <v/>
      </c>
      <c r="Q847" s="69">
        <f>IF($J847="","",IFERROR(INDEX(B!$I$2:$I$61,MATCH($J847,B!$E$2:$E$61,0))&amp;"",""))</f>
        <v/>
      </c>
      <c r="R847" s="69">
        <f>IF($J847="","",IFERROR(INDEX(B!$J$2:$J$61,MATCH($J847,B!$E$2:$E$61,0))&amp;"",""))</f>
        <v/>
      </c>
      <c r="S847" s="69">
        <f>IF($J847="","",IFERROR(INDEX(B!$K$2:$K$61,MATCH($J847,B!$E$2:$E$61,0))&amp;"",""))</f>
        <v/>
      </c>
      <c r="T847" s="69">
        <f>IF($J847="","",IFERROR(INDEX(B!$L$2:$L$61,MATCH($J847,B!$E$2:$E$61,0))&amp;"",""))</f>
        <v/>
      </c>
      <c r="U847" s="20" t="n"/>
      <c r="V847" s="70">
        <f>IF($J847="","",IFERROR(INDEX(B!$M$2:$M$61,MATCH($J847,B!$E$2:$E$61,0))&amp;"",""))</f>
        <v/>
      </c>
      <c r="W847" s="71">
        <f>IF(I847="","",IFERROR(MID(I847,FIND("/d/",I847)+3,FIND("/edit",I847)-FIND("/d/",I847)-3),I847))</f>
        <v/>
      </c>
      <c r="X847" s="71">
        <f>IF($J847="","",IFERROR(INDEX(B!$C$2:$C$61,MATCH($J847,B!$E$2:$E$61,0))&amp;"",""))</f>
        <v/>
      </c>
      <c r="Y847" s="20" t="n"/>
      <c r="Z847" s="72">
        <f>IF($J847="",FALSE,ISNUMBER(SEARCH("scout",$K847)))</f>
        <v/>
      </c>
      <c r="AA847" s="72">
        <f>IF($J847="",FALSE,IFERROR(INDEX(B!$N$2:$N$61,MATCH($J847,B!$E$2:$E$61,0))="Sim",FALSE))</f>
        <v/>
      </c>
      <c r="AB847" s="72">
        <f>IF($J847="",FALSE,LEFT($X847,2)="XX")</f>
        <v/>
      </c>
      <c r="AC847" s="72">
        <f>IF($J847="",FALSE,IFERROR(INDEX(B!$P$2:$P$61,MATCH($J847,B!$E$2:$E$61,0))="Sim",FALSE))</f>
        <v/>
      </c>
      <c r="AD847" s="20" t="n"/>
      <c r="AE847" s="52">
        <f>IF(H847="","",HOUR(H847))</f>
        <v/>
      </c>
      <c r="AF847" s="52" t="n"/>
    </row>
    <row r="848" ht="19.5" customHeight="1" s="58">
      <c r="A848" s="62">
        <f>IF(G848="","",IF(G848=G847,"",COUNTIF($G$3:$G$976,G848)))</f>
        <v/>
      </c>
      <c r="B848" s="20" t="n"/>
      <c r="C848" s="63">
        <f>IF(G848="","",DAY(G848))</f>
        <v/>
      </c>
      <c r="D848" s="63">
        <f>IF(G848="","",MONTH(G848))</f>
        <v/>
      </c>
      <c r="E848" s="63">
        <f>IF(G848="","",YEAR(G848))</f>
        <v/>
      </c>
      <c r="F848" s="33">
        <f>IF(G848="","",CHOOSE(MONTH(G848),"Janeiro","Fevereiro","Março","Abril","Maio","Junho","Julho","Agosto","Setembro","Outubro","Novembro","Dezembro"))</f>
        <v/>
      </c>
      <c r="G848" s="64" t="n">
        <v>46079</v>
      </c>
      <c r="H848" s="65" t="n">
        <v>0.05379629629629629</v>
      </c>
      <c r="I848" s="66" t="inlineStr">
        <is>
          <t>https://docs.google.com/spreadsheets/d/1ZiCGoPjLCjuYvujDTXK9Ixbth3tekiLtFBzBrGjPCr4/edit?gid=0#gid=0</t>
        </is>
      </c>
      <c r="J848" s="67" t="inlineStr">
        <is>
          <t>Transferência de LOB (Safety) - [TIST]</t>
        </is>
      </c>
      <c r="K848" s="67" t="inlineStr"/>
      <c r="L848" s="68" t="b">
        <v>0</v>
      </c>
      <c r="M848" s="20" t="n"/>
      <c r="N848" s="69">
        <f>IF($J848="","",IFERROR(INDEX(B!$F$2:$F$61,MATCH($J848,B!$E$2:$E$61,0))&amp;"",""))</f>
        <v/>
      </c>
      <c r="O848" s="69">
        <f>IF($J848="","",IFERROR(INDEX(B!$G$2:$G$61,MATCH($J848,B!$E$2:$E$61,0))&amp;"",""))</f>
        <v/>
      </c>
      <c r="P848" s="69">
        <f>IF($J848="","",IFERROR(INDEX(B!$H$2:$H$61,MATCH($J848,B!$E$2:$E$61,0))&amp;"",""))</f>
        <v/>
      </c>
      <c r="Q848" s="69">
        <f>IF($J848="","",IFERROR(INDEX(B!$I$2:$I$61,MATCH($J848,B!$E$2:$E$61,0))&amp;"",""))</f>
        <v/>
      </c>
      <c r="R848" s="69">
        <f>IF($J848="","",IFERROR(INDEX(B!$J$2:$J$61,MATCH($J848,B!$E$2:$E$61,0))&amp;"",""))</f>
        <v/>
      </c>
      <c r="S848" s="69">
        <f>IF($J848="","",IFERROR(INDEX(B!$K$2:$K$61,MATCH($J848,B!$E$2:$E$61,0))&amp;"",""))</f>
        <v/>
      </c>
      <c r="T848" s="69">
        <f>IF($J848="","",IFERROR(INDEX(B!$L$2:$L$61,MATCH($J848,B!$E$2:$E$61,0))&amp;"",""))</f>
        <v/>
      </c>
      <c r="U848" s="20" t="n"/>
      <c r="V848" s="70">
        <f>IF($J848="","",IFERROR(INDEX(B!$M$2:$M$61,MATCH($J848,B!$E$2:$E$61,0))&amp;"",""))</f>
        <v/>
      </c>
      <c r="W848" s="71">
        <f>IF(I848="","",IFERROR(MID(I848,FIND("/d/",I848)+3,FIND("/edit",I848)-FIND("/d/",I848)-3),I848))</f>
        <v/>
      </c>
      <c r="X848" s="71">
        <f>IF($J848="","",IFERROR(INDEX(B!$C$2:$C$61,MATCH($J848,B!$E$2:$E$61,0))&amp;"",""))</f>
        <v/>
      </c>
      <c r="Y848" s="20" t="n"/>
      <c r="Z848" s="72">
        <f>IF($J848="",FALSE,ISNUMBER(SEARCH("scout",$K848)))</f>
        <v/>
      </c>
      <c r="AA848" s="72">
        <f>IF($J848="",FALSE,IFERROR(INDEX(B!$N$2:$N$61,MATCH($J848,B!$E$2:$E$61,0))="Sim",FALSE))</f>
        <v/>
      </c>
      <c r="AB848" s="72">
        <f>IF($J848="",FALSE,LEFT($X848,2)="XX")</f>
        <v/>
      </c>
      <c r="AC848" s="72">
        <f>IF($J848="",FALSE,IFERROR(INDEX(B!$P$2:$P$61,MATCH($J848,B!$E$2:$E$61,0))="Sim",FALSE))</f>
        <v/>
      </c>
      <c r="AD848" s="20" t="n"/>
      <c r="AE848" s="52">
        <f>IF(H848="","",HOUR(H848))</f>
        <v/>
      </c>
      <c r="AF848" s="52" t="n"/>
    </row>
    <row r="849" ht="19.5" customHeight="1" s="58">
      <c r="A849" s="62">
        <f>IF(G849="","",IF(G849=G848,"",COUNTIF($G$3:$G$976,G849)))</f>
        <v/>
      </c>
      <c r="B849" s="20" t="n"/>
      <c r="C849" s="63">
        <f>IF(G849="","",DAY(G849))</f>
        <v/>
      </c>
      <c r="D849" s="63">
        <f>IF(G849="","",MONTH(G849))</f>
        <v/>
      </c>
      <c r="E849" s="63">
        <f>IF(G849="","",YEAR(G849))</f>
        <v/>
      </c>
      <c r="F849" s="33">
        <f>IF(G849="","",CHOOSE(MONTH(G849),"Janeiro","Fevereiro","Março","Abril","Maio","Junho","Julho","Agosto","Setembro","Outubro","Novembro","Dezembro"))</f>
        <v/>
      </c>
      <c r="G849" s="64" t="n">
        <v>46079</v>
      </c>
      <c r="H849" s="65" t="n">
        <v>0.05708333333333333</v>
      </c>
      <c r="I849" s="66" t="inlineStr">
        <is>
          <t>https://docs.google.com/spreadsheets/d/1ZiCGoPjLCjuYvujDTXK9Ixbth3tekiLtFBzBrGjPCr4/edit?gid=0#gid=0</t>
        </is>
      </c>
      <c r="J849" s="67" t="inlineStr">
        <is>
          <t>Trajeto Ruim - [TR]</t>
        </is>
      </c>
      <c r="K849" s="67" t="inlineStr"/>
      <c r="L849" s="68" t="b">
        <v>0</v>
      </c>
      <c r="M849" s="20" t="n"/>
      <c r="N849" s="69">
        <f>IF($J849="","",IFERROR(INDEX(B!$F$2:$F$61,MATCH($J849,B!$E$2:$E$61,0))&amp;"",""))</f>
        <v/>
      </c>
      <c r="O849" s="69">
        <f>IF($J849="","",IFERROR(INDEX(B!$G$2:$G$61,MATCH($J849,B!$E$2:$E$61,0))&amp;"",""))</f>
        <v/>
      </c>
      <c r="P849" s="69">
        <f>IF($J849="","",IFERROR(INDEX(B!$H$2:$H$61,MATCH($J849,B!$E$2:$E$61,0))&amp;"",""))</f>
        <v/>
      </c>
      <c r="Q849" s="69">
        <f>IF($J849="","",IFERROR(INDEX(B!$I$2:$I$61,MATCH($J849,B!$E$2:$E$61,0))&amp;"",""))</f>
        <v/>
      </c>
      <c r="R849" s="69">
        <f>IF($J849="","",IFERROR(INDEX(B!$J$2:$J$61,MATCH($J849,B!$E$2:$E$61,0))&amp;"",""))</f>
        <v/>
      </c>
      <c r="S849" s="69">
        <f>IF($J849="","",IFERROR(INDEX(B!$K$2:$K$61,MATCH($J849,B!$E$2:$E$61,0))&amp;"",""))</f>
        <v/>
      </c>
      <c r="T849" s="69">
        <f>IF($J849="","",IFERROR(INDEX(B!$L$2:$L$61,MATCH($J849,B!$E$2:$E$61,0))&amp;"",""))</f>
        <v/>
      </c>
      <c r="U849" s="20" t="n"/>
      <c r="V849" s="70">
        <f>IF($J849="","",IFERROR(INDEX(B!$M$2:$M$61,MATCH($J849,B!$E$2:$E$61,0))&amp;"",""))</f>
        <v/>
      </c>
      <c r="W849" s="71">
        <f>IF(I849="","",IFERROR(MID(I849,FIND("/d/",I849)+3,FIND("/edit",I849)-FIND("/d/",I849)-3),I849))</f>
        <v/>
      </c>
      <c r="X849" s="71">
        <f>IF($J849="","",IFERROR(INDEX(B!$C$2:$C$61,MATCH($J849,B!$E$2:$E$61,0))&amp;"",""))</f>
        <v/>
      </c>
      <c r="Y849" s="20" t="n"/>
      <c r="Z849" s="72">
        <f>IF($J849="",FALSE,ISNUMBER(SEARCH("scout",$K849)))</f>
        <v/>
      </c>
      <c r="AA849" s="72">
        <f>IF($J849="",FALSE,IFERROR(INDEX(B!$N$2:$N$61,MATCH($J849,B!$E$2:$E$61,0))="Sim",FALSE))</f>
        <v/>
      </c>
      <c r="AB849" s="72">
        <f>IF($J849="",FALSE,LEFT($X849,2)="XX")</f>
        <v/>
      </c>
      <c r="AC849" s="72">
        <f>IF($J849="",FALSE,IFERROR(INDEX(B!$P$2:$P$61,MATCH($J849,B!$E$2:$E$61,0))="Sim",FALSE))</f>
        <v/>
      </c>
      <c r="AD849" s="20" t="n"/>
      <c r="AE849" s="52">
        <f>IF(H849="","",HOUR(H849))</f>
        <v/>
      </c>
      <c r="AF849" s="52" t="n"/>
    </row>
    <row r="850" ht="19.5" customHeight="1" s="58">
      <c r="A850" s="62">
        <f>IF(G850="","",IF(G850=G849,"",COUNTIF($G$3:$G$976,G850)))</f>
        <v/>
      </c>
      <c r="B850" s="20" t="n"/>
      <c r="C850" s="63">
        <f>IF(G850="","",DAY(G850))</f>
        <v/>
      </c>
      <c r="D850" s="63">
        <f>IF(G850="","",MONTH(G850))</f>
        <v/>
      </c>
      <c r="E850" s="63">
        <f>IF(G850="","",YEAR(G850))</f>
        <v/>
      </c>
      <c r="F850" s="33">
        <f>IF(G850="","",CHOOSE(MONTH(G850),"Janeiro","Fevereiro","Março","Abril","Maio","Junho","Julho","Agosto","Setembro","Outubro","Novembro","Dezembro"))</f>
        <v/>
      </c>
      <c r="G850" s="64" t="n">
        <v>46079</v>
      </c>
      <c r="H850" s="65" t="n">
        <v>0.05709490740740741</v>
      </c>
      <c r="I850" s="66" t="inlineStr">
        <is>
          <t>https://docs.google.com/spreadsheets/d/1ZiCGoPjLCjuYvujDTXK9Ixbth3tekiLtFBzBrGjPCr4/edit?gid=0#gid=0</t>
        </is>
      </c>
      <c r="J850" s="67" t="inlineStr">
        <is>
          <t>Trajeto Ruim - [TR]</t>
        </is>
      </c>
      <c r="K850" s="67" t="inlineStr">
        <is>
          <t>Scout</t>
        </is>
      </c>
      <c r="L850" s="68" t="b">
        <v>0</v>
      </c>
      <c r="M850" s="20" t="n"/>
      <c r="N850" s="69">
        <f>IF($J850="","",IFERROR(INDEX(B!$F$2:$F$61,MATCH($J850,B!$E$2:$E$61,0))&amp;"",""))</f>
        <v/>
      </c>
      <c r="O850" s="69">
        <f>IF($J850="","",IFERROR(INDEX(B!$G$2:$G$61,MATCH($J850,B!$E$2:$E$61,0))&amp;"",""))</f>
        <v/>
      </c>
      <c r="P850" s="69">
        <f>IF($J850="","",IFERROR(INDEX(B!$H$2:$H$61,MATCH($J850,B!$E$2:$E$61,0))&amp;"",""))</f>
        <v/>
      </c>
      <c r="Q850" s="69">
        <f>IF($J850="","",IFERROR(INDEX(B!$I$2:$I$61,MATCH($J850,B!$E$2:$E$61,0))&amp;"",""))</f>
        <v/>
      </c>
      <c r="R850" s="69">
        <f>IF($J850="","",IFERROR(INDEX(B!$J$2:$J$61,MATCH($J850,B!$E$2:$E$61,0))&amp;"",""))</f>
        <v/>
      </c>
      <c r="S850" s="69">
        <f>IF($J850="","",IFERROR(INDEX(B!$K$2:$K$61,MATCH($J850,B!$E$2:$E$61,0))&amp;"",""))</f>
        <v/>
      </c>
      <c r="T850" s="69">
        <f>IF($J850="","",IFERROR(INDEX(B!$L$2:$L$61,MATCH($J850,B!$E$2:$E$61,0))&amp;"",""))</f>
        <v/>
      </c>
      <c r="U850" s="20" t="n"/>
      <c r="V850" s="70">
        <f>IF($J850="","",IFERROR(INDEX(B!$M$2:$M$61,MATCH($J850,B!$E$2:$E$61,0))&amp;"",""))</f>
        <v/>
      </c>
      <c r="W850" s="71">
        <f>IF(I850="","",IFERROR(MID(I850,FIND("/d/",I850)+3,FIND("/edit",I850)-FIND("/d/",I850)-3),I850))</f>
        <v/>
      </c>
      <c r="X850" s="71">
        <f>IF($J850="","",IFERROR(INDEX(B!$C$2:$C$61,MATCH($J850,B!$E$2:$E$61,0))&amp;"",""))</f>
        <v/>
      </c>
      <c r="Y850" s="20" t="n"/>
      <c r="Z850" s="72">
        <f>IF($J850="",FALSE,ISNUMBER(SEARCH("scout",$K850)))</f>
        <v/>
      </c>
      <c r="AA850" s="72">
        <f>IF($J850="",FALSE,IFERROR(INDEX(B!$N$2:$N$61,MATCH($J850,B!$E$2:$E$61,0))="Sim",FALSE))</f>
        <v/>
      </c>
      <c r="AB850" s="72">
        <f>IF($J850="",FALSE,LEFT($X850,2)="XX")</f>
        <v/>
      </c>
      <c r="AC850" s="72">
        <f>IF($J850="",FALSE,IFERROR(INDEX(B!$P$2:$P$61,MATCH($J850,B!$E$2:$E$61,0))="Sim",FALSE))</f>
        <v/>
      </c>
      <c r="AD850" s="20" t="n"/>
      <c r="AE850" s="52">
        <f>IF(H850="","",HOUR(H850))</f>
        <v/>
      </c>
      <c r="AF850" s="52" t="n"/>
    </row>
    <row r="851" ht="19.5" customHeight="1" s="58">
      <c r="A851" s="62">
        <f>IF(G851="","",IF(G851=G850,"",COUNTIF($G$3:$G$976,G851)))</f>
        <v/>
      </c>
      <c r="B851" s="20" t="n"/>
      <c r="C851" s="63">
        <f>IF(G851="","",DAY(G851))</f>
        <v/>
      </c>
      <c r="D851" s="63">
        <f>IF(G851="","",MONTH(G851))</f>
        <v/>
      </c>
      <c r="E851" s="63">
        <f>IF(G851="","",YEAR(G851))</f>
        <v/>
      </c>
      <c r="F851" s="33">
        <f>IF(G851="","",CHOOSE(MONTH(G851),"Janeiro","Fevereiro","Março","Abril","Maio","Junho","Julho","Agosto","Setembro","Outubro","Novembro","Dezembro"))</f>
        <v/>
      </c>
      <c r="G851" s="64" t="n">
        <v>46079</v>
      </c>
      <c r="H851" s="65" t="n">
        <v>0.05793981481481481</v>
      </c>
      <c r="I851" s="66" t="inlineStr">
        <is>
          <t>https://docs.google.com/spreadsheets/d/1ZiCGoPjLCjuYvujDTXK9Ixbth3tekiLtFBzBrGjPCr4/edit?gid=0#gid=0</t>
        </is>
      </c>
      <c r="J851" s="67" t="inlineStr">
        <is>
          <t>Taxa de Limpeza - [TXL]</t>
        </is>
      </c>
      <c r="K851" s="67" t="inlineStr"/>
      <c r="L851" s="68" t="b">
        <v>0</v>
      </c>
      <c r="M851" s="20" t="n"/>
      <c r="N851" s="69">
        <f>IF($J851="","",IFERROR(INDEX(B!$F$2:$F$61,MATCH($J851,B!$E$2:$E$61,0))&amp;"",""))</f>
        <v/>
      </c>
      <c r="O851" s="69">
        <f>IF($J851="","",IFERROR(INDEX(B!$G$2:$G$61,MATCH($J851,B!$E$2:$E$61,0))&amp;"",""))</f>
        <v/>
      </c>
      <c r="P851" s="69">
        <f>IF($J851="","",IFERROR(INDEX(B!$H$2:$H$61,MATCH($J851,B!$E$2:$E$61,0))&amp;"",""))</f>
        <v/>
      </c>
      <c r="Q851" s="69">
        <f>IF($J851="","",IFERROR(INDEX(B!$I$2:$I$61,MATCH($J851,B!$E$2:$E$61,0))&amp;"",""))</f>
        <v/>
      </c>
      <c r="R851" s="69">
        <f>IF($J851="","",IFERROR(INDEX(B!$J$2:$J$61,MATCH($J851,B!$E$2:$E$61,0))&amp;"",""))</f>
        <v/>
      </c>
      <c r="S851" s="69">
        <f>IF($J851="","",IFERROR(INDEX(B!$K$2:$K$61,MATCH($J851,B!$E$2:$E$61,0))&amp;"",""))</f>
        <v/>
      </c>
      <c r="T851" s="69">
        <f>IF($J851="","",IFERROR(INDEX(B!$L$2:$L$61,MATCH($J851,B!$E$2:$E$61,0))&amp;"",""))</f>
        <v/>
      </c>
      <c r="U851" s="20" t="n"/>
      <c r="V851" s="70">
        <f>IF($J851="","",IFERROR(INDEX(B!$M$2:$M$61,MATCH($J851,B!$E$2:$E$61,0))&amp;"",""))</f>
        <v/>
      </c>
      <c r="W851" s="71">
        <f>IF(I851="","",IFERROR(MID(I851,FIND("/d/",I851)+3,FIND("/edit",I851)-FIND("/d/",I851)-3),I851))</f>
        <v/>
      </c>
      <c r="X851" s="71">
        <f>IF($J851="","",IFERROR(INDEX(B!$C$2:$C$61,MATCH($J851,B!$E$2:$E$61,0))&amp;"",""))</f>
        <v/>
      </c>
      <c r="Y851" s="20" t="n"/>
      <c r="Z851" s="72">
        <f>IF($J851="",FALSE,ISNUMBER(SEARCH("scout",$K851)))</f>
        <v/>
      </c>
      <c r="AA851" s="72">
        <f>IF($J851="",FALSE,IFERROR(INDEX(B!$N$2:$N$61,MATCH($J851,B!$E$2:$E$61,0))="Sim",FALSE))</f>
        <v/>
      </c>
      <c r="AB851" s="72">
        <f>IF($J851="",FALSE,LEFT($X851,2)="XX")</f>
        <v/>
      </c>
      <c r="AC851" s="72">
        <f>IF($J851="",FALSE,IFERROR(INDEX(B!$P$2:$P$61,MATCH($J851,B!$E$2:$E$61,0))="Sim",FALSE))</f>
        <v/>
      </c>
      <c r="AD851" s="20" t="n"/>
      <c r="AE851" s="52">
        <f>IF(H851="","",HOUR(H851))</f>
        <v/>
      </c>
      <c r="AF851" s="52" t="n"/>
    </row>
    <row r="852" ht="19.5" customHeight="1" s="58">
      <c r="A852" s="62">
        <f>IF(G852="","",IF(G852=G851,"",COUNTIF($G$3:$G$976,G852)))</f>
        <v/>
      </c>
      <c r="B852" s="20" t="n"/>
      <c r="C852" s="63">
        <f>IF(G852="","",DAY(G852))</f>
        <v/>
      </c>
      <c r="D852" s="63">
        <f>IF(G852="","",MONTH(G852))</f>
        <v/>
      </c>
      <c r="E852" s="63">
        <f>IF(G852="","",YEAR(G852))</f>
        <v/>
      </c>
      <c r="F852" s="33">
        <f>IF(G852="","",CHOOSE(MONTH(G852),"Janeiro","Fevereiro","Março","Abril","Maio","Junho","Julho","Agosto","Setembro","Outubro","Novembro","Dezembro"))</f>
        <v/>
      </c>
      <c r="G852" s="64" t="n">
        <v>46079</v>
      </c>
      <c r="H852" s="65" t="n">
        <v>0.06082175925925926</v>
      </c>
      <c r="I852" s="66" t="inlineStr">
        <is>
          <t>https://docs.google.com/spreadsheets/d/1ZiCGoPjLCjuYvujDTXK9Ixbth3tekiLtFBzBrGjPCr4/edit?gid=0#gid=0</t>
        </is>
      </c>
      <c r="J852" s="67" t="inlineStr">
        <is>
          <t>Pushback - [XX]</t>
        </is>
      </c>
      <c r="K852" s="67" t="inlineStr"/>
      <c r="L852" s="68" t="b">
        <v>0</v>
      </c>
      <c r="M852" s="20" t="n"/>
      <c r="N852" s="69">
        <f>IF($J852="","",IFERROR(INDEX(B!$F$2:$F$61,MATCH($J852,B!$E$2:$E$61,0))&amp;"",""))</f>
        <v/>
      </c>
      <c r="O852" s="69">
        <f>IF($J852="","",IFERROR(INDEX(B!$G$2:$G$61,MATCH($J852,B!$E$2:$E$61,0))&amp;"",""))</f>
        <v/>
      </c>
      <c r="P852" s="69">
        <f>IF($J852="","",IFERROR(INDEX(B!$H$2:$H$61,MATCH($J852,B!$E$2:$E$61,0))&amp;"",""))</f>
        <v/>
      </c>
      <c r="Q852" s="69">
        <f>IF($J852="","",IFERROR(INDEX(B!$I$2:$I$61,MATCH($J852,B!$E$2:$E$61,0))&amp;"",""))</f>
        <v/>
      </c>
      <c r="R852" s="69">
        <f>IF($J852="","",IFERROR(INDEX(B!$J$2:$J$61,MATCH($J852,B!$E$2:$E$61,0))&amp;"",""))</f>
        <v/>
      </c>
      <c r="S852" s="69">
        <f>IF($J852="","",IFERROR(INDEX(B!$K$2:$K$61,MATCH($J852,B!$E$2:$E$61,0))&amp;"",""))</f>
        <v/>
      </c>
      <c r="T852" s="69">
        <f>IF($J852="","",IFERROR(INDEX(B!$L$2:$L$61,MATCH($J852,B!$E$2:$E$61,0))&amp;"",""))</f>
        <v/>
      </c>
      <c r="U852" s="20" t="n"/>
      <c r="V852" s="70">
        <f>IF($J852="","",IFERROR(INDEX(B!$M$2:$M$61,MATCH($J852,B!$E$2:$E$61,0))&amp;"",""))</f>
        <v/>
      </c>
      <c r="W852" s="71">
        <f>IF(I852="","",IFERROR(MID(I852,FIND("/d/",I852)+3,FIND("/edit",I852)-FIND("/d/",I852)-3),I852))</f>
        <v/>
      </c>
      <c r="X852" s="71">
        <f>IF($J852="","",IFERROR(INDEX(B!$C$2:$C$61,MATCH($J852,B!$E$2:$E$61,0))&amp;"",""))</f>
        <v/>
      </c>
      <c r="Y852" s="20" t="n"/>
      <c r="Z852" s="72">
        <f>IF($J852="",FALSE,ISNUMBER(SEARCH("scout",$K852)))</f>
        <v/>
      </c>
      <c r="AA852" s="72">
        <f>IF($J852="",FALSE,IFERROR(INDEX(B!$N$2:$N$61,MATCH($J852,B!$E$2:$E$61,0))="Sim",FALSE))</f>
        <v/>
      </c>
      <c r="AB852" s="72">
        <f>IF($J852="",FALSE,LEFT($X852,2)="XX")</f>
        <v/>
      </c>
      <c r="AC852" s="72">
        <f>IF($J852="",FALSE,IFERROR(INDEX(B!$P$2:$P$61,MATCH($J852,B!$E$2:$E$61,0))="Sim",FALSE))</f>
        <v/>
      </c>
      <c r="AD852" s="20" t="n"/>
      <c r="AE852" s="52">
        <f>IF(H852="","",HOUR(H852))</f>
        <v/>
      </c>
      <c r="AF852" s="52" t="n"/>
    </row>
    <row r="853" ht="19.5" customHeight="1" s="58">
      <c r="A853" s="62">
        <f>IF(G853="","",IF(G853=G852,"",COUNTIF($G$3:$G$976,G853)))</f>
        <v/>
      </c>
      <c r="B853" s="20" t="n"/>
      <c r="C853" s="63">
        <f>IF(G853="","",DAY(G853))</f>
        <v/>
      </c>
      <c r="D853" s="63">
        <f>IF(G853="","",MONTH(G853))</f>
        <v/>
      </c>
      <c r="E853" s="63">
        <f>IF(G853="","",YEAR(G853))</f>
        <v/>
      </c>
      <c r="F853" s="33">
        <f>IF(G853="","",CHOOSE(MONTH(G853),"Janeiro","Fevereiro","Março","Abril","Maio","Junho","Julho","Agosto","Setembro","Outubro","Novembro","Dezembro"))</f>
        <v/>
      </c>
      <c r="G853" s="64" t="n">
        <v>46079</v>
      </c>
      <c r="H853" s="65" t="n">
        <v>0.06298611111111112</v>
      </c>
      <c r="I853" s="66" t="inlineStr">
        <is>
          <t>https://docs.google.com/spreadsheets/d/1ZiCGoPjLCjuYvujDTXK9Ixbth3tekiLtFBzBrGjPCr4/edit?gid=0#gid=0</t>
        </is>
      </c>
      <c r="J853" s="67" t="inlineStr">
        <is>
          <t>Taxa de Limpeza - [TXL]</t>
        </is>
      </c>
      <c r="K853" s="67" t="inlineStr"/>
      <c r="L853" s="68" t="b">
        <v>0</v>
      </c>
      <c r="M853" s="20" t="n"/>
      <c r="N853" s="69">
        <f>IF($J853="","",IFERROR(INDEX(B!$F$2:$F$61,MATCH($J853,B!$E$2:$E$61,0))&amp;"",""))</f>
        <v/>
      </c>
      <c r="O853" s="69">
        <f>IF($J853="","",IFERROR(INDEX(B!$G$2:$G$61,MATCH($J853,B!$E$2:$E$61,0))&amp;"",""))</f>
        <v/>
      </c>
      <c r="P853" s="69">
        <f>IF($J853="","",IFERROR(INDEX(B!$H$2:$H$61,MATCH($J853,B!$E$2:$E$61,0))&amp;"",""))</f>
        <v/>
      </c>
      <c r="Q853" s="69">
        <f>IF($J853="","",IFERROR(INDEX(B!$I$2:$I$61,MATCH($J853,B!$E$2:$E$61,0))&amp;"",""))</f>
        <v/>
      </c>
      <c r="R853" s="69">
        <f>IF($J853="","",IFERROR(INDEX(B!$J$2:$J$61,MATCH($J853,B!$E$2:$E$61,0))&amp;"",""))</f>
        <v/>
      </c>
      <c r="S853" s="69">
        <f>IF($J853="","",IFERROR(INDEX(B!$K$2:$K$61,MATCH($J853,B!$E$2:$E$61,0))&amp;"",""))</f>
        <v/>
      </c>
      <c r="T853" s="69">
        <f>IF($J853="","",IFERROR(INDEX(B!$L$2:$L$61,MATCH($J853,B!$E$2:$E$61,0))&amp;"",""))</f>
        <v/>
      </c>
      <c r="U853" s="20" t="n"/>
      <c r="V853" s="70">
        <f>IF($J853="","",IFERROR(INDEX(B!$M$2:$M$61,MATCH($J853,B!$E$2:$E$61,0))&amp;"",""))</f>
        <v/>
      </c>
      <c r="W853" s="71">
        <f>IF(I853="","",IFERROR(MID(I853,FIND("/d/",I853)+3,FIND("/edit",I853)-FIND("/d/",I853)-3),I853))</f>
        <v/>
      </c>
      <c r="X853" s="71">
        <f>IF($J853="","",IFERROR(INDEX(B!$C$2:$C$61,MATCH($J853,B!$E$2:$E$61,0))&amp;"",""))</f>
        <v/>
      </c>
      <c r="Y853" s="20" t="n"/>
      <c r="Z853" s="72">
        <f>IF($J853="",FALSE,ISNUMBER(SEARCH("scout",$K853)))</f>
        <v/>
      </c>
      <c r="AA853" s="72">
        <f>IF($J853="",FALSE,IFERROR(INDEX(B!$N$2:$N$61,MATCH($J853,B!$E$2:$E$61,0))="Sim",FALSE))</f>
        <v/>
      </c>
      <c r="AB853" s="72">
        <f>IF($J853="",FALSE,LEFT($X853,2)="XX")</f>
        <v/>
      </c>
      <c r="AC853" s="72">
        <f>IF($J853="",FALSE,IFERROR(INDEX(B!$P$2:$P$61,MATCH($J853,B!$E$2:$E$61,0))="Sim",FALSE))</f>
        <v/>
      </c>
      <c r="AD853" s="20" t="n"/>
      <c r="AE853" s="52">
        <f>IF(H853="","",HOUR(H853))</f>
        <v/>
      </c>
      <c r="AF853" s="52" t="n"/>
    </row>
    <row r="854" ht="19.5" customHeight="1" s="58">
      <c r="A854" s="62">
        <f>IF(G854="","",IF(G854=G853,"",COUNTIF($G$3:$G$976,G854)))</f>
        <v/>
      </c>
      <c r="B854" s="20" t="n"/>
      <c r="C854" s="63">
        <f>IF(G854="","",DAY(G854))</f>
        <v/>
      </c>
      <c r="D854" s="63">
        <f>IF(G854="","",MONTH(G854))</f>
        <v/>
      </c>
      <c r="E854" s="63">
        <f>IF(G854="","",YEAR(G854))</f>
        <v/>
      </c>
      <c r="F854" s="33">
        <f>IF(G854="","",CHOOSE(MONTH(G854),"Janeiro","Fevereiro","Março","Abril","Maio","Junho","Julho","Agosto","Setembro","Outubro","Novembro","Dezembro"))</f>
        <v/>
      </c>
      <c r="G854" s="64" t="n">
        <v>46079</v>
      </c>
      <c r="H854" s="65" t="n">
        <v>0.07157407407407407</v>
      </c>
      <c r="I854" s="66" t="inlineStr">
        <is>
          <t>https://docs.google.com/spreadsheets/d/1ZiCGoPjLCjuYvujDTXK9Ixbth3tekiLtFBzBrGjPCr4/edit?gid=0#gid=0</t>
        </is>
      </c>
      <c r="J854" s="67" t="inlineStr">
        <is>
          <t>Taxa de Limpeza - [TXL]</t>
        </is>
      </c>
      <c r="K854" s="67" t="inlineStr"/>
      <c r="L854" s="68" t="b">
        <v>0</v>
      </c>
      <c r="M854" s="20" t="n"/>
      <c r="N854" s="69">
        <f>IF($J854="","",IFERROR(INDEX(B!$F$2:$F$61,MATCH($J854,B!$E$2:$E$61,0))&amp;"",""))</f>
        <v/>
      </c>
      <c r="O854" s="69">
        <f>IF($J854="","",IFERROR(INDEX(B!$G$2:$G$61,MATCH($J854,B!$E$2:$E$61,0))&amp;"",""))</f>
        <v/>
      </c>
      <c r="P854" s="69">
        <f>IF($J854="","",IFERROR(INDEX(B!$H$2:$H$61,MATCH($J854,B!$E$2:$E$61,0))&amp;"",""))</f>
        <v/>
      </c>
      <c r="Q854" s="69">
        <f>IF($J854="","",IFERROR(INDEX(B!$I$2:$I$61,MATCH($J854,B!$E$2:$E$61,0))&amp;"",""))</f>
        <v/>
      </c>
      <c r="R854" s="69">
        <f>IF($J854="","",IFERROR(INDEX(B!$J$2:$J$61,MATCH($J854,B!$E$2:$E$61,0))&amp;"",""))</f>
        <v/>
      </c>
      <c r="S854" s="69">
        <f>IF($J854="","",IFERROR(INDEX(B!$K$2:$K$61,MATCH($J854,B!$E$2:$E$61,0))&amp;"",""))</f>
        <v/>
      </c>
      <c r="T854" s="69">
        <f>IF($J854="","",IFERROR(INDEX(B!$L$2:$L$61,MATCH($J854,B!$E$2:$E$61,0))&amp;"",""))</f>
        <v/>
      </c>
      <c r="U854" s="20" t="n"/>
      <c r="V854" s="70">
        <f>IF($J854="","",IFERROR(INDEX(B!$M$2:$M$61,MATCH($J854,B!$E$2:$E$61,0))&amp;"",""))</f>
        <v/>
      </c>
      <c r="W854" s="71">
        <f>IF(I854="","",IFERROR(MID(I854,FIND("/d/",I854)+3,FIND("/edit",I854)-FIND("/d/",I854)-3),I854))</f>
        <v/>
      </c>
      <c r="X854" s="71">
        <f>IF($J854="","",IFERROR(INDEX(B!$C$2:$C$61,MATCH($J854,B!$E$2:$E$61,0))&amp;"",""))</f>
        <v/>
      </c>
      <c r="Y854" s="20" t="n"/>
      <c r="Z854" s="72">
        <f>IF($J854="",FALSE,ISNUMBER(SEARCH("scout",$K854)))</f>
        <v/>
      </c>
      <c r="AA854" s="72">
        <f>IF($J854="",FALSE,IFERROR(INDEX(B!$N$2:$N$61,MATCH($J854,B!$E$2:$E$61,0))="Sim",FALSE))</f>
        <v/>
      </c>
      <c r="AB854" s="72">
        <f>IF($J854="",FALSE,LEFT($X854,2)="XX")</f>
        <v/>
      </c>
      <c r="AC854" s="72">
        <f>IF($J854="",FALSE,IFERROR(INDEX(B!$P$2:$P$61,MATCH($J854,B!$E$2:$E$61,0))="Sim",FALSE))</f>
        <v/>
      </c>
      <c r="AD854" s="20" t="n"/>
      <c r="AE854" s="52">
        <f>IF(H854="","",HOUR(H854))</f>
        <v/>
      </c>
      <c r="AF854" s="52" t="n"/>
    </row>
    <row r="855" ht="19.5" customHeight="1" s="58">
      <c r="A855" s="62">
        <f>IF(G855="","",IF(G855=G854,"",COUNTIF($G$3:$G$976,G855)))</f>
        <v/>
      </c>
      <c r="B855" s="20" t="n"/>
      <c r="C855" s="63">
        <f>IF(G855="","",DAY(G855))</f>
        <v/>
      </c>
      <c r="D855" s="63">
        <f>IF(G855="","",MONTH(G855))</f>
        <v/>
      </c>
      <c r="E855" s="63">
        <f>IF(G855="","",YEAR(G855))</f>
        <v/>
      </c>
      <c r="F855" s="33">
        <f>IF(G855="","",CHOOSE(MONTH(G855),"Janeiro","Fevereiro","Março","Abril","Maio","Junho","Julho","Agosto","Setembro","Outubro","Novembro","Dezembro"))</f>
        <v/>
      </c>
      <c r="G855" s="64" t="n">
        <v>46079</v>
      </c>
      <c r="H855" s="65" t="n">
        <v>0.07392361111111111</v>
      </c>
      <c r="I855" s="66" t="inlineStr">
        <is>
          <t>https://docs.google.com/spreadsheets/d/1ZiCGoPjLCjuYvujDTXK9Ixbth3tekiLtFBzBrGjPCr4/edit?gid=0#gid=0</t>
        </is>
      </c>
      <c r="J855" s="67" t="inlineStr">
        <is>
          <t>Transferência de LOB (Geral não especificado) - [TI]</t>
        </is>
      </c>
      <c r="K855" s="67" t="inlineStr">
        <is>
          <t>Scout</t>
        </is>
      </c>
      <c r="L855" s="68" t="b">
        <v>0</v>
      </c>
      <c r="M855" s="20" t="n"/>
      <c r="N855" s="69">
        <f>IF($J855="","",IFERROR(INDEX(B!$F$2:$F$61,MATCH($J855,B!$E$2:$E$61,0))&amp;"",""))</f>
        <v/>
      </c>
      <c r="O855" s="69">
        <f>IF($J855="","",IFERROR(INDEX(B!$G$2:$G$61,MATCH($J855,B!$E$2:$E$61,0))&amp;"",""))</f>
        <v/>
      </c>
      <c r="P855" s="69">
        <f>IF($J855="","",IFERROR(INDEX(B!$H$2:$H$61,MATCH($J855,B!$E$2:$E$61,0))&amp;"",""))</f>
        <v/>
      </c>
      <c r="Q855" s="69">
        <f>IF($J855="","",IFERROR(INDEX(B!$I$2:$I$61,MATCH($J855,B!$E$2:$E$61,0))&amp;"",""))</f>
        <v/>
      </c>
      <c r="R855" s="69">
        <f>IF($J855="","",IFERROR(INDEX(B!$J$2:$J$61,MATCH($J855,B!$E$2:$E$61,0))&amp;"",""))</f>
        <v/>
      </c>
      <c r="S855" s="69">
        <f>IF($J855="","",IFERROR(INDEX(B!$K$2:$K$61,MATCH($J855,B!$E$2:$E$61,0))&amp;"",""))</f>
        <v/>
      </c>
      <c r="T855" s="69">
        <f>IF($J855="","",IFERROR(INDEX(B!$L$2:$L$61,MATCH($J855,B!$E$2:$E$61,0))&amp;"",""))</f>
        <v/>
      </c>
      <c r="U855" s="20" t="n"/>
      <c r="V855" s="70">
        <f>IF($J855="","",IFERROR(INDEX(B!$M$2:$M$61,MATCH($J855,B!$E$2:$E$61,0))&amp;"",""))</f>
        <v/>
      </c>
      <c r="W855" s="71">
        <f>IF(I855="","",IFERROR(MID(I855,FIND("/d/",I855)+3,FIND("/edit",I855)-FIND("/d/",I855)-3),I855))</f>
        <v/>
      </c>
      <c r="X855" s="71">
        <f>IF($J855="","",IFERROR(INDEX(B!$C$2:$C$61,MATCH($J855,B!$E$2:$E$61,0))&amp;"",""))</f>
        <v/>
      </c>
      <c r="Y855" s="20" t="n"/>
      <c r="Z855" s="72">
        <f>IF($J855="",FALSE,ISNUMBER(SEARCH("scout",$K855)))</f>
        <v/>
      </c>
      <c r="AA855" s="72">
        <f>IF($J855="",FALSE,IFERROR(INDEX(B!$N$2:$N$61,MATCH($J855,B!$E$2:$E$61,0))="Sim",FALSE))</f>
        <v/>
      </c>
      <c r="AB855" s="72">
        <f>IF($J855="",FALSE,LEFT($X855,2)="XX")</f>
        <v/>
      </c>
      <c r="AC855" s="72">
        <f>IF($J855="",FALSE,IFERROR(INDEX(B!$P$2:$P$61,MATCH($J855,B!$E$2:$E$61,0))="Sim",FALSE))</f>
        <v/>
      </c>
      <c r="AD855" s="20" t="n"/>
      <c r="AE855" s="52">
        <f>IF(H855="","",HOUR(H855))</f>
        <v/>
      </c>
      <c r="AF855" s="52" t="n"/>
    </row>
    <row r="856" ht="19.5" customHeight="1" s="58">
      <c r="A856" s="62">
        <f>IF(G856="","",IF(G856=G855,"",COUNTIF($G$3:$G$976,G856)))</f>
        <v/>
      </c>
      <c r="B856" s="20" t="n"/>
      <c r="C856" s="63">
        <f>IF(G856="","",DAY(G856))</f>
        <v/>
      </c>
      <c r="D856" s="63">
        <f>IF(G856="","",MONTH(G856))</f>
        <v/>
      </c>
      <c r="E856" s="63">
        <f>IF(G856="","",YEAR(G856))</f>
        <v/>
      </c>
      <c r="F856" s="33">
        <f>IF(G856="","",CHOOSE(MONTH(G856),"Janeiro","Fevereiro","Março","Abril","Maio","Junho","Julho","Agosto","Setembro","Outubro","Novembro","Dezembro"))</f>
        <v/>
      </c>
      <c r="G856" s="64" t="n">
        <v>46079</v>
      </c>
      <c r="H856" s="65" t="n">
        <v>0.0739699074074074</v>
      </c>
      <c r="I856" s="66" t="inlineStr">
        <is>
          <t>https://docs.google.com/spreadsheets/d/1ZiCGoPjLCjuYvujDTXK9Ixbth3tekiLtFBzBrGjPCr4/edit?gid=0#gid=0</t>
        </is>
      </c>
      <c r="J856" s="67" t="inlineStr">
        <is>
          <t>Pushback (Agradecimento) - [XXA]</t>
        </is>
      </c>
      <c r="K856" s="67" t="inlineStr"/>
      <c r="L856" s="68" t="b">
        <v>0</v>
      </c>
      <c r="M856" s="20" t="n"/>
      <c r="N856" s="69">
        <f>IF($J856="","",IFERROR(INDEX(B!$F$2:$F$61,MATCH($J856,B!$E$2:$E$61,0))&amp;"",""))</f>
        <v/>
      </c>
      <c r="O856" s="69">
        <f>IF($J856="","",IFERROR(INDEX(B!$G$2:$G$61,MATCH($J856,B!$E$2:$E$61,0))&amp;"",""))</f>
        <v/>
      </c>
      <c r="P856" s="69">
        <f>IF($J856="","",IFERROR(INDEX(B!$H$2:$H$61,MATCH($J856,B!$E$2:$E$61,0))&amp;"",""))</f>
        <v/>
      </c>
      <c r="Q856" s="69">
        <f>IF($J856="","",IFERROR(INDEX(B!$I$2:$I$61,MATCH($J856,B!$E$2:$E$61,0))&amp;"",""))</f>
        <v/>
      </c>
      <c r="R856" s="69">
        <f>IF($J856="","",IFERROR(INDEX(B!$J$2:$J$61,MATCH($J856,B!$E$2:$E$61,0))&amp;"",""))</f>
        <v/>
      </c>
      <c r="S856" s="69">
        <f>IF($J856="","",IFERROR(INDEX(B!$K$2:$K$61,MATCH($J856,B!$E$2:$E$61,0))&amp;"",""))</f>
        <v/>
      </c>
      <c r="T856" s="69">
        <f>IF($J856="","",IFERROR(INDEX(B!$L$2:$L$61,MATCH($J856,B!$E$2:$E$61,0))&amp;"",""))</f>
        <v/>
      </c>
      <c r="U856" s="20" t="n"/>
      <c r="V856" s="70">
        <f>IF($J856="","",IFERROR(INDEX(B!$M$2:$M$61,MATCH($J856,B!$E$2:$E$61,0))&amp;"",""))</f>
        <v/>
      </c>
      <c r="W856" s="71">
        <f>IF(I856="","",IFERROR(MID(I856,FIND("/d/",I856)+3,FIND("/edit",I856)-FIND("/d/",I856)-3),I856))</f>
        <v/>
      </c>
      <c r="X856" s="71">
        <f>IF($J856="","",IFERROR(INDEX(B!$C$2:$C$61,MATCH($J856,B!$E$2:$E$61,0))&amp;"",""))</f>
        <v/>
      </c>
      <c r="Y856" s="20" t="n"/>
      <c r="Z856" s="72">
        <f>IF($J856="",FALSE,ISNUMBER(SEARCH("scout",$K856)))</f>
        <v/>
      </c>
      <c r="AA856" s="72">
        <f>IF($J856="",FALSE,IFERROR(INDEX(B!$N$2:$N$61,MATCH($J856,B!$E$2:$E$61,0))="Sim",FALSE))</f>
        <v/>
      </c>
      <c r="AB856" s="72">
        <f>IF($J856="",FALSE,LEFT($X856,2)="XX")</f>
        <v/>
      </c>
      <c r="AC856" s="72">
        <f>IF($J856="",FALSE,IFERROR(INDEX(B!$P$2:$P$61,MATCH($J856,B!$E$2:$E$61,0))="Sim",FALSE))</f>
        <v/>
      </c>
      <c r="AD856" s="20" t="n"/>
      <c r="AE856" s="52">
        <f>IF(H856="","",HOUR(H856))</f>
        <v/>
      </c>
      <c r="AF856" s="52" t="n"/>
    </row>
    <row r="857" ht="19.5" customHeight="1" s="58">
      <c r="A857" s="62">
        <f>IF(G857="","",IF(G857=G856,"",COUNTIF($G$3:$G$976,G857)))</f>
        <v/>
      </c>
      <c r="B857" s="20" t="n"/>
      <c r="C857" s="63">
        <f>IF(G857="","",DAY(G857))</f>
        <v/>
      </c>
      <c r="D857" s="63">
        <f>IF(G857="","",MONTH(G857))</f>
        <v/>
      </c>
      <c r="E857" s="63">
        <f>IF(G857="","",YEAR(G857))</f>
        <v/>
      </c>
      <c r="F857" s="33">
        <f>IF(G857="","",CHOOSE(MONTH(G857),"Janeiro","Fevereiro","Março","Abril","Maio","Junho","Julho","Agosto","Setembro","Outubro","Novembro","Dezembro"))</f>
        <v/>
      </c>
      <c r="G857" s="64" t="n">
        <v>46079</v>
      </c>
      <c r="H857" s="65" t="n">
        <v>0.07552083333333333</v>
      </c>
      <c r="I857" s="66" t="inlineStr">
        <is>
          <t>https://docs.google.com/spreadsheets/d/1ZiCGoPjLCjuYvujDTXK9Ixbth3tekiLtFBzBrGjPCr4/edit?gid=0#gid=0</t>
        </is>
      </c>
      <c r="J857" s="67" t="inlineStr">
        <is>
          <t>Overpaid, Não excede o limite, Sem comprovante - [OPNN]</t>
        </is>
      </c>
      <c r="K857" s="67" t="inlineStr">
        <is>
          <t>Scout</t>
        </is>
      </c>
      <c r="L857" s="68" t="b">
        <v>0</v>
      </c>
      <c r="M857" s="20" t="n"/>
      <c r="N857" s="69">
        <f>IF($J857="","",IFERROR(INDEX(B!$F$2:$F$61,MATCH($J857,B!$E$2:$E$61,0))&amp;"",""))</f>
        <v/>
      </c>
      <c r="O857" s="69">
        <f>IF($J857="","",IFERROR(INDEX(B!$G$2:$G$61,MATCH($J857,B!$E$2:$E$61,0))&amp;"",""))</f>
        <v/>
      </c>
      <c r="P857" s="69">
        <f>IF($J857="","",IFERROR(INDEX(B!$H$2:$H$61,MATCH($J857,B!$E$2:$E$61,0))&amp;"",""))</f>
        <v/>
      </c>
      <c r="Q857" s="69">
        <f>IF($J857="","",IFERROR(INDEX(B!$I$2:$I$61,MATCH($J857,B!$E$2:$E$61,0))&amp;"",""))</f>
        <v/>
      </c>
      <c r="R857" s="69">
        <f>IF($J857="","",IFERROR(INDEX(B!$J$2:$J$61,MATCH($J857,B!$E$2:$E$61,0))&amp;"",""))</f>
        <v/>
      </c>
      <c r="S857" s="69">
        <f>IF($J857="","",IFERROR(INDEX(B!$K$2:$K$61,MATCH($J857,B!$E$2:$E$61,0))&amp;"",""))</f>
        <v/>
      </c>
      <c r="T857" s="69">
        <f>IF($J857="","",IFERROR(INDEX(B!$L$2:$L$61,MATCH($J857,B!$E$2:$E$61,0))&amp;"",""))</f>
        <v/>
      </c>
      <c r="U857" s="20" t="n"/>
      <c r="V857" s="70">
        <f>IF($J857="","",IFERROR(INDEX(B!$M$2:$M$61,MATCH($J857,B!$E$2:$E$61,0))&amp;"",""))</f>
        <v/>
      </c>
      <c r="W857" s="71">
        <f>IF(I857="","",IFERROR(MID(I857,FIND("/d/",I857)+3,FIND("/edit",I857)-FIND("/d/",I857)-3),I857))</f>
        <v/>
      </c>
      <c r="X857" s="71">
        <f>IF($J857="","",IFERROR(INDEX(B!$C$2:$C$61,MATCH($J857,B!$E$2:$E$61,0))&amp;"",""))</f>
        <v/>
      </c>
      <c r="Y857" s="20" t="n"/>
      <c r="Z857" s="72">
        <f>IF($J857="",FALSE,ISNUMBER(SEARCH("scout",$K857)))</f>
        <v/>
      </c>
      <c r="AA857" s="72">
        <f>IF($J857="",FALSE,IFERROR(INDEX(B!$N$2:$N$61,MATCH($J857,B!$E$2:$E$61,0))="Sim",FALSE))</f>
        <v/>
      </c>
      <c r="AB857" s="72">
        <f>IF($J857="",FALSE,LEFT($X857,2)="XX")</f>
        <v/>
      </c>
      <c r="AC857" s="72">
        <f>IF($J857="",FALSE,IFERROR(INDEX(B!$P$2:$P$61,MATCH($J857,B!$E$2:$E$61,0))="Sim",FALSE))</f>
        <v/>
      </c>
      <c r="AD857" s="20" t="n"/>
      <c r="AE857" s="52">
        <f>IF(H857="","",HOUR(H857))</f>
        <v/>
      </c>
      <c r="AF857" s="52" t="n"/>
    </row>
    <row r="858" ht="19.5" customHeight="1" s="58">
      <c r="A858" s="62">
        <f>IF(G858="","",IF(G858=G857,"",COUNTIF($G$3:$G$976,G858)))</f>
        <v/>
      </c>
      <c r="B858" s="20" t="n"/>
      <c r="C858" s="63">
        <f>IF(G858="","",DAY(G858))</f>
        <v/>
      </c>
      <c r="D858" s="63">
        <f>IF(G858="","",MONTH(G858))</f>
        <v/>
      </c>
      <c r="E858" s="63">
        <f>IF(G858="","",YEAR(G858))</f>
        <v/>
      </c>
      <c r="F858" s="33">
        <f>IF(G858="","",CHOOSE(MONTH(G858),"Janeiro","Fevereiro","Março","Abril","Maio","Junho","Julho","Agosto","Setembro","Outubro","Novembro","Dezembro"))</f>
        <v/>
      </c>
      <c r="G858" s="64" t="n">
        <v>46079</v>
      </c>
      <c r="H858" s="65" t="n">
        <v>0.07570601851851852</v>
      </c>
      <c r="I858" s="66" t="inlineStr">
        <is>
          <t>https://docs.google.com/spreadsheets/d/1ZiCGoPjLCjuYvujDTXK9Ixbth3tekiLtFBzBrGjPCr4/edit?gid=0#gid=0</t>
        </is>
      </c>
      <c r="J858" s="67" t="inlineStr">
        <is>
          <t>Taxa de Limpeza, Sem ajustes - [TXLO]</t>
        </is>
      </c>
      <c r="K858" s="67" t="inlineStr"/>
      <c r="L858" s="68" t="b">
        <v>0</v>
      </c>
      <c r="M858" s="20" t="n"/>
      <c r="N858" s="69">
        <f>IF($J858="","",IFERROR(INDEX(B!$F$2:$F$61,MATCH($J858,B!$E$2:$E$61,0))&amp;"",""))</f>
        <v/>
      </c>
      <c r="O858" s="69">
        <f>IF($J858="","",IFERROR(INDEX(B!$G$2:$G$61,MATCH($J858,B!$E$2:$E$61,0))&amp;"",""))</f>
        <v/>
      </c>
      <c r="P858" s="69">
        <f>IF($J858="","",IFERROR(INDEX(B!$H$2:$H$61,MATCH($J858,B!$E$2:$E$61,0))&amp;"",""))</f>
        <v/>
      </c>
      <c r="Q858" s="69">
        <f>IF($J858="","",IFERROR(INDEX(B!$I$2:$I$61,MATCH($J858,B!$E$2:$E$61,0))&amp;"",""))</f>
        <v/>
      </c>
      <c r="R858" s="69">
        <f>IF($J858="","",IFERROR(INDEX(B!$J$2:$J$61,MATCH($J858,B!$E$2:$E$61,0))&amp;"",""))</f>
        <v/>
      </c>
      <c r="S858" s="69">
        <f>IF($J858="","",IFERROR(INDEX(B!$K$2:$K$61,MATCH($J858,B!$E$2:$E$61,0))&amp;"",""))</f>
        <v/>
      </c>
      <c r="T858" s="69">
        <f>IF($J858="","",IFERROR(INDEX(B!$L$2:$L$61,MATCH($J858,B!$E$2:$E$61,0))&amp;"",""))</f>
        <v/>
      </c>
      <c r="U858" s="20" t="n"/>
      <c r="V858" s="70">
        <f>IF($J858="","",IFERROR(INDEX(B!$M$2:$M$61,MATCH($J858,B!$E$2:$E$61,0))&amp;"",""))</f>
        <v/>
      </c>
      <c r="W858" s="71">
        <f>IF(I858="","",IFERROR(MID(I858,FIND("/d/",I858)+3,FIND("/edit",I858)-FIND("/d/",I858)-3),I858))</f>
        <v/>
      </c>
      <c r="X858" s="71">
        <f>IF($J858="","",IFERROR(INDEX(B!$C$2:$C$61,MATCH($J858,B!$E$2:$E$61,0))&amp;"",""))</f>
        <v/>
      </c>
      <c r="Y858" s="20" t="n"/>
      <c r="Z858" s="72">
        <f>IF($J858="",FALSE,ISNUMBER(SEARCH("scout",$K858)))</f>
        <v/>
      </c>
      <c r="AA858" s="72">
        <f>IF($J858="",FALSE,IFERROR(INDEX(B!$N$2:$N$61,MATCH($J858,B!$E$2:$E$61,0))="Sim",FALSE))</f>
        <v/>
      </c>
      <c r="AB858" s="72">
        <f>IF($J858="",FALSE,LEFT($X858,2)="XX")</f>
        <v/>
      </c>
      <c r="AC858" s="72">
        <f>IF($J858="",FALSE,IFERROR(INDEX(B!$P$2:$P$61,MATCH($J858,B!$E$2:$E$61,0))="Sim",FALSE))</f>
        <v/>
      </c>
      <c r="AD858" s="20" t="n"/>
      <c r="AE858" s="52">
        <f>IF(H858="","",HOUR(H858))</f>
        <v/>
      </c>
      <c r="AF858" s="52" t="n"/>
    </row>
    <row r="859" ht="19.5" customHeight="1" s="58">
      <c r="A859" s="62">
        <f>IF(G859="","",IF(G859=G858,"",COUNTIF($G$3:$G$976,G859)))</f>
        <v/>
      </c>
      <c r="B859" s="20" t="n"/>
      <c r="C859" s="63">
        <f>IF(G859="","",DAY(G859))</f>
        <v/>
      </c>
      <c r="D859" s="63">
        <f>IF(G859="","",MONTH(G859))</f>
        <v/>
      </c>
      <c r="E859" s="63">
        <f>IF(G859="","",YEAR(G859))</f>
        <v/>
      </c>
      <c r="F859" s="33">
        <f>IF(G859="","",CHOOSE(MONTH(G859),"Janeiro","Fevereiro","Março","Abril","Maio","Junho","Julho","Agosto","Setembro","Outubro","Novembro","Dezembro"))</f>
        <v/>
      </c>
      <c r="G859" s="64" t="n">
        <v>46079</v>
      </c>
      <c r="H859" s="65" t="n">
        <v>0.08133101851851852</v>
      </c>
      <c r="I859" s="66" t="inlineStr">
        <is>
          <t>https://docs.google.com/spreadsheets/d/1ZiCGoPjLCjuYvujDTXK9Ixbth3tekiLtFBzBrGjPCr4/edit?gid=0#gid=0</t>
        </is>
      </c>
      <c r="J859" s="67" t="inlineStr">
        <is>
          <t>Outros Valores Retidos (Pedágio, Cartão, Taxa de Cancelamento...) - [OTV]</t>
        </is>
      </c>
      <c r="K859" s="67" t="inlineStr">
        <is>
          <t>Scout</t>
        </is>
      </c>
      <c r="L859" s="68" t="b">
        <v>0</v>
      </c>
      <c r="M859" s="20" t="n"/>
      <c r="N859" s="69">
        <f>IF($J859="","",IFERROR(INDEX(B!$F$2:$F$61,MATCH($J859,B!$E$2:$E$61,0))&amp;"",""))</f>
        <v/>
      </c>
      <c r="O859" s="69">
        <f>IF($J859="","",IFERROR(INDEX(B!$G$2:$G$61,MATCH($J859,B!$E$2:$E$61,0))&amp;"",""))</f>
        <v/>
      </c>
      <c r="P859" s="69">
        <f>IF($J859="","",IFERROR(INDEX(B!$H$2:$H$61,MATCH($J859,B!$E$2:$E$61,0))&amp;"",""))</f>
        <v/>
      </c>
      <c r="Q859" s="69">
        <f>IF($J859="","",IFERROR(INDEX(B!$I$2:$I$61,MATCH($J859,B!$E$2:$E$61,0))&amp;"",""))</f>
        <v/>
      </c>
      <c r="R859" s="69">
        <f>IF($J859="","",IFERROR(INDEX(B!$J$2:$J$61,MATCH($J859,B!$E$2:$E$61,0))&amp;"",""))</f>
        <v/>
      </c>
      <c r="S859" s="69">
        <f>IF($J859="","",IFERROR(INDEX(B!$K$2:$K$61,MATCH($J859,B!$E$2:$E$61,0))&amp;"",""))</f>
        <v/>
      </c>
      <c r="T859" s="69">
        <f>IF($J859="","",IFERROR(INDEX(B!$L$2:$L$61,MATCH($J859,B!$E$2:$E$61,0))&amp;"",""))</f>
        <v/>
      </c>
      <c r="U859" s="20" t="n"/>
      <c r="V859" s="70">
        <f>IF($J859="","",IFERROR(INDEX(B!$M$2:$M$61,MATCH($J859,B!$E$2:$E$61,0))&amp;"",""))</f>
        <v/>
      </c>
      <c r="W859" s="71">
        <f>IF(I859="","",IFERROR(MID(I859,FIND("/d/",I859)+3,FIND("/edit",I859)-FIND("/d/",I859)-3),I859))</f>
        <v/>
      </c>
      <c r="X859" s="71">
        <f>IF($J859="","",IFERROR(INDEX(B!$C$2:$C$61,MATCH($J859,B!$E$2:$E$61,0))&amp;"",""))</f>
        <v/>
      </c>
      <c r="Y859" s="20" t="n"/>
      <c r="Z859" s="72">
        <f>IF($J859="",FALSE,ISNUMBER(SEARCH("scout",$K859)))</f>
        <v/>
      </c>
      <c r="AA859" s="72">
        <f>IF($J859="",FALSE,IFERROR(INDEX(B!$N$2:$N$61,MATCH($J859,B!$E$2:$E$61,0))="Sim",FALSE))</f>
        <v/>
      </c>
      <c r="AB859" s="72">
        <f>IF($J859="",FALSE,LEFT($X859,2)="XX")</f>
        <v/>
      </c>
      <c r="AC859" s="72">
        <f>IF($J859="",FALSE,IFERROR(INDEX(B!$P$2:$P$61,MATCH($J859,B!$E$2:$E$61,0))="Sim",FALSE))</f>
        <v/>
      </c>
      <c r="AD859" s="20" t="n"/>
      <c r="AE859" s="52">
        <f>IF(H859="","",HOUR(H859))</f>
        <v/>
      </c>
      <c r="AF859" s="52" t="n"/>
    </row>
    <row r="860" ht="19.5" customHeight="1" s="58">
      <c r="A860" s="62">
        <f>IF(G860="","",IF(G860=G859,"",COUNTIF($G$3:$G$976,G860)))</f>
        <v/>
      </c>
      <c r="B860" s="20" t="n"/>
      <c r="C860" s="63">
        <f>IF(G860="","",DAY(G860))</f>
        <v/>
      </c>
      <c r="D860" s="63">
        <f>IF(G860="","",MONTH(G860))</f>
        <v/>
      </c>
      <c r="E860" s="63">
        <f>IF(G860="","",YEAR(G860))</f>
        <v/>
      </c>
      <c r="F860" s="33">
        <f>IF(G860="","",CHOOSE(MONTH(G860),"Janeiro","Fevereiro","Março","Abril","Maio","Junho","Julho","Agosto","Setembro","Outubro","Novembro","Dezembro"))</f>
        <v/>
      </c>
      <c r="G860" s="64" t="n">
        <v>46079</v>
      </c>
      <c r="H860" s="65" t="n">
        <v>0.08199074074074074</v>
      </c>
      <c r="I860" s="66" t="inlineStr">
        <is>
          <t>https://docs.google.com/spreadsheets/d/1ZiCGoPjLCjuYvujDTXK9Ixbth3tekiLtFBzBrGjPCr4/edit?gid=0#gid=0</t>
        </is>
      </c>
      <c r="J860" s="67" t="inlineStr">
        <is>
          <t>Overpaid, Não excede o limite, Com comprovante - [OPNC]</t>
        </is>
      </c>
      <c r="K860" s="67" t="inlineStr"/>
      <c r="L860" s="68" t="b">
        <v>1</v>
      </c>
      <c r="M860" s="20" t="n"/>
      <c r="N860" s="69">
        <f>IF($J860="","",IFERROR(INDEX(B!$F$2:$F$61,MATCH($J860,B!$E$2:$E$61,0))&amp;"",""))</f>
        <v/>
      </c>
      <c r="O860" s="69">
        <f>IF($J860="","",IFERROR(INDEX(B!$G$2:$G$61,MATCH($J860,B!$E$2:$E$61,0))&amp;"",""))</f>
        <v/>
      </c>
      <c r="P860" s="69">
        <f>IF($J860="","",IFERROR(INDEX(B!$H$2:$H$61,MATCH($J860,B!$E$2:$E$61,0))&amp;"",""))</f>
        <v/>
      </c>
      <c r="Q860" s="69">
        <f>IF($J860="","",IFERROR(INDEX(B!$I$2:$I$61,MATCH($J860,B!$E$2:$E$61,0))&amp;"",""))</f>
        <v/>
      </c>
      <c r="R860" s="69">
        <f>IF($J860="","",IFERROR(INDEX(B!$J$2:$J$61,MATCH($J860,B!$E$2:$E$61,0))&amp;"",""))</f>
        <v/>
      </c>
      <c r="S860" s="69">
        <f>IF($J860="","",IFERROR(INDEX(B!$K$2:$K$61,MATCH($J860,B!$E$2:$E$61,0))&amp;"",""))</f>
        <v/>
      </c>
      <c r="T860" s="69">
        <f>IF($J860="","",IFERROR(INDEX(B!$L$2:$L$61,MATCH($J860,B!$E$2:$E$61,0))&amp;"",""))</f>
        <v/>
      </c>
      <c r="U860" s="20" t="n"/>
      <c r="V860" s="70">
        <f>IF($J860="","",IFERROR(INDEX(B!$M$2:$M$61,MATCH($J860,B!$E$2:$E$61,0))&amp;"",""))</f>
        <v/>
      </c>
      <c r="W860" s="71">
        <f>IF(I860="","",IFERROR(MID(I860,FIND("/d/",I860)+3,FIND("/edit",I860)-FIND("/d/",I860)-3),I860))</f>
        <v/>
      </c>
      <c r="X860" s="71">
        <f>IF($J860="","",IFERROR(INDEX(B!$C$2:$C$61,MATCH($J860,B!$E$2:$E$61,0))&amp;"",""))</f>
        <v/>
      </c>
      <c r="Y860" s="20" t="n"/>
      <c r="Z860" s="72">
        <f>IF($J860="",FALSE,ISNUMBER(SEARCH("scout",$K860)))</f>
        <v/>
      </c>
      <c r="AA860" s="72">
        <f>IF($J860="",FALSE,IFERROR(INDEX(B!$N$2:$N$61,MATCH($J860,B!$E$2:$E$61,0))="Sim",FALSE))</f>
        <v/>
      </c>
      <c r="AB860" s="72">
        <f>IF($J860="",FALSE,LEFT($X860,2)="XX")</f>
        <v/>
      </c>
      <c r="AC860" s="72">
        <f>IF($J860="",FALSE,IFERROR(INDEX(B!$P$2:$P$61,MATCH($J860,B!$E$2:$E$61,0))="Sim",FALSE))</f>
        <v/>
      </c>
      <c r="AD860" s="20" t="n"/>
      <c r="AE860" s="52">
        <f>IF(H860="","",HOUR(H860))</f>
        <v/>
      </c>
      <c r="AF860" s="52" t="n"/>
    </row>
    <row r="861" ht="19.5" customHeight="1" s="58">
      <c r="A861" s="62">
        <f>IF(G861="","",IF(G861=G860,"",COUNTIF($G$3:$G$976,G861)))</f>
        <v/>
      </c>
      <c r="B861" s="20" t="n"/>
      <c r="C861" s="63">
        <f>IF(G861="","",DAY(G861))</f>
        <v/>
      </c>
      <c r="D861" s="63">
        <f>IF(G861="","",MONTH(G861))</f>
        <v/>
      </c>
      <c r="E861" s="63">
        <f>IF(G861="","",YEAR(G861))</f>
        <v/>
      </c>
      <c r="F861" s="33">
        <f>IF(G861="","",CHOOSE(MONTH(G861),"Janeiro","Fevereiro","Março","Abril","Maio","Junho","Julho","Agosto","Setembro","Outubro","Novembro","Dezembro"))</f>
        <v/>
      </c>
      <c r="G861" s="64" t="n">
        <v>46079</v>
      </c>
      <c r="H861" s="65" t="n">
        <v>0.09015046296296296</v>
      </c>
      <c r="I861" s="66" t="inlineStr">
        <is>
          <t>https://docs.google.com/spreadsheets/d/1ZiCGoPjLCjuYvujDTXK9Ixbth3tekiLtFBzBrGjPCr4/edit?gid=0#gid=0</t>
        </is>
      </c>
      <c r="J861" s="67" t="inlineStr">
        <is>
          <t>Overpaid, Excede o limite, Sem comprovante - [OPEN]</t>
        </is>
      </c>
      <c r="K861" s="67" t="inlineStr"/>
      <c r="L861" s="68" t="b">
        <v>0</v>
      </c>
      <c r="M861" s="20" t="n"/>
      <c r="N861" s="69">
        <f>IF($J861="","",IFERROR(INDEX(B!$F$2:$F$61,MATCH($J861,B!$E$2:$E$61,0))&amp;"",""))</f>
        <v/>
      </c>
      <c r="O861" s="69">
        <f>IF($J861="","",IFERROR(INDEX(B!$G$2:$G$61,MATCH($J861,B!$E$2:$E$61,0))&amp;"",""))</f>
        <v/>
      </c>
      <c r="P861" s="69">
        <f>IF($J861="","",IFERROR(INDEX(B!$H$2:$H$61,MATCH($J861,B!$E$2:$E$61,0))&amp;"",""))</f>
        <v/>
      </c>
      <c r="Q861" s="69">
        <f>IF($J861="","",IFERROR(INDEX(B!$I$2:$I$61,MATCH($J861,B!$E$2:$E$61,0))&amp;"",""))</f>
        <v/>
      </c>
      <c r="R861" s="69">
        <f>IF($J861="","",IFERROR(INDEX(B!$J$2:$J$61,MATCH($J861,B!$E$2:$E$61,0))&amp;"",""))</f>
        <v/>
      </c>
      <c r="S861" s="69">
        <f>IF($J861="","",IFERROR(INDEX(B!$K$2:$K$61,MATCH($J861,B!$E$2:$E$61,0))&amp;"",""))</f>
        <v/>
      </c>
      <c r="T861" s="69">
        <f>IF($J861="","",IFERROR(INDEX(B!$L$2:$L$61,MATCH($J861,B!$E$2:$E$61,0))&amp;"",""))</f>
        <v/>
      </c>
      <c r="U861" s="20" t="n"/>
      <c r="V861" s="70">
        <f>IF($J861="","",IFERROR(INDEX(B!$M$2:$M$61,MATCH($J861,B!$E$2:$E$61,0))&amp;"",""))</f>
        <v/>
      </c>
      <c r="W861" s="71">
        <f>IF(I861="","",IFERROR(MID(I861,FIND("/d/",I861)+3,FIND("/edit",I861)-FIND("/d/",I861)-3),I861))</f>
        <v/>
      </c>
      <c r="X861" s="71">
        <f>IF($J861="","",IFERROR(INDEX(B!$C$2:$C$61,MATCH($J861,B!$E$2:$E$61,0))&amp;"",""))</f>
        <v/>
      </c>
      <c r="Y861" s="20" t="n"/>
      <c r="Z861" s="72">
        <f>IF($J861="",FALSE,ISNUMBER(SEARCH("scout",$K861)))</f>
        <v/>
      </c>
      <c r="AA861" s="72">
        <f>IF($J861="",FALSE,IFERROR(INDEX(B!$N$2:$N$61,MATCH($J861,B!$E$2:$E$61,0))="Sim",FALSE))</f>
        <v/>
      </c>
      <c r="AB861" s="72">
        <f>IF($J861="",FALSE,LEFT($X861,2)="XX")</f>
        <v/>
      </c>
      <c r="AC861" s="72">
        <f>IF($J861="",FALSE,IFERROR(INDEX(B!$P$2:$P$61,MATCH($J861,B!$E$2:$E$61,0))="Sim",FALSE))</f>
        <v/>
      </c>
      <c r="AD861" s="20" t="n"/>
      <c r="AE861" s="52">
        <f>IF(H861="","",HOUR(H861))</f>
        <v/>
      </c>
      <c r="AF861" s="52" t="n"/>
    </row>
    <row r="862" ht="19.5" customHeight="1" s="58">
      <c r="A862" s="62">
        <f>IF(G862="","",IF(G862=G861,"",COUNTIF($G$3:$G$976,G862)))</f>
        <v/>
      </c>
      <c r="B862" s="20" t="n"/>
      <c r="C862" s="63">
        <f>IF(G862="","",DAY(G862))</f>
        <v/>
      </c>
      <c r="D862" s="63">
        <f>IF(G862="","",MONTH(G862))</f>
        <v/>
      </c>
      <c r="E862" s="63">
        <f>IF(G862="","",YEAR(G862))</f>
        <v/>
      </c>
      <c r="F862" s="33">
        <f>IF(G862="","",CHOOSE(MONTH(G862),"Janeiro","Fevereiro","Março","Abril","Maio","Junho","Julho","Agosto","Setembro","Outubro","Novembro","Dezembro"))</f>
        <v/>
      </c>
      <c r="G862" s="64" t="n">
        <v>46079</v>
      </c>
      <c r="H862" s="65" t="n">
        <v>0.09247685185185185</v>
      </c>
      <c r="I862" s="66" t="inlineStr">
        <is>
          <t>https://docs.google.com/spreadsheets/d/1ZiCGoPjLCjuYvujDTXK9Ixbth3tekiLtFBzBrGjPCr4/edit?gid=0#gid=0</t>
        </is>
      </c>
      <c r="J862" s="67" t="inlineStr">
        <is>
          <t>Taxa de Cancelamento - [TXC]</t>
        </is>
      </c>
      <c r="K862" s="67" t="inlineStr"/>
      <c r="L862" s="68" t="b">
        <v>0</v>
      </c>
      <c r="M862" s="20" t="n"/>
      <c r="N862" s="69">
        <f>IF($J862="","",IFERROR(INDEX(B!$F$2:$F$61,MATCH($J862,B!$E$2:$E$61,0))&amp;"",""))</f>
        <v/>
      </c>
      <c r="O862" s="69">
        <f>IF($J862="","",IFERROR(INDEX(B!$G$2:$G$61,MATCH($J862,B!$E$2:$E$61,0))&amp;"",""))</f>
        <v/>
      </c>
      <c r="P862" s="69">
        <f>IF($J862="","",IFERROR(INDEX(B!$H$2:$H$61,MATCH($J862,B!$E$2:$E$61,0))&amp;"",""))</f>
        <v/>
      </c>
      <c r="Q862" s="69">
        <f>IF($J862="","",IFERROR(INDEX(B!$I$2:$I$61,MATCH($J862,B!$E$2:$E$61,0))&amp;"",""))</f>
        <v/>
      </c>
      <c r="R862" s="69">
        <f>IF($J862="","",IFERROR(INDEX(B!$J$2:$J$61,MATCH($J862,B!$E$2:$E$61,0))&amp;"",""))</f>
        <v/>
      </c>
      <c r="S862" s="69">
        <f>IF($J862="","",IFERROR(INDEX(B!$K$2:$K$61,MATCH($J862,B!$E$2:$E$61,0))&amp;"",""))</f>
        <v/>
      </c>
      <c r="T862" s="69">
        <f>IF($J862="","",IFERROR(INDEX(B!$L$2:$L$61,MATCH($J862,B!$E$2:$E$61,0))&amp;"",""))</f>
        <v/>
      </c>
      <c r="U862" s="20" t="n"/>
      <c r="V862" s="70">
        <f>IF($J862="","",IFERROR(INDEX(B!$M$2:$M$61,MATCH($J862,B!$E$2:$E$61,0))&amp;"",""))</f>
        <v/>
      </c>
      <c r="W862" s="71">
        <f>IF(I862="","",IFERROR(MID(I862,FIND("/d/",I862)+3,FIND("/edit",I862)-FIND("/d/",I862)-3),I862))</f>
        <v/>
      </c>
      <c r="X862" s="71">
        <f>IF($J862="","",IFERROR(INDEX(B!$C$2:$C$61,MATCH($J862,B!$E$2:$E$61,0))&amp;"",""))</f>
        <v/>
      </c>
      <c r="Y862" s="20" t="n"/>
      <c r="Z862" s="72">
        <f>IF($J862="",FALSE,ISNUMBER(SEARCH("scout",$K862)))</f>
        <v/>
      </c>
      <c r="AA862" s="72">
        <f>IF($J862="",FALSE,IFERROR(INDEX(B!$N$2:$N$61,MATCH($J862,B!$E$2:$E$61,0))="Sim",FALSE))</f>
        <v/>
      </c>
      <c r="AB862" s="72">
        <f>IF($J862="",FALSE,LEFT($X862,2)="XX")</f>
        <v/>
      </c>
      <c r="AC862" s="72">
        <f>IF($J862="",FALSE,IFERROR(INDEX(B!$P$2:$P$61,MATCH($J862,B!$E$2:$E$61,0))="Sim",FALSE))</f>
        <v/>
      </c>
      <c r="AD862" s="20" t="n"/>
      <c r="AE862" s="52">
        <f>IF(H862="","",HOUR(H862))</f>
        <v/>
      </c>
      <c r="AF862" s="52" t="n"/>
    </row>
    <row r="863" ht="19.5" customHeight="1" s="58">
      <c r="A863" s="62">
        <f>IF(G863="","",IF(G863=G862,"",COUNTIF($G$3:$G$976,G863)))</f>
        <v/>
      </c>
      <c r="B863" s="20" t="n"/>
      <c r="C863" s="63">
        <f>IF(G863="","",DAY(G863))</f>
        <v/>
      </c>
      <c r="D863" s="63">
        <f>IF(G863="","",MONTH(G863))</f>
        <v/>
      </c>
      <c r="E863" s="63">
        <f>IF(G863="","",YEAR(G863))</f>
        <v/>
      </c>
      <c r="F863" s="33">
        <f>IF(G863="","",CHOOSE(MONTH(G863),"Janeiro","Fevereiro","Março","Abril","Maio","Junho","Julho","Agosto","Setembro","Outubro","Novembro","Dezembro"))</f>
        <v/>
      </c>
      <c r="G863" s="64" t="n">
        <v>46079</v>
      </c>
      <c r="H863" s="65" t="n">
        <v>0.09620370370370371</v>
      </c>
      <c r="I863" s="66" t="inlineStr">
        <is>
          <t>https://docs.google.com/spreadsheets/d/1ZiCGoPjLCjuYvujDTXK9Ixbth3tekiLtFBzBrGjPCr4/edit?gid=0#gid=0</t>
        </is>
      </c>
      <c r="J863" s="67" t="inlineStr">
        <is>
          <t>Transferência de LOB (Driver) - [TIDV]</t>
        </is>
      </c>
      <c r="K863" s="67" t="inlineStr"/>
      <c r="L863" s="68" t="b">
        <v>0</v>
      </c>
      <c r="M863" s="20" t="n"/>
      <c r="N863" s="69">
        <f>IF($J863="","",IFERROR(INDEX(B!$F$2:$F$61,MATCH($J863,B!$E$2:$E$61,0))&amp;"",""))</f>
        <v/>
      </c>
      <c r="O863" s="69">
        <f>IF($J863="","",IFERROR(INDEX(B!$G$2:$G$61,MATCH($J863,B!$E$2:$E$61,0))&amp;"",""))</f>
        <v/>
      </c>
      <c r="P863" s="69">
        <f>IF($J863="","",IFERROR(INDEX(B!$H$2:$H$61,MATCH($J863,B!$E$2:$E$61,0))&amp;"",""))</f>
        <v/>
      </c>
      <c r="Q863" s="69">
        <f>IF($J863="","",IFERROR(INDEX(B!$I$2:$I$61,MATCH($J863,B!$E$2:$E$61,0))&amp;"",""))</f>
        <v/>
      </c>
      <c r="R863" s="69">
        <f>IF($J863="","",IFERROR(INDEX(B!$J$2:$J$61,MATCH($J863,B!$E$2:$E$61,0))&amp;"",""))</f>
        <v/>
      </c>
      <c r="S863" s="69">
        <f>IF($J863="","",IFERROR(INDEX(B!$K$2:$K$61,MATCH($J863,B!$E$2:$E$61,0))&amp;"",""))</f>
        <v/>
      </c>
      <c r="T863" s="69">
        <f>IF($J863="","",IFERROR(INDEX(B!$L$2:$L$61,MATCH($J863,B!$E$2:$E$61,0))&amp;"",""))</f>
        <v/>
      </c>
      <c r="U863" s="20" t="n"/>
      <c r="V863" s="70">
        <f>IF($J863="","",IFERROR(INDEX(B!$M$2:$M$61,MATCH($J863,B!$E$2:$E$61,0))&amp;"",""))</f>
        <v/>
      </c>
      <c r="W863" s="71">
        <f>IF(I863="","",IFERROR(MID(I863,FIND("/d/",I863)+3,FIND("/edit",I863)-FIND("/d/",I863)-3),I863))</f>
        <v/>
      </c>
      <c r="X863" s="71">
        <f>IF($J863="","",IFERROR(INDEX(B!$C$2:$C$61,MATCH($J863,B!$E$2:$E$61,0))&amp;"",""))</f>
        <v/>
      </c>
      <c r="Y863" s="20" t="n"/>
      <c r="Z863" s="72">
        <f>IF($J863="",FALSE,ISNUMBER(SEARCH("scout",$K863)))</f>
        <v/>
      </c>
      <c r="AA863" s="72">
        <f>IF($J863="",FALSE,IFERROR(INDEX(B!$N$2:$N$61,MATCH($J863,B!$E$2:$E$61,0))="Sim",FALSE))</f>
        <v/>
      </c>
      <c r="AB863" s="72">
        <f>IF($J863="",FALSE,LEFT($X863,2)="XX")</f>
        <v/>
      </c>
      <c r="AC863" s="72">
        <f>IF($J863="",FALSE,IFERROR(INDEX(B!$P$2:$P$61,MATCH($J863,B!$E$2:$E$61,0))="Sim",FALSE))</f>
        <v/>
      </c>
      <c r="AD863" s="20" t="n"/>
      <c r="AE863" s="52">
        <f>IF(H863="","",HOUR(H863))</f>
        <v/>
      </c>
      <c r="AF863" s="52" t="n"/>
    </row>
    <row r="864" ht="19.5" customHeight="1" s="58">
      <c r="A864" s="62">
        <f>IF(G864="","",IF(G864=G863,"",COUNTIF($G$3:$G$976,G864)))</f>
        <v/>
      </c>
      <c r="B864" s="20" t="n"/>
      <c r="C864" s="63">
        <f>IF(G864="","",DAY(G864))</f>
        <v/>
      </c>
      <c r="D864" s="63">
        <f>IF(G864="","",MONTH(G864))</f>
        <v/>
      </c>
      <c r="E864" s="63">
        <f>IF(G864="","",YEAR(G864))</f>
        <v/>
      </c>
      <c r="F864" s="33">
        <f>IF(G864="","",CHOOSE(MONTH(G864),"Janeiro","Fevereiro","Março","Abril","Maio","Junho","Julho","Agosto","Setembro","Outubro","Novembro","Dezembro"))</f>
        <v/>
      </c>
      <c r="G864" s="64" t="n">
        <v>46079</v>
      </c>
      <c r="H864" s="65" t="n">
        <v>0.09777777777777778</v>
      </c>
      <c r="I864" s="66" t="inlineStr">
        <is>
          <t>https://docs.google.com/spreadsheets/d/1ZiCGoPjLCjuYvujDTXK9Ixbth3tekiLtFBzBrGjPCr4/edit?gid=0#gid=0</t>
        </is>
      </c>
      <c r="J864" s="67" t="inlineStr">
        <is>
          <t>Evento Raro - [ER]</t>
        </is>
      </c>
      <c r="K864" s="67" t="inlineStr">
        <is>
          <t>Scout</t>
        </is>
      </c>
      <c r="L864" s="68" t="b">
        <v>0</v>
      </c>
      <c r="M864" s="20" t="n"/>
      <c r="N864" s="69">
        <f>IF($J864="","",IFERROR(INDEX(B!$F$2:$F$61,MATCH($J864,B!$E$2:$E$61,0))&amp;"",""))</f>
        <v/>
      </c>
      <c r="O864" s="69">
        <f>IF($J864="","",IFERROR(INDEX(B!$G$2:$G$61,MATCH($J864,B!$E$2:$E$61,0))&amp;"",""))</f>
        <v/>
      </c>
      <c r="P864" s="69">
        <f>IF($J864="","",IFERROR(INDEX(B!$H$2:$H$61,MATCH($J864,B!$E$2:$E$61,0))&amp;"",""))</f>
        <v/>
      </c>
      <c r="Q864" s="69">
        <f>IF($J864="","",IFERROR(INDEX(B!$I$2:$I$61,MATCH($J864,B!$E$2:$E$61,0))&amp;"",""))</f>
        <v/>
      </c>
      <c r="R864" s="69">
        <f>IF($J864="","",IFERROR(INDEX(B!$J$2:$J$61,MATCH($J864,B!$E$2:$E$61,0))&amp;"",""))</f>
        <v/>
      </c>
      <c r="S864" s="69">
        <f>IF($J864="","",IFERROR(INDEX(B!$K$2:$K$61,MATCH($J864,B!$E$2:$E$61,0))&amp;"",""))</f>
        <v/>
      </c>
      <c r="T864" s="69">
        <f>IF($J864="","",IFERROR(INDEX(B!$L$2:$L$61,MATCH($J864,B!$E$2:$E$61,0))&amp;"",""))</f>
        <v/>
      </c>
      <c r="U864" s="20" t="n"/>
      <c r="V864" s="70">
        <f>IF($J864="","",IFERROR(INDEX(B!$M$2:$M$61,MATCH($J864,B!$E$2:$E$61,0))&amp;"",""))</f>
        <v/>
      </c>
      <c r="W864" s="71">
        <f>IF(I864="","",IFERROR(MID(I864,FIND("/d/",I864)+3,FIND("/edit",I864)-FIND("/d/",I864)-3),I864))</f>
        <v/>
      </c>
      <c r="X864" s="71">
        <f>IF($J864="","",IFERROR(INDEX(B!$C$2:$C$61,MATCH($J864,B!$E$2:$E$61,0))&amp;"",""))</f>
        <v/>
      </c>
      <c r="Y864" s="20" t="n"/>
      <c r="Z864" s="72">
        <f>IF($J864="",FALSE,ISNUMBER(SEARCH("scout",$K864)))</f>
        <v/>
      </c>
      <c r="AA864" s="72">
        <f>IF($J864="",FALSE,IFERROR(INDEX(B!$N$2:$N$61,MATCH($J864,B!$E$2:$E$61,0))="Sim",FALSE))</f>
        <v/>
      </c>
      <c r="AB864" s="72">
        <f>IF($J864="",FALSE,LEFT($X864,2)="XX")</f>
        <v/>
      </c>
      <c r="AC864" s="72">
        <f>IF($J864="",FALSE,IFERROR(INDEX(B!$P$2:$P$61,MATCH($J864,B!$E$2:$E$61,0))="Sim",FALSE))</f>
        <v/>
      </c>
      <c r="AD864" s="20" t="n"/>
      <c r="AE864" s="52">
        <f>IF(H864="","",HOUR(H864))</f>
        <v/>
      </c>
      <c r="AF864" s="52" t="n"/>
    </row>
    <row r="865" ht="19.5" customHeight="1" s="58">
      <c r="A865" s="62">
        <f>IF(G865="","",IF(G865=G864,"",COUNTIF($G$3:$G$976,G865)))</f>
        <v/>
      </c>
      <c r="B865" s="20" t="n"/>
      <c r="C865" s="63">
        <f>IF(G865="","",DAY(G865))</f>
        <v/>
      </c>
      <c r="D865" s="63">
        <f>IF(G865="","",MONTH(G865))</f>
        <v/>
      </c>
      <c r="E865" s="63">
        <f>IF(G865="","",YEAR(G865))</f>
        <v/>
      </c>
      <c r="F865" s="33">
        <f>IF(G865="","",CHOOSE(MONTH(G865),"Janeiro","Fevereiro","Março","Abril","Maio","Junho","Julho","Agosto","Setembro","Outubro","Novembro","Dezembro"))</f>
        <v/>
      </c>
      <c r="G865" s="64" t="n">
        <v>46079</v>
      </c>
      <c r="H865" s="65" t="n">
        <v>0.1024189814814815</v>
      </c>
      <c r="I865" s="66" t="inlineStr">
        <is>
          <t>https://docs.google.com/spreadsheets/d/1ZiCGoPjLCjuYvujDTXK9Ixbth3tekiLtFBzBrGjPCr4/edit?gid=0#gid=0</t>
        </is>
      </c>
      <c r="J865" s="67" t="inlineStr">
        <is>
          <t>Transferência de LOB (Driver) - [TIDV]</t>
        </is>
      </c>
      <c r="K865" s="67" t="inlineStr"/>
      <c r="L865" s="68" t="b">
        <v>0</v>
      </c>
      <c r="M865" s="20" t="n"/>
      <c r="N865" s="69">
        <f>IF($J865="","",IFERROR(INDEX(B!$F$2:$F$61,MATCH($J865,B!$E$2:$E$61,0))&amp;"",""))</f>
        <v/>
      </c>
      <c r="O865" s="69">
        <f>IF($J865="","",IFERROR(INDEX(B!$G$2:$G$61,MATCH($J865,B!$E$2:$E$61,0))&amp;"",""))</f>
        <v/>
      </c>
      <c r="P865" s="69">
        <f>IF($J865="","",IFERROR(INDEX(B!$H$2:$H$61,MATCH($J865,B!$E$2:$E$61,0))&amp;"",""))</f>
        <v/>
      </c>
      <c r="Q865" s="69">
        <f>IF($J865="","",IFERROR(INDEX(B!$I$2:$I$61,MATCH($J865,B!$E$2:$E$61,0))&amp;"",""))</f>
        <v/>
      </c>
      <c r="R865" s="69">
        <f>IF($J865="","",IFERROR(INDEX(B!$J$2:$J$61,MATCH($J865,B!$E$2:$E$61,0))&amp;"",""))</f>
        <v/>
      </c>
      <c r="S865" s="69">
        <f>IF($J865="","",IFERROR(INDEX(B!$K$2:$K$61,MATCH($J865,B!$E$2:$E$61,0))&amp;"",""))</f>
        <v/>
      </c>
      <c r="T865" s="69">
        <f>IF($J865="","",IFERROR(INDEX(B!$L$2:$L$61,MATCH($J865,B!$E$2:$E$61,0))&amp;"",""))</f>
        <v/>
      </c>
      <c r="U865" s="20" t="n"/>
      <c r="V865" s="70">
        <f>IF($J865="","",IFERROR(INDEX(B!$M$2:$M$61,MATCH($J865,B!$E$2:$E$61,0))&amp;"",""))</f>
        <v/>
      </c>
      <c r="W865" s="71">
        <f>IF(I865="","",IFERROR(MID(I865,FIND("/d/",I865)+3,FIND("/edit",I865)-FIND("/d/",I865)-3),I865))</f>
        <v/>
      </c>
      <c r="X865" s="71">
        <f>IF($J865="","",IFERROR(INDEX(B!$C$2:$C$61,MATCH($J865,B!$E$2:$E$61,0))&amp;"",""))</f>
        <v/>
      </c>
      <c r="Y865" s="20" t="n"/>
      <c r="Z865" s="72">
        <f>IF($J865="",FALSE,ISNUMBER(SEARCH("scout",$K865)))</f>
        <v/>
      </c>
      <c r="AA865" s="72">
        <f>IF($J865="",FALSE,IFERROR(INDEX(B!$N$2:$N$61,MATCH($J865,B!$E$2:$E$61,0))="Sim",FALSE))</f>
        <v/>
      </c>
      <c r="AB865" s="72">
        <f>IF($J865="",FALSE,LEFT($X865,2)="XX")</f>
        <v/>
      </c>
      <c r="AC865" s="72">
        <f>IF($J865="",FALSE,IFERROR(INDEX(B!$P$2:$P$61,MATCH($J865,B!$E$2:$E$61,0))="Sim",FALSE))</f>
        <v/>
      </c>
      <c r="AD865" s="20" t="n"/>
      <c r="AE865" s="52">
        <f>IF(H865="","",HOUR(H865))</f>
        <v/>
      </c>
      <c r="AF865" s="52" t="n"/>
    </row>
    <row r="866" ht="19.5" customHeight="1" s="58">
      <c r="A866" s="62">
        <f>IF(G866="","",IF(G866=G865,"",COUNTIF($G$3:$G$976,G866)))</f>
        <v/>
      </c>
      <c r="B866" s="20" t="n"/>
      <c r="C866" s="63">
        <f>IF(G866="","",DAY(G866))</f>
        <v/>
      </c>
      <c r="D866" s="63">
        <f>IF(G866="","",MONTH(G866))</f>
        <v/>
      </c>
      <c r="E866" s="63">
        <f>IF(G866="","",YEAR(G866))</f>
        <v/>
      </c>
      <c r="F866" s="33">
        <f>IF(G866="","",CHOOSE(MONTH(G866),"Janeiro","Fevereiro","Março","Abril","Maio","Junho","Julho","Agosto","Setembro","Outubro","Novembro","Dezembro"))</f>
        <v/>
      </c>
      <c r="G866" s="64" t="n">
        <v>46079</v>
      </c>
      <c r="H866" s="65" t="n">
        <v>0.1026967592592593</v>
      </c>
      <c r="I866" s="66" t="inlineStr">
        <is>
          <t>https://docs.google.com/spreadsheets/d/1ZiCGoPjLCjuYvujDTXK9Ixbth3tekiLtFBzBrGjPCr4/edit?gid=0#gid=0</t>
        </is>
      </c>
      <c r="J866" s="67" t="inlineStr">
        <is>
          <t>Mais informações (Quanto Pagou?) - [AAV]</t>
        </is>
      </c>
      <c r="K866" s="67" t="inlineStr"/>
      <c r="L866" s="68" t="b">
        <v>0</v>
      </c>
      <c r="M866" s="20" t="n"/>
      <c r="N866" s="69">
        <f>IF($J866="","",IFERROR(INDEX(B!$F$2:$F$61,MATCH($J866,B!$E$2:$E$61,0))&amp;"",""))</f>
        <v/>
      </c>
      <c r="O866" s="69">
        <f>IF($J866="","",IFERROR(INDEX(B!$G$2:$G$61,MATCH($J866,B!$E$2:$E$61,0))&amp;"",""))</f>
        <v/>
      </c>
      <c r="P866" s="69">
        <f>IF($J866="","",IFERROR(INDEX(B!$H$2:$H$61,MATCH($J866,B!$E$2:$E$61,0))&amp;"",""))</f>
        <v/>
      </c>
      <c r="Q866" s="69">
        <f>IF($J866="","",IFERROR(INDEX(B!$I$2:$I$61,MATCH($J866,B!$E$2:$E$61,0))&amp;"",""))</f>
        <v/>
      </c>
      <c r="R866" s="69">
        <f>IF($J866="","",IFERROR(INDEX(B!$J$2:$J$61,MATCH($J866,B!$E$2:$E$61,0))&amp;"",""))</f>
        <v/>
      </c>
      <c r="S866" s="69">
        <f>IF($J866="","",IFERROR(INDEX(B!$K$2:$K$61,MATCH($J866,B!$E$2:$E$61,0))&amp;"",""))</f>
        <v/>
      </c>
      <c r="T866" s="69">
        <f>IF($J866="","",IFERROR(INDEX(B!$L$2:$L$61,MATCH($J866,B!$E$2:$E$61,0))&amp;"",""))</f>
        <v/>
      </c>
      <c r="U866" s="20" t="n"/>
      <c r="V866" s="70">
        <f>IF($J866="","",IFERROR(INDEX(B!$M$2:$M$61,MATCH($J866,B!$E$2:$E$61,0))&amp;"",""))</f>
        <v/>
      </c>
      <c r="W866" s="71">
        <f>IF(I866="","",IFERROR(MID(I866,FIND("/d/",I866)+3,FIND("/edit",I866)-FIND("/d/",I866)-3),I866))</f>
        <v/>
      </c>
      <c r="X866" s="71">
        <f>IF($J866="","",IFERROR(INDEX(B!$C$2:$C$61,MATCH($J866,B!$E$2:$E$61,0))&amp;"",""))</f>
        <v/>
      </c>
      <c r="Y866" s="20" t="n"/>
      <c r="Z866" s="72">
        <f>IF($J866="",FALSE,ISNUMBER(SEARCH("scout",$K866)))</f>
        <v/>
      </c>
      <c r="AA866" s="72">
        <f>IF($J866="",FALSE,IFERROR(INDEX(B!$N$2:$N$61,MATCH($J866,B!$E$2:$E$61,0))="Sim",FALSE))</f>
        <v/>
      </c>
      <c r="AB866" s="72">
        <f>IF($J866="",FALSE,LEFT($X866,2)="XX")</f>
        <v/>
      </c>
      <c r="AC866" s="72">
        <f>IF($J866="",FALSE,IFERROR(INDEX(B!$P$2:$P$61,MATCH($J866,B!$E$2:$E$61,0))="Sim",FALSE))</f>
        <v/>
      </c>
      <c r="AD866" s="20" t="n"/>
      <c r="AE866" s="52">
        <f>IF(H866="","",HOUR(H866))</f>
        <v/>
      </c>
      <c r="AF866" s="52" t="n"/>
    </row>
    <row r="867" ht="19.5" customHeight="1" s="58">
      <c r="A867" s="62">
        <f>IF(G867="","",IF(G867=G866,"",COUNTIF($G$3:$G$976,G867)))</f>
        <v/>
      </c>
      <c r="B867" s="20" t="n"/>
      <c r="C867" s="63">
        <f>IF(G867="","",DAY(G867))</f>
        <v/>
      </c>
      <c r="D867" s="63">
        <f>IF(G867="","",MONTH(G867))</f>
        <v/>
      </c>
      <c r="E867" s="63">
        <f>IF(G867="","",YEAR(G867))</f>
        <v/>
      </c>
      <c r="F867" s="33">
        <f>IF(G867="","",CHOOSE(MONTH(G867),"Janeiro","Fevereiro","Março","Abril","Maio","Junho","Julho","Agosto","Setembro","Outubro","Novembro","Dezembro"))</f>
        <v/>
      </c>
      <c r="G867" s="64" t="n">
        <v>46079</v>
      </c>
      <c r="H867" s="65" t="n">
        <v>0.1096296296296296</v>
      </c>
      <c r="I867" s="66" t="inlineStr">
        <is>
          <t>https://docs.google.com/spreadsheets/d/1ZiCGoPjLCjuYvujDTXK9Ixbth3tekiLtFBzBrGjPCr4/edit?gid=0#gid=0</t>
        </is>
      </c>
      <c r="J867" s="67" t="inlineStr">
        <is>
          <t>Taxa de Limpeza, Reembolsado ao cliente - [TXLR]</t>
        </is>
      </c>
      <c r="K867" s="67" t="inlineStr"/>
      <c r="L867" s="68" t="b">
        <v>0</v>
      </c>
      <c r="M867" s="20" t="n"/>
      <c r="N867" s="69">
        <f>IF($J867="","",IFERROR(INDEX(B!$F$2:$F$61,MATCH($J867,B!$E$2:$E$61,0))&amp;"",""))</f>
        <v/>
      </c>
      <c r="O867" s="69">
        <f>IF($J867="","",IFERROR(INDEX(B!$G$2:$G$61,MATCH($J867,B!$E$2:$E$61,0))&amp;"",""))</f>
        <v/>
      </c>
      <c r="P867" s="69">
        <f>IF($J867="","",IFERROR(INDEX(B!$H$2:$H$61,MATCH($J867,B!$E$2:$E$61,0))&amp;"",""))</f>
        <v/>
      </c>
      <c r="Q867" s="69">
        <f>IF($J867="","",IFERROR(INDEX(B!$I$2:$I$61,MATCH($J867,B!$E$2:$E$61,0))&amp;"",""))</f>
        <v/>
      </c>
      <c r="R867" s="69">
        <f>IF($J867="","",IFERROR(INDEX(B!$J$2:$J$61,MATCH($J867,B!$E$2:$E$61,0))&amp;"",""))</f>
        <v/>
      </c>
      <c r="S867" s="69">
        <f>IF($J867="","",IFERROR(INDEX(B!$K$2:$K$61,MATCH($J867,B!$E$2:$E$61,0))&amp;"",""))</f>
        <v/>
      </c>
      <c r="T867" s="69">
        <f>IF($J867="","",IFERROR(INDEX(B!$L$2:$L$61,MATCH($J867,B!$E$2:$E$61,0))&amp;"",""))</f>
        <v/>
      </c>
      <c r="U867" s="20" t="n"/>
      <c r="V867" s="70">
        <f>IF($J867="","",IFERROR(INDEX(B!$M$2:$M$61,MATCH($J867,B!$E$2:$E$61,0))&amp;"",""))</f>
        <v/>
      </c>
      <c r="W867" s="71">
        <f>IF(I867="","",IFERROR(MID(I867,FIND("/d/",I867)+3,FIND("/edit",I867)-FIND("/d/",I867)-3),I867))</f>
        <v/>
      </c>
      <c r="X867" s="71">
        <f>IF($J867="","",IFERROR(INDEX(B!$C$2:$C$61,MATCH($J867,B!$E$2:$E$61,0))&amp;"",""))</f>
        <v/>
      </c>
      <c r="Y867" s="20" t="n"/>
      <c r="Z867" s="72">
        <f>IF($J867="",FALSE,ISNUMBER(SEARCH("scout",$K867)))</f>
        <v/>
      </c>
      <c r="AA867" s="72">
        <f>IF($J867="",FALSE,IFERROR(INDEX(B!$N$2:$N$61,MATCH($J867,B!$E$2:$E$61,0))="Sim",FALSE))</f>
        <v/>
      </c>
      <c r="AB867" s="72">
        <f>IF($J867="",FALSE,LEFT($X867,2)="XX")</f>
        <v/>
      </c>
      <c r="AC867" s="72">
        <f>IF($J867="",FALSE,IFERROR(INDEX(B!$P$2:$P$61,MATCH($J867,B!$E$2:$E$61,0))="Sim",FALSE))</f>
        <v/>
      </c>
      <c r="AD867" s="20" t="n"/>
      <c r="AE867" s="52">
        <f>IF(H867="","",HOUR(H867))</f>
        <v/>
      </c>
      <c r="AF867" s="52" t="n"/>
    </row>
    <row r="868" ht="19.5" customHeight="1" s="58">
      <c r="A868" s="62">
        <f>IF(G868="","",IF(G868=G867,"",COUNTIF($G$3:$G$976,G868)))</f>
        <v/>
      </c>
      <c r="B868" s="20" t="n"/>
      <c r="C868" s="63">
        <f>IF(G868="","",DAY(G868))</f>
        <v/>
      </c>
      <c r="D868" s="63">
        <f>IF(G868="","",MONTH(G868))</f>
        <v/>
      </c>
      <c r="E868" s="63">
        <f>IF(G868="","",YEAR(G868))</f>
        <v/>
      </c>
      <c r="F868" s="33">
        <f>IF(G868="","",CHOOSE(MONTH(G868),"Janeiro","Fevereiro","Março","Abril","Maio","Junho","Julho","Agosto","Setembro","Outubro","Novembro","Dezembro"))</f>
        <v/>
      </c>
      <c r="G868" s="64" t="n">
        <v>46079</v>
      </c>
      <c r="H868" s="65" t="n">
        <v>0.1142013888888889</v>
      </c>
      <c r="I868" s="66" t="inlineStr">
        <is>
          <t>https://docs.google.com/spreadsheets/d/1ZiCGoPjLCjuYvujDTXK9Ixbth3tekiLtFBzBrGjPCr4/edit?gid=0#gid=0</t>
        </is>
      </c>
      <c r="J868" s="67" t="inlineStr">
        <is>
          <t>Pushback - [XX]</t>
        </is>
      </c>
      <c r="K868" s="67" t="inlineStr">
        <is>
          <t>Scout</t>
        </is>
      </c>
      <c r="L868" s="68" t="b">
        <v>0</v>
      </c>
      <c r="M868" s="20" t="n"/>
      <c r="N868" s="69">
        <f>IF($J868="","",IFERROR(INDEX(B!$F$2:$F$61,MATCH($J868,B!$E$2:$E$61,0))&amp;"",""))</f>
        <v/>
      </c>
      <c r="O868" s="69">
        <f>IF($J868="","",IFERROR(INDEX(B!$G$2:$G$61,MATCH($J868,B!$E$2:$E$61,0))&amp;"",""))</f>
        <v/>
      </c>
      <c r="P868" s="69">
        <f>IF($J868="","",IFERROR(INDEX(B!$H$2:$H$61,MATCH($J868,B!$E$2:$E$61,0))&amp;"",""))</f>
        <v/>
      </c>
      <c r="Q868" s="69">
        <f>IF($J868="","",IFERROR(INDEX(B!$I$2:$I$61,MATCH($J868,B!$E$2:$E$61,0))&amp;"",""))</f>
        <v/>
      </c>
      <c r="R868" s="69">
        <f>IF($J868="","",IFERROR(INDEX(B!$J$2:$J$61,MATCH($J868,B!$E$2:$E$61,0))&amp;"",""))</f>
        <v/>
      </c>
      <c r="S868" s="69">
        <f>IF($J868="","",IFERROR(INDEX(B!$K$2:$K$61,MATCH($J868,B!$E$2:$E$61,0))&amp;"",""))</f>
        <v/>
      </c>
      <c r="T868" s="69">
        <f>IF($J868="","",IFERROR(INDEX(B!$L$2:$L$61,MATCH($J868,B!$E$2:$E$61,0))&amp;"",""))</f>
        <v/>
      </c>
      <c r="U868" s="20" t="n"/>
      <c r="V868" s="70">
        <f>IF($J868="","",IFERROR(INDEX(B!$M$2:$M$61,MATCH($J868,B!$E$2:$E$61,0))&amp;"",""))</f>
        <v/>
      </c>
      <c r="W868" s="71">
        <f>IF(I868="","",IFERROR(MID(I868,FIND("/d/",I868)+3,FIND("/edit",I868)-FIND("/d/",I868)-3),I868))</f>
        <v/>
      </c>
      <c r="X868" s="71">
        <f>IF($J868="","",IFERROR(INDEX(B!$C$2:$C$61,MATCH($J868,B!$E$2:$E$61,0))&amp;"",""))</f>
        <v/>
      </c>
      <c r="Y868" s="20" t="n"/>
      <c r="Z868" s="72">
        <f>IF($J868="",FALSE,ISNUMBER(SEARCH("scout",$K868)))</f>
        <v/>
      </c>
      <c r="AA868" s="72">
        <f>IF($J868="",FALSE,IFERROR(INDEX(B!$N$2:$N$61,MATCH($J868,B!$E$2:$E$61,0))="Sim",FALSE))</f>
        <v/>
      </c>
      <c r="AB868" s="72">
        <f>IF($J868="",FALSE,LEFT($X868,2)="XX")</f>
        <v/>
      </c>
      <c r="AC868" s="72">
        <f>IF($J868="",FALSE,IFERROR(INDEX(B!$P$2:$P$61,MATCH($J868,B!$E$2:$E$61,0))="Sim",FALSE))</f>
        <v/>
      </c>
      <c r="AD868" s="20" t="n"/>
      <c r="AE868" s="52">
        <f>IF(H868="","",HOUR(H868))</f>
        <v/>
      </c>
      <c r="AF868" s="52" t="n"/>
    </row>
    <row r="869" ht="19.5" customHeight="1" s="58">
      <c r="A869" s="62">
        <f>IF(G869="","",IF(G869=G868,"",COUNTIF($G$3:$G$976,G869)))</f>
        <v/>
      </c>
      <c r="B869" s="20" t="n"/>
      <c r="C869" s="63">
        <f>IF(G869="","",DAY(G869))</f>
        <v/>
      </c>
      <c r="D869" s="63">
        <f>IF(G869="","",MONTH(G869))</f>
        <v/>
      </c>
      <c r="E869" s="63">
        <f>IF(G869="","",YEAR(G869))</f>
        <v/>
      </c>
      <c r="F869" s="33">
        <f>IF(G869="","",CHOOSE(MONTH(G869),"Janeiro","Fevereiro","Março","Abril","Maio","Junho","Julho","Agosto","Setembro","Outubro","Novembro","Dezembro"))</f>
        <v/>
      </c>
      <c r="G869" s="64" t="n">
        <v>46079</v>
      </c>
      <c r="H869" s="65" t="n">
        <v>0.1153356481481481</v>
      </c>
      <c r="I869" s="66" t="inlineStr">
        <is>
          <t>https://docs.google.com/spreadsheets/d/1ZiCGoPjLCjuYvujDTXK9Ixbth3tekiLtFBzBrGjPCr4/edit?gid=0#gid=0</t>
        </is>
      </c>
      <c r="J869" s="67" t="inlineStr">
        <is>
          <t>Viagem Calculada Incorretamente - [VCI]</t>
        </is>
      </c>
      <c r="K869" s="67" t="inlineStr">
        <is>
          <t>Scout</t>
        </is>
      </c>
      <c r="L869" s="68" t="b">
        <v>1</v>
      </c>
      <c r="M869" s="20" t="n"/>
      <c r="N869" s="69">
        <f>IF($J869="","",IFERROR(INDEX(B!$F$2:$F$61,MATCH($J869,B!$E$2:$E$61,0))&amp;"",""))</f>
        <v/>
      </c>
      <c r="O869" s="69">
        <f>IF($J869="","",IFERROR(INDEX(B!$G$2:$G$61,MATCH($J869,B!$E$2:$E$61,0))&amp;"",""))</f>
        <v/>
      </c>
      <c r="P869" s="69">
        <f>IF($J869="","",IFERROR(INDEX(B!$H$2:$H$61,MATCH($J869,B!$E$2:$E$61,0))&amp;"",""))</f>
        <v/>
      </c>
      <c r="Q869" s="69">
        <f>IF($J869="","",IFERROR(INDEX(B!$I$2:$I$61,MATCH($J869,B!$E$2:$E$61,0))&amp;"",""))</f>
        <v/>
      </c>
      <c r="R869" s="69">
        <f>IF($J869="","",IFERROR(INDEX(B!$J$2:$J$61,MATCH($J869,B!$E$2:$E$61,0))&amp;"",""))</f>
        <v/>
      </c>
      <c r="S869" s="69">
        <f>IF($J869="","",IFERROR(INDEX(B!$K$2:$K$61,MATCH($J869,B!$E$2:$E$61,0))&amp;"",""))</f>
        <v/>
      </c>
      <c r="T869" s="69">
        <f>IF($J869="","",IFERROR(INDEX(B!$L$2:$L$61,MATCH($J869,B!$E$2:$E$61,0))&amp;"",""))</f>
        <v/>
      </c>
      <c r="U869" s="20" t="n"/>
      <c r="V869" s="70">
        <f>IF($J869="","",IFERROR(INDEX(B!$M$2:$M$61,MATCH($J869,B!$E$2:$E$61,0))&amp;"",""))</f>
        <v/>
      </c>
      <c r="W869" s="71">
        <f>IF(I869="","",IFERROR(MID(I869,FIND("/d/",I869)+3,FIND("/edit",I869)-FIND("/d/",I869)-3),I869))</f>
        <v/>
      </c>
      <c r="X869" s="71">
        <f>IF($J869="","",IFERROR(INDEX(B!$C$2:$C$61,MATCH($J869,B!$E$2:$E$61,0))&amp;"",""))</f>
        <v/>
      </c>
      <c r="Y869" s="20" t="n"/>
      <c r="Z869" s="72">
        <f>IF($J869="",FALSE,ISNUMBER(SEARCH("scout",$K869)))</f>
        <v/>
      </c>
      <c r="AA869" s="72">
        <f>IF($J869="",FALSE,IFERROR(INDEX(B!$N$2:$N$61,MATCH($J869,B!$E$2:$E$61,0))="Sim",FALSE))</f>
        <v/>
      </c>
      <c r="AB869" s="72">
        <f>IF($J869="",FALSE,LEFT($X869,2)="XX")</f>
        <v/>
      </c>
      <c r="AC869" s="72">
        <f>IF($J869="",FALSE,IFERROR(INDEX(B!$P$2:$P$61,MATCH($J869,B!$E$2:$E$61,0))="Sim",FALSE))</f>
        <v/>
      </c>
      <c r="AD869" s="20" t="n"/>
      <c r="AE869" s="52">
        <f>IF(H869="","",HOUR(H869))</f>
        <v/>
      </c>
      <c r="AF869" s="52" t="n"/>
    </row>
    <row r="870" ht="19.5" customHeight="1" s="58">
      <c r="A870" s="62">
        <f>IF(G870="","",IF(G870=G869,"",COUNTIF($G$3:$G$976,G870)))</f>
        <v/>
      </c>
      <c r="B870" s="20" t="n"/>
      <c r="C870" s="63">
        <f>IF(G870="","",DAY(G870))</f>
        <v/>
      </c>
      <c r="D870" s="63">
        <f>IF(G870="","",MONTH(G870))</f>
        <v/>
      </c>
      <c r="E870" s="63">
        <f>IF(G870="","",YEAR(G870))</f>
        <v/>
      </c>
      <c r="F870" s="33">
        <f>IF(G870="","",CHOOSE(MONTH(G870),"Janeiro","Fevereiro","Março","Abril","Maio","Junho","Julho","Agosto","Setembro","Outubro","Novembro","Dezembro"))</f>
        <v/>
      </c>
      <c r="G870" s="64" t="n">
        <v>46079</v>
      </c>
      <c r="H870" s="65" t="n">
        <v>0.1348842592592593</v>
      </c>
      <c r="I870" s="66" t="inlineStr">
        <is>
          <t>https://docs.google.com/spreadsheets/d/1ZiCGoPjLCjuYvujDTXK9Ixbth3tekiLtFBzBrGjPCr4/edit?gid=0#gid=0</t>
        </is>
      </c>
      <c r="J870" s="67" t="inlineStr">
        <is>
          <t>Overpaid, Excede o limite Com comprovante - [OPEC]</t>
        </is>
      </c>
      <c r="K870" s="67" t="inlineStr"/>
      <c r="L870" s="68" t="b">
        <v>0</v>
      </c>
      <c r="M870" s="20" t="n"/>
      <c r="N870" s="69">
        <f>IF($J870="","",IFERROR(INDEX(B!$F$2:$F$61,MATCH($J870,B!$E$2:$E$61,0))&amp;"",""))</f>
        <v/>
      </c>
      <c r="O870" s="69">
        <f>IF($J870="","",IFERROR(INDEX(B!$G$2:$G$61,MATCH($J870,B!$E$2:$E$61,0))&amp;"",""))</f>
        <v/>
      </c>
      <c r="P870" s="69">
        <f>IF($J870="","",IFERROR(INDEX(B!$H$2:$H$61,MATCH($J870,B!$E$2:$E$61,0))&amp;"",""))</f>
        <v/>
      </c>
      <c r="Q870" s="69">
        <f>IF($J870="","",IFERROR(INDEX(B!$I$2:$I$61,MATCH($J870,B!$E$2:$E$61,0))&amp;"",""))</f>
        <v/>
      </c>
      <c r="R870" s="69">
        <f>IF($J870="","",IFERROR(INDEX(B!$J$2:$J$61,MATCH($J870,B!$E$2:$E$61,0))&amp;"",""))</f>
        <v/>
      </c>
      <c r="S870" s="69">
        <f>IF($J870="","",IFERROR(INDEX(B!$K$2:$K$61,MATCH($J870,B!$E$2:$E$61,0))&amp;"",""))</f>
        <v/>
      </c>
      <c r="T870" s="69">
        <f>IF($J870="","",IFERROR(INDEX(B!$L$2:$L$61,MATCH($J870,B!$E$2:$E$61,0))&amp;"",""))</f>
        <v/>
      </c>
      <c r="U870" s="20" t="n"/>
      <c r="V870" s="70">
        <f>IF($J870="","",IFERROR(INDEX(B!$M$2:$M$61,MATCH($J870,B!$E$2:$E$61,0))&amp;"",""))</f>
        <v/>
      </c>
      <c r="W870" s="71">
        <f>IF(I870="","",IFERROR(MID(I870,FIND("/d/",I870)+3,FIND("/edit",I870)-FIND("/d/",I870)-3),I870))</f>
        <v/>
      </c>
      <c r="X870" s="71">
        <f>IF($J870="","",IFERROR(INDEX(B!$C$2:$C$61,MATCH($J870,B!$E$2:$E$61,0))&amp;"",""))</f>
        <v/>
      </c>
      <c r="Y870" s="20" t="n"/>
      <c r="Z870" s="72">
        <f>IF($J870="",FALSE,ISNUMBER(SEARCH("scout",$K870)))</f>
        <v/>
      </c>
      <c r="AA870" s="72">
        <f>IF($J870="",FALSE,IFERROR(INDEX(B!$N$2:$N$61,MATCH($J870,B!$E$2:$E$61,0))="Sim",FALSE))</f>
        <v/>
      </c>
      <c r="AB870" s="72">
        <f>IF($J870="",FALSE,LEFT($X870,2)="XX")</f>
        <v/>
      </c>
      <c r="AC870" s="72">
        <f>IF($J870="",FALSE,IFERROR(INDEX(B!$P$2:$P$61,MATCH($J870,B!$E$2:$E$61,0))="Sim",FALSE))</f>
        <v/>
      </c>
      <c r="AD870" s="20" t="n"/>
      <c r="AE870" s="52">
        <f>IF(H870="","",HOUR(H870))</f>
        <v/>
      </c>
      <c r="AF870" s="52" t="n"/>
    </row>
    <row r="871" ht="19.5" customHeight="1" s="58">
      <c r="A871" s="62">
        <f>IF(G871="","",IF(G871=G870,"",COUNTIF($G$3:$G$976,G871)))</f>
        <v/>
      </c>
      <c r="B871" s="20" t="n"/>
      <c r="C871" s="63">
        <f>IF(G871="","",DAY(G871))</f>
        <v/>
      </c>
      <c r="D871" s="63">
        <f>IF(G871="","",MONTH(G871))</f>
        <v/>
      </c>
      <c r="E871" s="63">
        <f>IF(G871="","",YEAR(G871))</f>
        <v/>
      </c>
      <c r="F871" s="33">
        <f>IF(G871="","",CHOOSE(MONTH(G871),"Janeiro","Fevereiro","Março","Abril","Maio","Junho","Julho","Agosto","Setembro","Outubro","Novembro","Dezembro"))</f>
        <v/>
      </c>
      <c r="G871" s="64" t="n">
        <v>46079</v>
      </c>
      <c r="H871" s="65" t="n">
        <v>0.1350810185185185</v>
      </c>
      <c r="I871" s="66" t="inlineStr">
        <is>
          <t>https://docs.google.com/spreadsheets/d/1ZiCGoPjLCjuYvujDTXK9Ixbth3tekiLtFBzBrGjPCr4/edit?gid=0#gid=0</t>
        </is>
      </c>
      <c r="J871" s="67" t="inlineStr">
        <is>
          <t>Pushback (Agradecimento) - [XXA]</t>
        </is>
      </c>
      <c r="K871" s="67" t="inlineStr">
        <is>
          <t>Scout</t>
        </is>
      </c>
      <c r="L871" s="68" t="b">
        <v>1</v>
      </c>
      <c r="M871" s="20" t="n"/>
      <c r="N871" s="69">
        <f>IF($J871="","",IFERROR(INDEX(B!$F$2:$F$61,MATCH($J871,B!$E$2:$E$61,0))&amp;"",""))</f>
        <v/>
      </c>
      <c r="O871" s="69">
        <f>IF($J871="","",IFERROR(INDEX(B!$G$2:$G$61,MATCH($J871,B!$E$2:$E$61,0))&amp;"",""))</f>
        <v/>
      </c>
      <c r="P871" s="69">
        <f>IF($J871="","",IFERROR(INDEX(B!$H$2:$H$61,MATCH($J871,B!$E$2:$E$61,0))&amp;"",""))</f>
        <v/>
      </c>
      <c r="Q871" s="69">
        <f>IF($J871="","",IFERROR(INDEX(B!$I$2:$I$61,MATCH($J871,B!$E$2:$E$61,0))&amp;"",""))</f>
        <v/>
      </c>
      <c r="R871" s="69">
        <f>IF($J871="","",IFERROR(INDEX(B!$J$2:$J$61,MATCH($J871,B!$E$2:$E$61,0))&amp;"",""))</f>
        <v/>
      </c>
      <c r="S871" s="69">
        <f>IF($J871="","",IFERROR(INDEX(B!$K$2:$K$61,MATCH($J871,B!$E$2:$E$61,0))&amp;"",""))</f>
        <v/>
      </c>
      <c r="T871" s="69">
        <f>IF($J871="","",IFERROR(INDEX(B!$L$2:$L$61,MATCH($J871,B!$E$2:$E$61,0))&amp;"",""))</f>
        <v/>
      </c>
      <c r="U871" s="20" t="n"/>
      <c r="V871" s="70">
        <f>IF($J871="","",IFERROR(INDEX(B!$M$2:$M$61,MATCH($J871,B!$E$2:$E$61,0))&amp;"",""))</f>
        <v/>
      </c>
      <c r="W871" s="71">
        <f>IF(I871="","",IFERROR(MID(I871,FIND("/d/",I871)+3,FIND("/edit",I871)-FIND("/d/",I871)-3),I871))</f>
        <v/>
      </c>
      <c r="X871" s="71">
        <f>IF($J871="","",IFERROR(INDEX(B!$C$2:$C$61,MATCH($J871,B!$E$2:$E$61,0))&amp;"",""))</f>
        <v/>
      </c>
      <c r="Y871" s="20" t="n"/>
      <c r="Z871" s="72">
        <f>IF($J871="",FALSE,ISNUMBER(SEARCH("scout",$K871)))</f>
        <v/>
      </c>
      <c r="AA871" s="72">
        <f>IF($J871="",FALSE,IFERROR(INDEX(B!$N$2:$N$61,MATCH($J871,B!$E$2:$E$61,0))="Sim",FALSE))</f>
        <v/>
      </c>
      <c r="AB871" s="72">
        <f>IF($J871="",FALSE,LEFT($X871,2)="XX")</f>
        <v/>
      </c>
      <c r="AC871" s="72">
        <f>IF($J871="",FALSE,IFERROR(INDEX(B!$P$2:$P$61,MATCH($J871,B!$E$2:$E$61,0))="Sim",FALSE))</f>
        <v/>
      </c>
      <c r="AD871" s="20" t="n"/>
      <c r="AE871" s="52">
        <f>IF(H871="","",HOUR(H871))</f>
        <v/>
      </c>
      <c r="AF871" s="52" t="n"/>
    </row>
    <row r="872" ht="19.5" customHeight="1" s="58">
      <c r="A872" s="62">
        <f>IF(G872="","",IF(G872=G871,"",COUNTIF($G$3:$G$976,G872)))</f>
        <v/>
      </c>
      <c r="B872" s="20" t="n"/>
      <c r="C872" s="63">
        <f>IF(G872="","",DAY(G872))</f>
        <v/>
      </c>
      <c r="D872" s="63">
        <f>IF(G872="","",MONTH(G872))</f>
        <v/>
      </c>
      <c r="E872" s="63">
        <f>IF(G872="","",YEAR(G872))</f>
        <v/>
      </c>
      <c r="F872" s="33">
        <f>IF(G872="","",CHOOSE(MONTH(G872),"Janeiro","Fevereiro","Março","Abril","Maio","Junho","Julho","Agosto","Setembro","Outubro","Novembro","Dezembro"))</f>
        <v/>
      </c>
      <c r="G872" s="64" t="n">
        <v>46079</v>
      </c>
      <c r="H872" s="65" t="n">
        <v>0.1411805555555556</v>
      </c>
      <c r="I872" s="66" t="inlineStr">
        <is>
          <t>https://docs.google.com/spreadsheets/d/1ZiCGoPjLCjuYvujDTXK9Ixbth3tekiLtFBzBrGjPCr4/edit?gid=0#gid=0</t>
        </is>
      </c>
      <c r="J872" s="67" t="inlineStr">
        <is>
          <t>Overpaid, Excede o limite Com comprovante - [OPEC]</t>
        </is>
      </c>
      <c r="K872" s="67" t="inlineStr"/>
      <c r="L872" s="68" t="b">
        <v>0</v>
      </c>
      <c r="M872" s="20" t="n"/>
      <c r="N872" s="69">
        <f>IF($J872="","",IFERROR(INDEX(B!$F$2:$F$61,MATCH($J872,B!$E$2:$E$61,0))&amp;"",""))</f>
        <v/>
      </c>
      <c r="O872" s="69">
        <f>IF($J872="","",IFERROR(INDEX(B!$G$2:$G$61,MATCH($J872,B!$E$2:$E$61,0))&amp;"",""))</f>
        <v/>
      </c>
      <c r="P872" s="69">
        <f>IF($J872="","",IFERROR(INDEX(B!$H$2:$H$61,MATCH($J872,B!$E$2:$E$61,0))&amp;"",""))</f>
        <v/>
      </c>
      <c r="Q872" s="69">
        <f>IF($J872="","",IFERROR(INDEX(B!$I$2:$I$61,MATCH($J872,B!$E$2:$E$61,0))&amp;"",""))</f>
        <v/>
      </c>
      <c r="R872" s="69">
        <f>IF($J872="","",IFERROR(INDEX(B!$J$2:$J$61,MATCH($J872,B!$E$2:$E$61,0))&amp;"",""))</f>
        <v/>
      </c>
      <c r="S872" s="69">
        <f>IF($J872="","",IFERROR(INDEX(B!$K$2:$K$61,MATCH($J872,B!$E$2:$E$61,0))&amp;"",""))</f>
        <v/>
      </c>
      <c r="T872" s="69">
        <f>IF($J872="","",IFERROR(INDEX(B!$L$2:$L$61,MATCH($J872,B!$E$2:$E$61,0))&amp;"",""))</f>
        <v/>
      </c>
      <c r="U872" s="20" t="n"/>
      <c r="V872" s="70">
        <f>IF($J872="","",IFERROR(INDEX(B!$M$2:$M$61,MATCH($J872,B!$E$2:$E$61,0))&amp;"",""))</f>
        <v/>
      </c>
      <c r="W872" s="71">
        <f>IF(I872="","",IFERROR(MID(I872,FIND("/d/",I872)+3,FIND("/edit",I872)-FIND("/d/",I872)-3),I872))</f>
        <v/>
      </c>
      <c r="X872" s="71">
        <f>IF($J872="","",IFERROR(INDEX(B!$C$2:$C$61,MATCH($J872,B!$E$2:$E$61,0))&amp;"",""))</f>
        <v/>
      </c>
      <c r="Y872" s="20" t="n"/>
      <c r="Z872" s="72">
        <f>IF($J872="",FALSE,ISNUMBER(SEARCH("scout",$K872)))</f>
        <v/>
      </c>
      <c r="AA872" s="72">
        <f>IF($J872="",FALSE,IFERROR(INDEX(B!$N$2:$N$61,MATCH($J872,B!$E$2:$E$61,0))="Sim",FALSE))</f>
        <v/>
      </c>
      <c r="AB872" s="72">
        <f>IF($J872="",FALSE,LEFT($X872,2)="XX")</f>
        <v/>
      </c>
      <c r="AC872" s="72">
        <f>IF($J872="",FALSE,IFERROR(INDEX(B!$P$2:$P$61,MATCH($J872,B!$E$2:$E$61,0))="Sim",FALSE))</f>
        <v/>
      </c>
      <c r="AD872" s="20" t="n"/>
      <c r="AE872" s="52">
        <f>IF(H872="","",HOUR(H872))</f>
        <v/>
      </c>
      <c r="AF872" s="52" t="n"/>
    </row>
    <row r="873" ht="19.5" customHeight="1" s="58">
      <c r="A873" s="62">
        <f>IF(G873="","",IF(G873=G872,"",COUNTIF($G$3:$G$976,G873)))</f>
        <v/>
      </c>
      <c r="B873" s="20" t="n"/>
      <c r="C873" s="63">
        <f>IF(G873="","",DAY(G873))</f>
        <v/>
      </c>
      <c r="D873" s="63">
        <f>IF(G873="","",MONTH(G873))</f>
        <v/>
      </c>
      <c r="E873" s="63">
        <f>IF(G873="","",YEAR(G873))</f>
        <v/>
      </c>
      <c r="F873" s="33">
        <f>IF(G873="","",CHOOSE(MONTH(G873),"Janeiro","Fevereiro","Março","Abril","Maio","Junho","Julho","Agosto","Setembro","Outubro","Novembro","Dezembro"))</f>
        <v/>
      </c>
      <c r="G873" s="64" t="n">
        <v>46080</v>
      </c>
      <c r="H873" s="65" t="n">
        <v>0.01385416666666667</v>
      </c>
      <c r="I873" s="66" t="inlineStr">
        <is>
          <t>https://docs.google.com/spreadsheets/d/1ZiCGoPjLCjuYvujDTXK9Ixbth3tekiLtFBzBrGjPCr4/edit?gid=0#gid=0</t>
        </is>
      </c>
      <c r="J873" s="67" t="inlineStr">
        <is>
          <t>Taxa de Cancelamento Cobrada Corretamente - [TXCO]</t>
        </is>
      </c>
      <c r="K873" s="67" t="inlineStr"/>
      <c r="L873" s="68" t="b">
        <v>0</v>
      </c>
      <c r="M873" s="20" t="n"/>
      <c r="N873" s="69">
        <f>IF($J873="","",IFERROR(INDEX(B!$F$2:$F$61,MATCH($J873,B!$E$2:$E$61,0))&amp;"",""))</f>
        <v/>
      </c>
      <c r="O873" s="69">
        <f>IF($J873="","",IFERROR(INDEX(B!$G$2:$G$61,MATCH($J873,B!$E$2:$E$61,0))&amp;"",""))</f>
        <v/>
      </c>
      <c r="P873" s="69">
        <f>IF($J873="","",IFERROR(INDEX(B!$H$2:$H$61,MATCH($J873,B!$E$2:$E$61,0))&amp;"",""))</f>
        <v/>
      </c>
      <c r="Q873" s="69">
        <f>IF($J873="","",IFERROR(INDEX(B!$I$2:$I$61,MATCH($J873,B!$E$2:$E$61,0))&amp;"",""))</f>
        <v/>
      </c>
      <c r="R873" s="69">
        <f>IF($J873="","",IFERROR(INDEX(B!$J$2:$J$61,MATCH($J873,B!$E$2:$E$61,0))&amp;"",""))</f>
        <v/>
      </c>
      <c r="S873" s="69">
        <f>IF($J873="","",IFERROR(INDEX(B!$K$2:$K$61,MATCH($J873,B!$E$2:$E$61,0))&amp;"",""))</f>
        <v/>
      </c>
      <c r="T873" s="69">
        <f>IF($J873="","",IFERROR(INDEX(B!$L$2:$L$61,MATCH($J873,B!$E$2:$E$61,0))&amp;"",""))</f>
        <v/>
      </c>
      <c r="U873" s="20" t="n"/>
      <c r="V873" s="70">
        <f>IF($J873="","",IFERROR(INDEX(B!$M$2:$M$61,MATCH($J873,B!$E$2:$E$61,0))&amp;"",""))</f>
        <v/>
      </c>
      <c r="W873" s="71">
        <f>IF(I873="","",IFERROR(MID(I873,FIND("/d/",I873)+3,FIND("/edit",I873)-FIND("/d/",I873)-3),I873))</f>
        <v/>
      </c>
      <c r="X873" s="71">
        <f>IF($J873="","",IFERROR(INDEX(B!$C$2:$C$61,MATCH($J873,B!$E$2:$E$61,0))&amp;"",""))</f>
        <v/>
      </c>
      <c r="Y873" s="20" t="n"/>
      <c r="Z873" s="72">
        <f>IF($J873="",FALSE,ISNUMBER(SEARCH("scout",$K873)))</f>
        <v/>
      </c>
      <c r="AA873" s="72">
        <f>IF($J873="",FALSE,IFERROR(INDEX(B!$N$2:$N$61,MATCH($J873,B!$E$2:$E$61,0))="Sim",FALSE))</f>
        <v/>
      </c>
      <c r="AB873" s="72">
        <f>IF($J873="",FALSE,LEFT($X873,2)="XX")</f>
        <v/>
      </c>
      <c r="AC873" s="72">
        <f>IF($J873="",FALSE,IFERROR(INDEX(B!$P$2:$P$61,MATCH($J873,B!$E$2:$E$61,0))="Sim",FALSE))</f>
        <v/>
      </c>
      <c r="AD873" s="20" t="n"/>
      <c r="AE873" s="52">
        <f>IF(H873="","",HOUR(H873))</f>
        <v/>
      </c>
      <c r="AF873" s="52" t="n"/>
    </row>
    <row r="874" ht="19.5" customHeight="1" s="58">
      <c r="A874" s="62">
        <f>IF(G874="","",IF(G874=G873,"",COUNTIF($G$3:$G$976,G874)))</f>
        <v/>
      </c>
      <c r="B874" s="20" t="n"/>
      <c r="C874" s="63">
        <f>IF(G874="","",DAY(G874))</f>
        <v/>
      </c>
      <c r="D874" s="63">
        <f>IF(G874="","",MONTH(G874))</f>
        <v/>
      </c>
      <c r="E874" s="63">
        <f>IF(G874="","",YEAR(G874))</f>
        <v/>
      </c>
      <c r="F874" s="33">
        <f>IF(G874="","",CHOOSE(MONTH(G874),"Janeiro","Fevereiro","Março","Abril","Maio","Junho","Julho","Agosto","Setembro","Outubro","Novembro","Dezembro"))</f>
        <v/>
      </c>
      <c r="G874" s="64" t="n">
        <v>46080</v>
      </c>
      <c r="H874" s="65" t="n">
        <v>0.01439814814814815</v>
      </c>
      <c r="I874" s="66" t="inlineStr">
        <is>
          <t>https://docs.google.com/spreadsheets/d/1ZiCGoPjLCjuYvujDTXK9Ixbth3tekiLtFBzBrGjPCr4/edit?gid=0#gid=0</t>
        </is>
      </c>
      <c r="J874" s="67" t="inlineStr">
        <is>
          <t>Comprovante de Pagamento - [CP]</t>
        </is>
      </c>
      <c r="K874" s="67" t="inlineStr"/>
      <c r="L874" s="68" t="b">
        <v>0</v>
      </c>
      <c r="M874" s="20" t="n"/>
      <c r="N874" s="69">
        <f>IF($J874="","",IFERROR(INDEX(B!$F$2:$F$61,MATCH($J874,B!$E$2:$E$61,0))&amp;"",""))</f>
        <v/>
      </c>
      <c r="O874" s="69">
        <f>IF($J874="","",IFERROR(INDEX(B!$G$2:$G$61,MATCH($J874,B!$E$2:$E$61,0))&amp;"",""))</f>
        <v/>
      </c>
      <c r="P874" s="69">
        <f>IF($J874="","",IFERROR(INDEX(B!$H$2:$H$61,MATCH($J874,B!$E$2:$E$61,0))&amp;"",""))</f>
        <v/>
      </c>
      <c r="Q874" s="69">
        <f>IF($J874="","",IFERROR(INDEX(B!$I$2:$I$61,MATCH($J874,B!$E$2:$E$61,0))&amp;"",""))</f>
        <v/>
      </c>
      <c r="R874" s="69">
        <f>IF($J874="","",IFERROR(INDEX(B!$J$2:$J$61,MATCH($J874,B!$E$2:$E$61,0))&amp;"",""))</f>
        <v/>
      </c>
      <c r="S874" s="69">
        <f>IF($J874="","",IFERROR(INDEX(B!$K$2:$K$61,MATCH($J874,B!$E$2:$E$61,0))&amp;"",""))</f>
        <v/>
      </c>
      <c r="T874" s="69">
        <f>IF($J874="","",IFERROR(INDEX(B!$L$2:$L$61,MATCH($J874,B!$E$2:$E$61,0))&amp;"",""))</f>
        <v/>
      </c>
      <c r="U874" s="20" t="n"/>
      <c r="V874" s="70">
        <f>IF($J874="","",IFERROR(INDEX(B!$M$2:$M$61,MATCH($J874,B!$E$2:$E$61,0))&amp;"",""))</f>
        <v/>
      </c>
      <c r="W874" s="71">
        <f>IF(I874="","",IFERROR(MID(I874,FIND("/d/",I874)+3,FIND("/edit",I874)-FIND("/d/",I874)-3),I874))</f>
        <v/>
      </c>
      <c r="X874" s="71">
        <f>IF($J874="","",IFERROR(INDEX(B!$C$2:$C$61,MATCH($J874,B!$E$2:$E$61,0))&amp;"",""))</f>
        <v/>
      </c>
      <c r="Y874" s="20" t="n"/>
      <c r="Z874" s="72">
        <f>IF($J874="",FALSE,ISNUMBER(SEARCH("scout",$K874)))</f>
        <v/>
      </c>
      <c r="AA874" s="72">
        <f>IF($J874="",FALSE,IFERROR(INDEX(B!$N$2:$N$61,MATCH($J874,B!$E$2:$E$61,0))="Sim",FALSE))</f>
        <v/>
      </c>
      <c r="AB874" s="72">
        <f>IF($J874="",FALSE,LEFT($X874,2)="XX")</f>
        <v/>
      </c>
      <c r="AC874" s="72">
        <f>IF($J874="",FALSE,IFERROR(INDEX(B!$P$2:$P$61,MATCH($J874,B!$E$2:$E$61,0))="Sim",FALSE))</f>
        <v/>
      </c>
      <c r="AD874" s="20" t="n"/>
      <c r="AE874" s="52">
        <f>IF(H874="","",HOUR(H874))</f>
        <v/>
      </c>
      <c r="AF874" s="52" t="n"/>
    </row>
    <row r="875" ht="19.5" customHeight="1" s="58">
      <c r="A875" s="62">
        <f>IF(G875="","",IF(G875=G874,"",COUNTIF($G$3:$G$976,G875)))</f>
        <v/>
      </c>
      <c r="B875" s="20" t="n"/>
      <c r="C875" s="63">
        <f>IF(G875="","",DAY(G875))</f>
        <v/>
      </c>
      <c r="D875" s="63">
        <f>IF(G875="","",MONTH(G875))</f>
        <v/>
      </c>
      <c r="E875" s="63">
        <f>IF(G875="","",YEAR(G875))</f>
        <v/>
      </c>
      <c r="F875" s="33">
        <f>IF(G875="","",CHOOSE(MONTH(G875),"Janeiro","Fevereiro","Março","Abril","Maio","Junho","Julho","Agosto","Setembro","Outubro","Novembro","Dezembro"))</f>
        <v/>
      </c>
      <c r="G875" s="64" t="n">
        <v>46080</v>
      </c>
      <c r="H875" s="65" t="n">
        <v>0.01469907407407407</v>
      </c>
      <c r="I875" s="66" t="inlineStr">
        <is>
          <t>https://docs.google.com/spreadsheets/d/1ZiCGoPjLCjuYvujDTXK9Ixbth3tekiLtFBzBrGjPCr4/edit?gid=0#gid=0</t>
        </is>
      </c>
      <c r="J875" s="67" t="inlineStr">
        <is>
          <t>Overpaid, Excede o limite, Sem comprovante - [OPEN]</t>
        </is>
      </c>
      <c r="K875" s="67" t="inlineStr"/>
      <c r="L875" s="68" t="b">
        <v>0</v>
      </c>
      <c r="M875" s="20" t="n"/>
      <c r="N875" s="69">
        <f>IF($J875="","",IFERROR(INDEX(B!$F$2:$F$61,MATCH($J875,B!$E$2:$E$61,0))&amp;"",""))</f>
        <v/>
      </c>
      <c r="O875" s="69">
        <f>IF($J875="","",IFERROR(INDEX(B!$G$2:$G$61,MATCH($J875,B!$E$2:$E$61,0))&amp;"",""))</f>
        <v/>
      </c>
      <c r="P875" s="69">
        <f>IF($J875="","",IFERROR(INDEX(B!$H$2:$H$61,MATCH($J875,B!$E$2:$E$61,0))&amp;"",""))</f>
        <v/>
      </c>
      <c r="Q875" s="69">
        <f>IF($J875="","",IFERROR(INDEX(B!$I$2:$I$61,MATCH($J875,B!$E$2:$E$61,0))&amp;"",""))</f>
        <v/>
      </c>
      <c r="R875" s="69">
        <f>IF($J875="","",IFERROR(INDEX(B!$J$2:$J$61,MATCH($J875,B!$E$2:$E$61,0))&amp;"",""))</f>
        <v/>
      </c>
      <c r="S875" s="69">
        <f>IF($J875="","",IFERROR(INDEX(B!$K$2:$K$61,MATCH($J875,B!$E$2:$E$61,0))&amp;"",""))</f>
        <v/>
      </c>
      <c r="T875" s="69">
        <f>IF($J875="","",IFERROR(INDEX(B!$L$2:$L$61,MATCH($J875,B!$E$2:$E$61,0))&amp;"",""))</f>
        <v/>
      </c>
      <c r="U875" s="20" t="n"/>
      <c r="V875" s="70">
        <f>IF($J875="","",IFERROR(INDEX(B!$M$2:$M$61,MATCH($J875,B!$E$2:$E$61,0))&amp;"",""))</f>
        <v/>
      </c>
      <c r="W875" s="71">
        <f>IF(I875="","",IFERROR(MID(I875,FIND("/d/",I875)+3,FIND("/edit",I875)-FIND("/d/",I875)-3),I875))</f>
        <v/>
      </c>
      <c r="X875" s="71">
        <f>IF($J875="","",IFERROR(INDEX(B!$C$2:$C$61,MATCH($J875,B!$E$2:$E$61,0))&amp;"",""))</f>
        <v/>
      </c>
      <c r="Y875" s="20" t="n"/>
      <c r="Z875" s="72">
        <f>IF($J875="",FALSE,ISNUMBER(SEARCH("scout",$K875)))</f>
        <v/>
      </c>
      <c r="AA875" s="72">
        <f>IF($J875="",FALSE,IFERROR(INDEX(B!$N$2:$N$61,MATCH($J875,B!$E$2:$E$61,0))="Sim",FALSE))</f>
        <v/>
      </c>
      <c r="AB875" s="72">
        <f>IF($J875="",FALSE,LEFT($X875,2)="XX")</f>
        <v/>
      </c>
      <c r="AC875" s="72">
        <f>IF($J875="",FALSE,IFERROR(INDEX(B!$P$2:$P$61,MATCH($J875,B!$E$2:$E$61,0))="Sim",FALSE))</f>
        <v/>
      </c>
      <c r="AD875" s="20" t="n"/>
      <c r="AE875" s="52">
        <f>IF(H875="","",HOUR(H875))</f>
        <v/>
      </c>
      <c r="AF875" s="52" t="n"/>
    </row>
    <row r="876" ht="19.5" customHeight="1" s="58">
      <c r="A876" s="62">
        <f>IF(G876="","",IF(G876=G875,"",COUNTIF($G$3:$G$976,G876)))</f>
        <v/>
      </c>
      <c r="B876" s="20" t="n"/>
      <c r="C876" s="63">
        <f>IF(G876="","",DAY(G876))</f>
        <v/>
      </c>
      <c r="D876" s="63">
        <f>IF(G876="","",MONTH(G876))</f>
        <v/>
      </c>
      <c r="E876" s="63">
        <f>IF(G876="","",YEAR(G876))</f>
        <v/>
      </c>
      <c r="F876" s="33">
        <f>IF(G876="","",CHOOSE(MONTH(G876),"Janeiro","Fevereiro","Março","Abril","Maio","Junho","Julho","Agosto","Setembro","Outubro","Novembro","Dezembro"))</f>
        <v/>
      </c>
      <c r="G876" s="64" t="n">
        <v>46080</v>
      </c>
      <c r="H876" s="65" t="n">
        <v>0.01586805555555556</v>
      </c>
      <c r="I876" s="66" t="inlineStr">
        <is>
          <t>https://docs.google.com/spreadsheets/d/1ZiCGoPjLCjuYvujDTXK9Ixbth3tekiLtFBzBrGjPCr4/edit?gid=0#gid=0</t>
        </is>
      </c>
      <c r="J876" s="67" t="inlineStr">
        <is>
          <t>Taxa de Cancelamento Cobrada Corretamente - [TXCO]</t>
        </is>
      </c>
      <c r="K876" s="67" t="inlineStr">
        <is>
          <t>Scout</t>
        </is>
      </c>
      <c r="L876" s="68" t="b">
        <v>1</v>
      </c>
      <c r="M876" s="20" t="n"/>
      <c r="N876" s="69">
        <f>IF($J876="","",IFERROR(INDEX(B!$F$2:$F$61,MATCH($J876,B!$E$2:$E$61,0))&amp;"",""))</f>
        <v/>
      </c>
      <c r="O876" s="69">
        <f>IF($J876="","",IFERROR(INDEX(B!$G$2:$G$61,MATCH($J876,B!$E$2:$E$61,0))&amp;"",""))</f>
        <v/>
      </c>
      <c r="P876" s="69">
        <f>IF($J876="","",IFERROR(INDEX(B!$H$2:$H$61,MATCH($J876,B!$E$2:$E$61,0))&amp;"",""))</f>
        <v/>
      </c>
      <c r="Q876" s="69">
        <f>IF($J876="","",IFERROR(INDEX(B!$I$2:$I$61,MATCH($J876,B!$E$2:$E$61,0))&amp;"",""))</f>
        <v/>
      </c>
      <c r="R876" s="69">
        <f>IF($J876="","",IFERROR(INDEX(B!$J$2:$J$61,MATCH($J876,B!$E$2:$E$61,0))&amp;"",""))</f>
        <v/>
      </c>
      <c r="S876" s="69">
        <f>IF($J876="","",IFERROR(INDEX(B!$K$2:$K$61,MATCH($J876,B!$E$2:$E$61,0))&amp;"",""))</f>
        <v/>
      </c>
      <c r="T876" s="69">
        <f>IF($J876="","",IFERROR(INDEX(B!$L$2:$L$61,MATCH($J876,B!$E$2:$E$61,0))&amp;"",""))</f>
        <v/>
      </c>
      <c r="U876" s="20" t="n"/>
      <c r="V876" s="70">
        <f>IF($J876="","",IFERROR(INDEX(B!$M$2:$M$61,MATCH($J876,B!$E$2:$E$61,0))&amp;"",""))</f>
        <v/>
      </c>
      <c r="W876" s="71">
        <f>IF(I876="","",IFERROR(MID(I876,FIND("/d/",I876)+3,FIND("/edit",I876)-FIND("/d/",I876)-3),I876))</f>
        <v/>
      </c>
      <c r="X876" s="71">
        <f>IF($J876="","",IFERROR(INDEX(B!$C$2:$C$61,MATCH($J876,B!$E$2:$E$61,0))&amp;"",""))</f>
        <v/>
      </c>
      <c r="Y876" s="20" t="n"/>
      <c r="Z876" s="72">
        <f>IF($J876="",FALSE,ISNUMBER(SEARCH("scout",$K876)))</f>
        <v/>
      </c>
      <c r="AA876" s="72">
        <f>IF($J876="",FALSE,IFERROR(INDEX(B!$N$2:$N$61,MATCH($J876,B!$E$2:$E$61,0))="Sim",FALSE))</f>
        <v/>
      </c>
      <c r="AB876" s="72">
        <f>IF($J876="",FALSE,LEFT($X876,2)="XX")</f>
        <v/>
      </c>
      <c r="AC876" s="72">
        <f>IF($J876="",FALSE,IFERROR(INDEX(B!$P$2:$P$61,MATCH($J876,B!$E$2:$E$61,0))="Sim",FALSE))</f>
        <v/>
      </c>
      <c r="AD876" s="20" t="n"/>
      <c r="AE876" s="52">
        <f>IF(H876="","",HOUR(H876))</f>
        <v/>
      </c>
      <c r="AF876" s="52" t="n"/>
    </row>
    <row r="877" ht="19.5" customHeight="1" s="58">
      <c r="A877" s="62">
        <f>IF(G877="","",IF(G877=G876,"",COUNTIF($G$3:$G$976,G877)))</f>
        <v/>
      </c>
      <c r="B877" s="20" t="n"/>
      <c r="C877" s="63">
        <f>IF(G877="","",DAY(G877))</f>
        <v/>
      </c>
      <c r="D877" s="63">
        <f>IF(G877="","",MONTH(G877))</f>
        <v/>
      </c>
      <c r="E877" s="63">
        <f>IF(G877="","",YEAR(G877))</f>
        <v/>
      </c>
      <c r="F877" s="33">
        <f>IF(G877="","",CHOOSE(MONTH(G877),"Janeiro","Fevereiro","Março","Abril","Maio","Junho","Julho","Agosto","Setembro","Outubro","Novembro","Dezembro"))</f>
        <v/>
      </c>
      <c r="G877" s="64" t="n">
        <v>46080</v>
      </c>
      <c r="H877" s="65" t="n">
        <v>0.01684027777777778</v>
      </c>
      <c r="I877" s="66" t="inlineStr">
        <is>
          <t>https://docs.google.com/spreadsheets/d/1ZiCGoPjLCjuYvujDTXK9Ixbth3tekiLtFBzBrGjPCr4/edit?gid=0#gid=0</t>
        </is>
      </c>
      <c r="J877" s="67" t="inlineStr">
        <is>
          <t>Trajeto Ruim - [TR]</t>
        </is>
      </c>
      <c r="K877" s="67" t="inlineStr"/>
      <c r="L877" s="68" t="b">
        <v>0</v>
      </c>
      <c r="M877" s="20" t="n"/>
      <c r="N877" s="69">
        <f>IF($J877="","",IFERROR(INDEX(B!$F$2:$F$61,MATCH($J877,B!$E$2:$E$61,0))&amp;"",""))</f>
        <v/>
      </c>
      <c r="O877" s="69">
        <f>IF($J877="","",IFERROR(INDEX(B!$G$2:$G$61,MATCH($J877,B!$E$2:$E$61,0))&amp;"",""))</f>
        <v/>
      </c>
      <c r="P877" s="69">
        <f>IF($J877="","",IFERROR(INDEX(B!$H$2:$H$61,MATCH($J877,B!$E$2:$E$61,0))&amp;"",""))</f>
        <v/>
      </c>
      <c r="Q877" s="69">
        <f>IF($J877="","",IFERROR(INDEX(B!$I$2:$I$61,MATCH($J877,B!$E$2:$E$61,0))&amp;"",""))</f>
        <v/>
      </c>
      <c r="R877" s="69">
        <f>IF($J877="","",IFERROR(INDEX(B!$J$2:$J$61,MATCH($J877,B!$E$2:$E$61,0))&amp;"",""))</f>
        <v/>
      </c>
      <c r="S877" s="69">
        <f>IF($J877="","",IFERROR(INDEX(B!$K$2:$K$61,MATCH($J877,B!$E$2:$E$61,0))&amp;"",""))</f>
        <v/>
      </c>
      <c r="T877" s="69">
        <f>IF($J877="","",IFERROR(INDEX(B!$L$2:$L$61,MATCH($J877,B!$E$2:$E$61,0))&amp;"",""))</f>
        <v/>
      </c>
      <c r="U877" s="20" t="n"/>
      <c r="V877" s="70">
        <f>IF($J877="","",IFERROR(INDEX(B!$M$2:$M$61,MATCH($J877,B!$E$2:$E$61,0))&amp;"",""))</f>
        <v/>
      </c>
      <c r="W877" s="71">
        <f>IF(I877="","",IFERROR(MID(I877,FIND("/d/",I877)+3,FIND("/edit",I877)-FIND("/d/",I877)-3),I877))</f>
        <v/>
      </c>
      <c r="X877" s="71">
        <f>IF($J877="","",IFERROR(INDEX(B!$C$2:$C$61,MATCH($J877,B!$E$2:$E$61,0))&amp;"",""))</f>
        <v/>
      </c>
      <c r="Y877" s="20" t="n"/>
      <c r="Z877" s="72">
        <f>IF($J877="",FALSE,ISNUMBER(SEARCH("scout",$K877)))</f>
        <v/>
      </c>
      <c r="AA877" s="72">
        <f>IF($J877="",FALSE,IFERROR(INDEX(B!$N$2:$N$61,MATCH($J877,B!$E$2:$E$61,0))="Sim",FALSE))</f>
        <v/>
      </c>
      <c r="AB877" s="72">
        <f>IF($J877="",FALSE,LEFT($X877,2)="XX")</f>
        <v/>
      </c>
      <c r="AC877" s="72">
        <f>IF($J877="",FALSE,IFERROR(INDEX(B!$P$2:$P$61,MATCH($J877,B!$E$2:$E$61,0))="Sim",FALSE))</f>
        <v/>
      </c>
      <c r="AD877" s="20" t="n"/>
      <c r="AE877" s="52">
        <f>IF(H877="","",HOUR(H877))</f>
        <v/>
      </c>
      <c r="AF877" s="52" t="n"/>
    </row>
    <row r="878" ht="19.5" customHeight="1" s="58">
      <c r="A878" s="62">
        <f>IF(G878="","",IF(G878=G877,"",COUNTIF($G$3:$G$976,G878)))</f>
        <v/>
      </c>
      <c r="B878" s="20" t="n"/>
      <c r="C878" s="63">
        <f>IF(G878="","",DAY(G878))</f>
        <v/>
      </c>
      <c r="D878" s="63">
        <f>IF(G878="","",MONTH(G878))</f>
        <v/>
      </c>
      <c r="E878" s="63">
        <f>IF(G878="","",YEAR(G878))</f>
        <v/>
      </c>
      <c r="F878" s="33">
        <f>IF(G878="","",CHOOSE(MONTH(G878),"Janeiro","Fevereiro","Março","Abril","Maio","Junho","Julho","Agosto","Setembro","Outubro","Novembro","Dezembro"))</f>
        <v/>
      </c>
      <c r="G878" s="64" t="n">
        <v>46080</v>
      </c>
      <c r="H878" s="65" t="n">
        <v>0.01832175925925926</v>
      </c>
      <c r="I878" s="66" t="inlineStr">
        <is>
          <t>https://docs.google.com/spreadsheets/d/1ZiCGoPjLCjuYvujDTXK9Ixbth3tekiLtFBzBrGjPCr4/edit?gid=0#gid=0</t>
        </is>
      </c>
      <c r="J878" s="67" t="inlineStr">
        <is>
          <t>Trajeto Ruim - [TR]</t>
        </is>
      </c>
      <c r="K878" s="67" t="inlineStr"/>
      <c r="L878" s="68" t="b">
        <v>0</v>
      </c>
      <c r="M878" s="20" t="n"/>
      <c r="N878" s="69">
        <f>IF($J878="","",IFERROR(INDEX(B!$F$2:$F$61,MATCH($J878,B!$E$2:$E$61,0))&amp;"",""))</f>
        <v/>
      </c>
      <c r="O878" s="69">
        <f>IF($J878="","",IFERROR(INDEX(B!$G$2:$G$61,MATCH($J878,B!$E$2:$E$61,0))&amp;"",""))</f>
        <v/>
      </c>
      <c r="P878" s="69">
        <f>IF($J878="","",IFERROR(INDEX(B!$H$2:$H$61,MATCH($J878,B!$E$2:$E$61,0))&amp;"",""))</f>
        <v/>
      </c>
      <c r="Q878" s="69">
        <f>IF($J878="","",IFERROR(INDEX(B!$I$2:$I$61,MATCH($J878,B!$E$2:$E$61,0))&amp;"",""))</f>
        <v/>
      </c>
      <c r="R878" s="69">
        <f>IF($J878="","",IFERROR(INDEX(B!$J$2:$J$61,MATCH($J878,B!$E$2:$E$61,0))&amp;"",""))</f>
        <v/>
      </c>
      <c r="S878" s="69">
        <f>IF($J878="","",IFERROR(INDEX(B!$K$2:$K$61,MATCH($J878,B!$E$2:$E$61,0))&amp;"",""))</f>
        <v/>
      </c>
      <c r="T878" s="69">
        <f>IF($J878="","",IFERROR(INDEX(B!$L$2:$L$61,MATCH($J878,B!$E$2:$E$61,0))&amp;"",""))</f>
        <v/>
      </c>
      <c r="U878" s="20" t="n"/>
      <c r="V878" s="70">
        <f>IF($J878="","",IFERROR(INDEX(B!$M$2:$M$61,MATCH($J878,B!$E$2:$E$61,0))&amp;"",""))</f>
        <v/>
      </c>
      <c r="W878" s="71">
        <f>IF(I878="","",IFERROR(MID(I878,FIND("/d/",I878)+3,FIND("/edit",I878)-FIND("/d/",I878)-3),I878))</f>
        <v/>
      </c>
      <c r="X878" s="71">
        <f>IF($J878="","",IFERROR(INDEX(B!$C$2:$C$61,MATCH($J878,B!$E$2:$E$61,0))&amp;"",""))</f>
        <v/>
      </c>
      <c r="Y878" s="20" t="n"/>
      <c r="Z878" s="72">
        <f>IF($J878="",FALSE,ISNUMBER(SEARCH("scout",$K878)))</f>
        <v/>
      </c>
      <c r="AA878" s="72">
        <f>IF($J878="",FALSE,IFERROR(INDEX(B!$N$2:$N$61,MATCH($J878,B!$E$2:$E$61,0))="Sim",FALSE))</f>
        <v/>
      </c>
      <c r="AB878" s="72">
        <f>IF($J878="",FALSE,LEFT($X878,2)="XX")</f>
        <v/>
      </c>
      <c r="AC878" s="72">
        <f>IF($J878="",FALSE,IFERROR(INDEX(B!$P$2:$P$61,MATCH($J878,B!$E$2:$E$61,0))="Sim",FALSE))</f>
        <v/>
      </c>
      <c r="AD878" s="20" t="n"/>
      <c r="AE878" s="52">
        <f>IF(H878="","",HOUR(H878))</f>
        <v/>
      </c>
      <c r="AF878" s="52" t="n"/>
    </row>
    <row r="879" ht="19.5" customHeight="1" s="58">
      <c r="A879" s="62">
        <f>IF(G879="","",IF(G879=G878,"",COUNTIF($G$3:$G$976,G879)))</f>
        <v/>
      </c>
      <c r="B879" s="20" t="n"/>
      <c r="C879" s="63">
        <f>IF(G879="","",DAY(G879))</f>
        <v/>
      </c>
      <c r="D879" s="63">
        <f>IF(G879="","",MONTH(G879))</f>
        <v/>
      </c>
      <c r="E879" s="63">
        <f>IF(G879="","",YEAR(G879))</f>
        <v/>
      </c>
      <c r="F879" s="33">
        <f>IF(G879="","",CHOOSE(MONTH(G879),"Janeiro","Fevereiro","Março","Abril","Maio","Junho","Julho","Agosto","Setembro","Outubro","Novembro","Dezembro"))</f>
        <v/>
      </c>
      <c r="G879" s="64" t="n">
        <v>46080</v>
      </c>
      <c r="H879" s="65" t="n">
        <v>0.01850694444444444</v>
      </c>
      <c r="I879" s="66" t="inlineStr">
        <is>
          <t>https://docs.google.com/spreadsheets/d/1ZiCGoPjLCjuYvujDTXK9Ixbth3tekiLtFBzBrGjPCr4/edit?gid=0#gid=0</t>
        </is>
      </c>
      <c r="J879" s="67" t="inlineStr">
        <is>
          <t>Erro de Gps (Problema Técnico) - [GPS]</t>
        </is>
      </c>
      <c r="K879" s="67" t="inlineStr"/>
      <c r="L879" s="68" t="b">
        <v>0</v>
      </c>
      <c r="M879" s="20" t="n"/>
      <c r="N879" s="69">
        <f>IF($J879="","",IFERROR(INDEX(B!$F$2:$F$61,MATCH($J879,B!$E$2:$E$61,0))&amp;"",""))</f>
        <v/>
      </c>
      <c r="O879" s="69">
        <f>IF($J879="","",IFERROR(INDEX(B!$G$2:$G$61,MATCH($J879,B!$E$2:$E$61,0))&amp;"",""))</f>
        <v/>
      </c>
      <c r="P879" s="69">
        <f>IF($J879="","",IFERROR(INDEX(B!$H$2:$H$61,MATCH($J879,B!$E$2:$E$61,0))&amp;"",""))</f>
        <v/>
      </c>
      <c r="Q879" s="69">
        <f>IF($J879="","",IFERROR(INDEX(B!$I$2:$I$61,MATCH($J879,B!$E$2:$E$61,0))&amp;"",""))</f>
        <v/>
      </c>
      <c r="R879" s="69">
        <f>IF($J879="","",IFERROR(INDEX(B!$J$2:$J$61,MATCH($J879,B!$E$2:$E$61,0))&amp;"",""))</f>
        <v/>
      </c>
      <c r="S879" s="69">
        <f>IF($J879="","",IFERROR(INDEX(B!$K$2:$K$61,MATCH($J879,B!$E$2:$E$61,0))&amp;"",""))</f>
        <v/>
      </c>
      <c r="T879" s="69">
        <f>IF($J879="","",IFERROR(INDEX(B!$L$2:$L$61,MATCH($J879,B!$E$2:$E$61,0))&amp;"",""))</f>
        <v/>
      </c>
      <c r="U879" s="20" t="n"/>
      <c r="V879" s="70">
        <f>IF($J879="","",IFERROR(INDEX(B!$M$2:$M$61,MATCH($J879,B!$E$2:$E$61,0))&amp;"",""))</f>
        <v/>
      </c>
      <c r="W879" s="71">
        <f>IF(I879="","",IFERROR(MID(I879,FIND("/d/",I879)+3,FIND("/edit",I879)-FIND("/d/",I879)-3),I879))</f>
        <v/>
      </c>
      <c r="X879" s="71">
        <f>IF($J879="","",IFERROR(INDEX(B!$C$2:$C$61,MATCH($J879,B!$E$2:$E$61,0))&amp;"",""))</f>
        <v/>
      </c>
      <c r="Y879" s="20" t="n"/>
      <c r="Z879" s="72">
        <f>IF($J879="",FALSE,ISNUMBER(SEARCH("scout",$K879)))</f>
        <v/>
      </c>
      <c r="AA879" s="72">
        <f>IF($J879="",FALSE,IFERROR(INDEX(B!$N$2:$N$61,MATCH($J879,B!$E$2:$E$61,0))="Sim",FALSE))</f>
        <v/>
      </c>
      <c r="AB879" s="72">
        <f>IF($J879="",FALSE,LEFT($X879,2)="XX")</f>
        <v/>
      </c>
      <c r="AC879" s="72">
        <f>IF($J879="",FALSE,IFERROR(INDEX(B!$P$2:$P$61,MATCH($J879,B!$E$2:$E$61,0))="Sim",FALSE))</f>
        <v/>
      </c>
      <c r="AD879" s="20" t="n"/>
      <c r="AE879" s="52">
        <f>IF(H879="","",HOUR(H879))</f>
        <v/>
      </c>
      <c r="AF879" s="52" t="n"/>
    </row>
    <row r="880" ht="19.5" customHeight="1" s="58">
      <c r="A880" s="62">
        <f>IF(G880="","",IF(G880=G879,"",COUNTIF($G$3:$G$976,G880)))</f>
        <v/>
      </c>
      <c r="B880" s="20" t="n"/>
      <c r="C880" s="63">
        <f>IF(G880="","",DAY(G880))</f>
        <v/>
      </c>
      <c r="D880" s="63">
        <f>IF(G880="","",MONTH(G880))</f>
        <v/>
      </c>
      <c r="E880" s="63">
        <f>IF(G880="","",YEAR(G880))</f>
        <v/>
      </c>
      <c r="F880" s="33">
        <f>IF(G880="","",CHOOSE(MONTH(G880),"Janeiro","Fevereiro","Março","Abril","Maio","Junho","Julho","Agosto","Setembro","Outubro","Novembro","Dezembro"))</f>
        <v/>
      </c>
      <c r="G880" s="64" t="n">
        <v>46080</v>
      </c>
      <c r="H880" s="65" t="n">
        <v>0.03483796296296297</v>
      </c>
      <c r="I880" s="66" t="inlineStr">
        <is>
          <t>https://docs.google.com/spreadsheets/d/1ZiCGoPjLCjuYvujDTXK9Ixbth3tekiLtFBzBrGjPCr4/edit?gid=0#gid=0</t>
        </is>
      </c>
      <c r="J880" s="67" t="inlineStr">
        <is>
          <t>Overpaid, Excede o limite Com comprovante - [OPEC]</t>
        </is>
      </c>
      <c r="K880" s="67" t="inlineStr">
        <is>
          <t>Scout</t>
        </is>
      </c>
      <c r="L880" s="68" t="b">
        <v>0</v>
      </c>
      <c r="M880" s="20" t="n"/>
      <c r="N880" s="69">
        <f>IF($J880="","",IFERROR(INDEX(B!$F$2:$F$61,MATCH($J880,B!$E$2:$E$61,0))&amp;"",""))</f>
        <v/>
      </c>
      <c r="O880" s="69">
        <f>IF($J880="","",IFERROR(INDEX(B!$G$2:$G$61,MATCH($J880,B!$E$2:$E$61,0))&amp;"",""))</f>
        <v/>
      </c>
      <c r="P880" s="69">
        <f>IF($J880="","",IFERROR(INDEX(B!$H$2:$H$61,MATCH($J880,B!$E$2:$E$61,0))&amp;"",""))</f>
        <v/>
      </c>
      <c r="Q880" s="69">
        <f>IF($J880="","",IFERROR(INDEX(B!$I$2:$I$61,MATCH($J880,B!$E$2:$E$61,0))&amp;"",""))</f>
        <v/>
      </c>
      <c r="R880" s="69">
        <f>IF($J880="","",IFERROR(INDEX(B!$J$2:$J$61,MATCH($J880,B!$E$2:$E$61,0))&amp;"",""))</f>
        <v/>
      </c>
      <c r="S880" s="69">
        <f>IF($J880="","",IFERROR(INDEX(B!$K$2:$K$61,MATCH($J880,B!$E$2:$E$61,0))&amp;"",""))</f>
        <v/>
      </c>
      <c r="T880" s="69">
        <f>IF($J880="","",IFERROR(INDEX(B!$L$2:$L$61,MATCH($J880,B!$E$2:$E$61,0))&amp;"",""))</f>
        <v/>
      </c>
      <c r="U880" s="20" t="n"/>
      <c r="V880" s="70">
        <f>IF($J880="","",IFERROR(INDEX(B!$M$2:$M$61,MATCH($J880,B!$E$2:$E$61,0))&amp;"",""))</f>
        <v/>
      </c>
      <c r="W880" s="71">
        <f>IF(I880="","",IFERROR(MID(I880,FIND("/d/",I880)+3,FIND("/edit",I880)-FIND("/d/",I880)-3),I880))</f>
        <v/>
      </c>
      <c r="X880" s="71">
        <f>IF($J880="","",IFERROR(INDEX(B!$C$2:$C$61,MATCH($J880,B!$E$2:$E$61,0))&amp;"",""))</f>
        <v/>
      </c>
      <c r="Y880" s="20" t="n"/>
      <c r="Z880" s="72">
        <f>IF($J880="",FALSE,ISNUMBER(SEARCH("scout",$K880)))</f>
        <v/>
      </c>
      <c r="AA880" s="72">
        <f>IF($J880="",FALSE,IFERROR(INDEX(B!$N$2:$N$61,MATCH($J880,B!$E$2:$E$61,0))="Sim",FALSE))</f>
        <v/>
      </c>
      <c r="AB880" s="72">
        <f>IF($J880="",FALSE,LEFT($X880,2)="XX")</f>
        <v/>
      </c>
      <c r="AC880" s="72">
        <f>IF($J880="",FALSE,IFERROR(INDEX(B!$P$2:$P$61,MATCH($J880,B!$E$2:$E$61,0))="Sim",FALSE))</f>
        <v/>
      </c>
      <c r="AD880" s="20" t="n"/>
      <c r="AE880" s="52">
        <f>IF(H880="","",HOUR(H880))</f>
        <v/>
      </c>
      <c r="AF880" s="52" t="n"/>
    </row>
    <row r="881" ht="19.5" customHeight="1" s="58">
      <c r="A881" s="62">
        <f>IF(G881="","",IF(G881=G880,"",COUNTIF($G$3:$G$976,G881)))</f>
        <v/>
      </c>
      <c r="B881" s="20" t="n"/>
      <c r="C881" s="63">
        <f>IF(G881="","",DAY(G881))</f>
        <v/>
      </c>
      <c r="D881" s="63">
        <f>IF(G881="","",MONTH(G881))</f>
        <v/>
      </c>
      <c r="E881" s="63">
        <f>IF(G881="","",YEAR(G881))</f>
        <v/>
      </c>
      <c r="F881" s="33">
        <f>IF(G881="","",CHOOSE(MONTH(G881),"Janeiro","Fevereiro","Março","Abril","Maio","Junho","Julho","Agosto","Setembro","Outubro","Novembro","Dezembro"))</f>
        <v/>
      </c>
      <c r="G881" s="64" t="n">
        <v>46080</v>
      </c>
      <c r="H881" s="65" t="n">
        <v>0.0353587962962963</v>
      </c>
      <c r="I881" s="66" t="inlineStr">
        <is>
          <t>https://docs.google.com/spreadsheets/d/1ZiCGoPjLCjuYvujDTXK9Ixbth3tekiLtFBzBrGjPCr4/edit?gid=0#gid=0</t>
        </is>
      </c>
      <c r="J881" s="67" t="inlineStr">
        <is>
          <t>Transferência de LOB (Geral não especificado) - [TI]</t>
        </is>
      </c>
      <c r="K881" s="67" t="inlineStr"/>
      <c r="L881" s="68" t="b">
        <v>0</v>
      </c>
      <c r="M881" s="20" t="n"/>
      <c r="N881" s="69">
        <f>IF($J881="","",IFERROR(INDEX(B!$F$2:$F$61,MATCH($J881,B!$E$2:$E$61,0))&amp;"",""))</f>
        <v/>
      </c>
      <c r="O881" s="69">
        <f>IF($J881="","",IFERROR(INDEX(B!$G$2:$G$61,MATCH($J881,B!$E$2:$E$61,0))&amp;"",""))</f>
        <v/>
      </c>
      <c r="P881" s="69">
        <f>IF($J881="","",IFERROR(INDEX(B!$H$2:$H$61,MATCH($J881,B!$E$2:$E$61,0))&amp;"",""))</f>
        <v/>
      </c>
      <c r="Q881" s="69">
        <f>IF($J881="","",IFERROR(INDEX(B!$I$2:$I$61,MATCH($J881,B!$E$2:$E$61,0))&amp;"",""))</f>
        <v/>
      </c>
      <c r="R881" s="69">
        <f>IF($J881="","",IFERROR(INDEX(B!$J$2:$J$61,MATCH($J881,B!$E$2:$E$61,0))&amp;"",""))</f>
        <v/>
      </c>
      <c r="S881" s="69">
        <f>IF($J881="","",IFERROR(INDEX(B!$K$2:$K$61,MATCH($J881,B!$E$2:$E$61,0))&amp;"",""))</f>
        <v/>
      </c>
      <c r="T881" s="69">
        <f>IF($J881="","",IFERROR(INDEX(B!$L$2:$L$61,MATCH($J881,B!$E$2:$E$61,0))&amp;"",""))</f>
        <v/>
      </c>
      <c r="U881" s="20" t="n"/>
      <c r="V881" s="70">
        <f>IF($J881="","",IFERROR(INDEX(B!$M$2:$M$61,MATCH($J881,B!$E$2:$E$61,0))&amp;"",""))</f>
        <v/>
      </c>
      <c r="W881" s="71">
        <f>IF(I881="","",IFERROR(MID(I881,FIND("/d/",I881)+3,FIND("/edit",I881)-FIND("/d/",I881)-3),I881))</f>
        <v/>
      </c>
      <c r="X881" s="71">
        <f>IF($J881="","",IFERROR(INDEX(B!$C$2:$C$61,MATCH($J881,B!$E$2:$E$61,0))&amp;"",""))</f>
        <v/>
      </c>
      <c r="Y881" s="20" t="n"/>
      <c r="Z881" s="72">
        <f>IF($J881="",FALSE,ISNUMBER(SEARCH("scout",$K881)))</f>
        <v/>
      </c>
      <c r="AA881" s="72">
        <f>IF($J881="",FALSE,IFERROR(INDEX(B!$N$2:$N$61,MATCH($J881,B!$E$2:$E$61,0))="Sim",FALSE))</f>
        <v/>
      </c>
      <c r="AB881" s="72">
        <f>IF($J881="",FALSE,LEFT($X881,2)="XX")</f>
        <v/>
      </c>
      <c r="AC881" s="72">
        <f>IF($J881="",FALSE,IFERROR(INDEX(B!$P$2:$P$61,MATCH($J881,B!$E$2:$E$61,0))="Sim",FALSE))</f>
        <v/>
      </c>
      <c r="AD881" s="20" t="n"/>
      <c r="AE881" s="52">
        <f>IF(H881="","",HOUR(H881))</f>
        <v/>
      </c>
      <c r="AF881" s="52" t="n"/>
    </row>
    <row r="882" ht="19.5" customHeight="1" s="58">
      <c r="A882" s="62">
        <f>IF(G882="","",IF(G882=G881,"",COUNTIF($G$3:$G$976,G882)))</f>
        <v/>
      </c>
      <c r="B882" s="20" t="n"/>
      <c r="C882" s="63">
        <f>IF(G882="","",DAY(G882))</f>
        <v/>
      </c>
      <c r="D882" s="63">
        <f>IF(G882="","",MONTH(G882))</f>
        <v/>
      </c>
      <c r="E882" s="63">
        <f>IF(G882="","",YEAR(G882))</f>
        <v/>
      </c>
      <c r="F882" s="33">
        <f>IF(G882="","",CHOOSE(MONTH(G882),"Janeiro","Fevereiro","Março","Abril","Maio","Junho","Julho","Agosto","Setembro","Outubro","Novembro","Dezembro"))</f>
        <v/>
      </c>
      <c r="G882" s="64" t="n">
        <v>46080</v>
      </c>
      <c r="H882" s="65" t="n">
        <v>0.03550925925925926</v>
      </c>
      <c r="I882" s="66" t="inlineStr">
        <is>
          <t>https://docs.google.com/spreadsheets/d/1ZiCGoPjLCjuYvujDTXK9Ixbth3tekiLtFBzBrGjPCr4/edit?gid=0#gid=0</t>
        </is>
      </c>
      <c r="J882" s="67" t="inlineStr">
        <is>
          <t>Pushback - [XX]</t>
        </is>
      </c>
      <c r="K882" s="67" t="inlineStr"/>
      <c r="L882" s="68" t="b">
        <v>0</v>
      </c>
      <c r="M882" s="20" t="n"/>
      <c r="N882" s="69">
        <f>IF($J882="","",IFERROR(INDEX(B!$F$2:$F$61,MATCH($J882,B!$E$2:$E$61,0))&amp;"",""))</f>
        <v/>
      </c>
      <c r="O882" s="69">
        <f>IF($J882="","",IFERROR(INDEX(B!$G$2:$G$61,MATCH($J882,B!$E$2:$E$61,0))&amp;"",""))</f>
        <v/>
      </c>
      <c r="P882" s="69">
        <f>IF($J882="","",IFERROR(INDEX(B!$H$2:$H$61,MATCH($J882,B!$E$2:$E$61,0))&amp;"",""))</f>
        <v/>
      </c>
      <c r="Q882" s="69">
        <f>IF($J882="","",IFERROR(INDEX(B!$I$2:$I$61,MATCH($J882,B!$E$2:$E$61,0))&amp;"",""))</f>
        <v/>
      </c>
      <c r="R882" s="69">
        <f>IF($J882="","",IFERROR(INDEX(B!$J$2:$J$61,MATCH($J882,B!$E$2:$E$61,0))&amp;"",""))</f>
        <v/>
      </c>
      <c r="S882" s="69">
        <f>IF($J882="","",IFERROR(INDEX(B!$K$2:$K$61,MATCH($J882,B!$E$2:$E$61,0))&amp;"",""))</f>
        <v/>
      </c>
      <c r="T882" s="69">
        <f>IF($J882="","",IFERROR(INDEX(B!$L$2:$L$61,MATCH($J882,B!$E$2:$E$61,0))&amp;"",""))</f>
        <v/>
      </c>
      <c r="U882" s="20" t="n"/>
      <c r="V882" s="70">
        <f>IF($J882="","",IFERROR(INDEX(B!$M$2:$M$61,MATCH($J882,B!$E$2:$E$61,0))&amp;"",""))</f>
        <v/>
      </c>
      <c r="W882" s="71">
        <f>IF(I882="","",IFERROR(MID(I882,FIND("/d/",I882)+3,FIND("/edit",I882)-FIND("/d/",I882)-3),I882))</f>
        <v/>
      </c>
      <c r="X882" s="71">
        <f>IF($J882="","",IFERROR(INDEX(B!$C$2:$C$61,MATCH($J882,B!$E$2:$E$61,0))&amp;"",""))</f>
        <v/>
      </c>
      <c r="Y882" s="20" t="n"/>
      <c r="Z882" s="72">
        <f>IF($J882="",FALSE,ISNUMBER(SEARCH("scout",$K882)))</f>
        <v/>
      </c>
      <c r="AA882" s="72">
        <f>IF($J882="",FALSE,IFERROR(INDEX(B!$N$2:$N$61,MATCH($J882,B!$E$2:$E$61,0))="Sim",FALSE))</f>
        <v/>
      </c>
      <c r="AB882" s="72">
        <f>IF($J882="",FALSE,LEFT($X882,2)="XX")</f>
        <v/>
      </c>
      <c r="AC882" s="72">
        <f>IF($J882="",FALSE,IFERROR(INDEX(B!$P$2:$P$61,MATCH($J882,B!$E$2:$E$61,0))="Sim",FALSE))</f>
        <v/>
      </c>
      <c r="AD882" s="20" t="n"/>
      <c r="AE882" s="52">
        <f>IF(H882="","",HOUR(H882))</f>
        <v/>
      </c>
      <c r="AF882" s="52" t="n"/>
    </row>
    <row r="883" ht="19.5" customHeight="1" s="58">
      <c r="A883" s="62">
        <f>IF(G883="","",IF(G883=G882,"",COUNTIF($G$3:$G$976,G883)))</f>
        <v/>
      </c>
      <c r="B883" s="20" t="n"/>
      <c r="C883" s="63">
        <f>IF(G883="","",DAY(G883))</f>
        <v/>
      </c>
      <c r="D883" s="63">
        <f>IF(G883="","",MONTH(G883))</f>
        <v/>
      </c>
      <c r="E883" s="63">
        <f>IF(G883="","",YEAR(G883))</f>
        <v/>
      </c>
      <c r="F883" s="33">
        <f>IF(G883="","",CHOOSE(MONTH(G883),"Janeiro","Fevereiro","Março","Abril","Maio","Junho","Julho","Agosto","Setembro","Outubro","Novembro","Dezembro"))</f>
        <v/>
      </c>
      <c r="G883" s="64" t="n">
        <v>46080</v>
      </c>
      <c r="H883" s="65" t="n">
        <v>0.03898148148148148</v>
      </c>
      <c r="I883" s="66" t="inlineStr">
        <is>
          <t>https://docs.google.com/spreadsheets/d/1ZiCGoPjLCjuYvujDTXK9Ixbth3tekiLtFBzBrGjPCr4/edit?gid=0#gid=0</t>
        </is>
      </c>
      <c r="J883" s="67" t="inlineStr">
        <is>
          <t>Não houve Taxa de Cancelamento - [NTX]</t>
        </is>
      </c>
      <c r="K883" s="67" t="inlineStr">
        <is>
          <t>Scout</t>
        </is>
      </c>
      <c r="L883" s="68" t="b">
        <v>0</v>
      </c>
      <c r="M883" s="20" t="n"/>
      <c r="N883" s="69">
        <f>IF($J883="","",IFERROR(INDEX(B!$F$2:$F$61,MATCH($J883,B!$E$2:$E$61,0))&amp;"",""))</f>
        <v/>
      </c>
      <c r="O883" s="69">
        <f>IF($J883="","",IFERROR(INDEX(B!$G$2:$G$61,MATCH($J883,B!$E$2:$E$61,0))&amp;"",""))</f>
        <v/>
      </c>
      <c r="P883" s="69">
        <f>IF($J883="","",IFERROR(INDEX(B!$H$2:$H$61,MATCH($J883,B!$E$2:$E$61,0))&amp;"",""))</f>
        <v/>
      </c>
      <c r="Q883" s="69">
        <f>IF($J883="","",IFERROR(INDEX(B!$I$2:$I$61,MATCH($J883,B!$E$2:$E$61,0))&amp;"",""))</f>
        <v/>
      </c>
      <c r="R883" s="69">
        <f>IF($J883="","",IFERROR(INDEX(B!$J$2:$J$61,MATCH($J883,B!$E$2:$E$61,0))&amp;"",""))</f>
        <v/>
      </c>
      <c r="S883" s="69">
        <f>IF($J883="","",IFERROR(INDEX(B!$K$2:$K$61,MATCH($J883,B!$E$2:$E$61,0))&amp;"",""))</f>
        <v/>
      </c>
      <c r="T883" s="69">
        <f>IF($J883="","",IFERROR(INDEX(B!$L$2:$L$61,MATCH($J883,B!$E$2:$E$61,0))&amp;"",""))</f>
        <v/>
      </c>
      <c r="U883" s="20" t="n"/>
      <c r="V883" s="70">
        <f>IF($J883="","",IFERROR(INDEX(B!$M$2:$M$61,MATCH($J883,B!$E$2:$E$61,0))&amp;"",""))</f>
        <v/>
      </c>
      <c r="W883" s="71">
        <f>IF(I883="","",IFERROR(MID(I883,FIND("/d/",I883)+3,FIND("/edit",I883)-FIND("/d/",I883)-3),I883))</f>
        <v/>
      </c>
      <c r="X883" s="71">
        <f>IF($J883="","",IFERROR(INDEX(B!$C$2:$C$61,MATCH($J883,B!$E$2:$E$61,0))&amp;"",""))</f>
        <v/>
      </c>
      <c r="Y883" s="20" t="n"/>
      <c r="Z883" s="72">
        <f>IF($J883="",FALSE,ISNUMBER(SEARCH("scout",$K883)))</f>
        <v/>
      </c>
      <c r="AA883" s="72">
        <f>IF($J883="",FALSE,IFERROR(INDEX(B!$N$2:$N$61,MATCH($J883,B!$E$2:$E$61,0))="Sim",FALSE))</f>
        <v/>
      </c>
      <c r="AB883" s="72">
        <f>IF($J883="",FALSE,LEFT($X883,2)="XX")</f>
        <v/>
      </c>
      <c r="AC883" s="72">
        <f>IF($J883="",FALSE,IFERROR(INDEX(B!$P$2:$P$61,MATCH($J883,B!$E$2:$E$61,0))="Sim",FALSE))</f>
        <v/>
      </c>
      <c r="AD883" s="20" t="n"/>
      <c r="AE883" s="52">
        <f>IF(H883="","",HOUR(H883))</f>
        <v/>
      </c>
      <c r="AF883" s="52" t="n"/>
    </row>
    <row r="884" ht="19.5" customHeight="1" s="58">
      <c r="A884" s="62">
        <f>IF(G884="","",IF(G884=G883,"",COUNTIF($G$3:$G$976,G884)))</f>
        <v/>
      </c>
      <c r="B884" s="20" t="n"/>
      <c r="C884" s="63">
        <f>IF(G884="","",DAY(G884))</f>
        <v/>
      </c>
      <c r="D884" s="63">
        <f>IF(G884="","",MONTH(G884))</f>
        <v/>
      </c>
      <c r="E884" s="63">
        <f>IF(G884="","",YEAR(G884))</f>
        <v/>
      </c>
      <c r="F884" s="33">
        <f>IF(G884="","",CHOOSE(MONTH(G884),"Janeiro","Fevereiro","Março","Abril","Maio","Junho","Julho","Agosto","Setembro","Outubro","Novembro","Dezembro"))</f>
        <v/>
      </c>
      <c r="G884" s="64" t="n">
        <v>46080</v>
      </c>
      <c r="H884" s="65" t="n">
        <v>0.04210648148148148</v>
      </c>
      <c r="I884" s="66" t="inlineStr">
        <is>
          <t>https://docs.google.com/spreadsheets/d/1ZiCGoPjLCjuYvujDTXK9Ixbth3tekiLtFBzBrGjPCr4/edit?gid=0#gid=0</t>
        </is>
      </c>
      <c r="J884" s="67" t="inlineStr">
        <is>
          <t>Pushback - [XX]</t>
        </is>
      </c>
      <c r="K884" s="67" t="inlineStr"/>
      <c r="L884" s="68" t="b">
        <v>1</v>
      </c>
      <c r="M884" s="20" t="n"/>
      <c r="N884" s="69">
        <f>IF($J884="","",IFERROR(INDEX(B!$F$2:$F$61,MATCH($J884,B!$E$2:$E$61,0))&amp;"",""))</f>
        <v/>
      </c>
      <c r="O884" s="69">
        <f>IF($J884="","",IFERROR(INDEX(B!$G$2:$G$61,MATCH($J884,B!$E$2:$E$61,0))&amp;"",""))</f>
        <v/>
      </c>
      <c r="P884" s="69">
        <f>IF($J884="","",IFERROR(INDEX(B!$H$2:$H$61,MATCH($J884,B!$E$2:$E$61,0))&amp;"",""))</f>
        <v/>
      </c>
      <c r="Q884" s="69">
        <f>IF($J884="","",IFERROR(INDEX(B!$I$2:$I$61,MATCH($J884,B!$E$2:$E$61,0))&amp;"",""))</f>
        <v/>
      </c>
      <c r="R884" s="69">
        <f>IF($J884="","",IFERROR(INDEX(B!$J$2:$J$61,MATCH($J884,B!$E$2:$E$61,0))&amp;"",""))</f>
        <v/>
      </c>
      <c r="S884" s="69">
        <f>IF($J884="","",IFERROR(INDEX(B!$K$2:$K$61,MATCH($J884,B!$E$2:$E$61,0))&amp;"",""))</f>
        <v/>
      </c>
      <c r="T884" s="69">
        <f>IF($J884="","",IFERROR(INDEX(B!$L$2:$L$61,MATCH($J884,B!$E$2:$E$61,0))&amp;"",""))</f>
        <v/>
      </c>
      <c r="U884" s="20" t="n"/>
      <c r="V884" s="70">
        <f>IF($J884="","",IFERROR(INDEX(B!$M$2:$M$61,MATCH($J884,B!$E$2:$E$61,0))&amp;"",""))</f>
        <v/>
      </c>
      <c r="W884" s="71">
        <f>IF(I884="","",IFERROR(MID(I884,FIND("/d/",I884)+3,FIND("/edit",I884)-FIND("/d/",I884)-3),I884))</f>
        <v/>
      </c>
      <c r="X884" s="71">
        <f>IF($J884="","",IFERROR(INDEX(B!$C$2:$C$61,MATCH($J884,B!$E$2:$E$61,0))&amp;"",""))</f>
        <v/>
      </c>
      <c r="Y884" s="20" t="n"/>
      <c r="Z884" s="72">
        <f>IF($J884="",FALSE,ISNUMBER(SEARCH("scout",$K884)))</f>
        <v/>
      </c>
      <c r="AA884" s="72">
        <f>IF($J884="",FALSE,IFERROR(INDEX(B!$N$2:$N$61,MATCH($J884,B!$E$2:$E$61,0))="Sim",FALSE))</f>
        <v/>
      </c>
      <c r="AB884" s="72">
        <f>IF($J884="",FALSE,LEFT($X884,2)="XX")</f>
        <v/>
      </c>
      <c r="AC884" s="72">
        <f>IF($J884="",FALSE,IFERROR(INDEX(B!$P$2:$P$61,MATCH($J884,B!$E$2:$E$61,0))="Sim",FALSE))</f>
        <v/>
      </c>
      <c r="AD884" s="20" t="n"/>
      <c r="AE884" s="52">
        <f>IF(H884="","",HOUR(H884))</f>
        <v/>
      </c>
      <c r="AF884" s="52" t="n"/>
    </row>
    <row r="885" ht="19.5" customHeight="1" s="58">
      <c r="A885" s="62">
        <f>IF(G885="","",IF(G885=G884,"",COUNTIF($G$3:$G$976,G885)))</f>
        <v/>
      </c>
      <c r="B885" s="20" t="n"/>
      <c r="C885" s="63">
        <f>IF(G885="","",DAY(G885))</f>
        <v/>
      </c>
      <c r="D885" s="63">
        <f>IF(G885="","",MONTH(G885))</f>
        <v/>
      </c>
      <c r="E885" s="63">
        <f>IF(G885="","",YEAR(G885))</f>
        <v/>
      </c>
      <c r="F885" s="33">
        <f>IF(G885="","",CHOOSE(MONTH(G885),"Janeiro","Fevereiro","Março","Abril","Maio","Junho","Julho","Agosto","Setembro","Outubro","Novembro","Dezembro"))</f>
        <v/>
      </c>
      <c r="G885" s="64" t="n">
        <v>46080</v>
      </c>
      <c r="H885" s="65" t="n">
        <v>0.04310185185185185</v>
      </c>
      <c r="I885" s="66" t="inlineStr">
        <is>
          <t>https://docs.google.com/spreadsheets/d/1ZiCGoPjLCjuYvujDTXK9Ixbth3tekiLtFBzBrGjPCr4/edit?gid=0#gid=0</t>
        </is>
      </c>
      <c r="J885" s="67" t="inlineStr">
        <is>
          <t>Transferência de LOB (Geral não especificado) - [TI]</t>
        </is>
      </c>
      <c r="K885" s="67" t="inlineStr">
        <is>
          <t>Scout</t>
        </is>
      </c>
      <c r="L885" s="68" t="b">
        <v>0</v>
      </c>
      <c r="M885" s="20" t="n"/>
      <c r="N885" s="69">
        <f>IF($J885="","",IFERROR(INDEX(B!$F$2:$F$61,MATCH($J885,B!$E$2:$E$61,0))&amp;"",""))</f>
        <v/>
      </c>
      <c r="O885" s="69">
        <f>IF($J885="","",IFERROR(INDEX(B!$G$2:$G$61,MATCH($J885,B!$E$2:$E$61,0))&amp;"",""))</f>
        <v/>
      </c>
      <c r="P885" s="69">
        <f>IF($J885="","",IFERROR(INDEX(B!$H$2:$H$61,MATCH($J885,B!$E$2:$E$61,0))&amp;"",""))</f>
        <v/>
      </c>
      <c r="Q885" s="69">
        <f>IF($J885="","",IFERROR(INDEX(B!$I$2:$I$61,MATCH($J885,B!$E$2:$E$61,0))&amp;"",""))</f>
        <v/>
      </c>
      <c r="R885" s="69">
        <f>IF($J885="","",IFERROR(INDEX(B!$J$2:$J$61,MATCH($J885,B!$E$2:$E$61,0))&amp;"",""))</f>
        <v/>
      </c>
      <c r="S885" s="69">
        <f>IF($J885="","",IFERROR(INDEX(B!$K$2:$K$61,MATCH($J885,B!$E$2:$E$61,0))&amp;"",""))</f>
        <v/>
      </c>
      <c r="T885" s="69">
        <f>IF($J885="","",IFERROR(INDEX(B!$L$2:$L$61,MATCH($J885,B!$E$2:$E$61,0))&amp;"",""))</f>
        <v/>
      </c>
      <c r="U885" s="20" t="n"/>
      <c r="V885" s="70">
        <f>IF($J885="","",IFERROR(INDEX(B!$M$2:$M$61,MATCH($J885,B!$E$2:$E$61,0))&amp;"",""))</f>
        <v/>
      </c>
      <c r="W885" s="71">
        <f>IF(I885="","",IFERROR(MID(I885,FIND("/d/",I885)+3,FIND("/edit",I885)-FIND("/d/",I885)-3),I885))</f>
        <v/>
      </c>
      <c r="X885" s="71">
        <f>IF($J885="","",IFERROR(INDEX(B!$C$2:$C$61,MATCH($J885,B!$E$2:$E$61,0))&amp;"",""))</f>
        <v/>
      </c>
      <c r="Y885" s="20" t="n"/>
      <c r="Z885" s="72">
        <f>IF($J885="",FALSE,ISNUMBER(SEARCH("scout",$K885)))</f>
        <v/>
      </c>
      <c r="AA885" s="72">
        <f>IF($J885="",FALSE,IFERROR(INDEX(B!$N$2:$N$61,MATCH($J885,B!$E$2:$E$61,0))="Sim",FALSE))</f>
        <v/>
      </c>
      <c r="AB885" s="72">
        <f>IF($J885="",FALSE,LEFT($X885,2)="XX")</f>
        <v/>
      </c>
      <c r="AC885" s="72">
        <f>IF($J885="",FALSE,IFERROR(INDEX(B!$P$2:$P$61,MATCH($J885,B!$E$2:$E$61,0))="Sim",FALSE))</f>
        <v/>
      </c>
      <c r="AD885" s="20" t="n"/>
      <c r="AE885" s="52">
        <f>IF(H885="","",HOUR(H885))</f>
        <v/>
      </c>
      <c r="AF885" s="52" t="n"/>
    </row>
    <row r="886" ht="19.5" customHeight="1" s="58">
      <c r="A886" s="62">
        <f>IF(G886="","",IF(G886=G885,"",COUNTIF($G$3:$G$976,G886)))</f>
        <v/>
      </c>
      <c r="B886" s="20" t="n"/>
      <c r="C886" s="63">
        <f>IF(G886="","",DAY(G886))</f>
        <v/>
      </c>
      <c r="D886" s="63">
        <f>IF(G886="","",MONTH(G886))</f>
        <v/>
      </c>
      <c r="E886" s="63">
        <f>IF(G886="","",YEAR(G886))</f>
        <v/>
      </c>
      <c r="F886" s="33">
        <f>IF(G886="","",CHOOSE(MONTH(G886),"Janeiro","Fevereiro","Março","Abril","Maio","Junho","Julho","Agosto","Setembro","Outubro","Novembro","Dezembro"))</f>
        <v/>
      </c>
      <c r="G886" s="64" t="n">
        <v>46080</v>
      </c>
      <c r="H886" s="65" t="n">
        <v>0.0465625</v>
      </c>
      <c r="I886" s="66" t="inlineStr">
        <is>
          <t>https://docs.google.com/spreadsheets/d/1ZiCGoPjLCjuYvujDTXK9Ixbth3tekiLtFBzBrGjPCr4/edit?gid=0#gid=0</t>
        </is>
      </c>
      <c r="J886" s="67" t="inlineStr">
        <is>
          <t>Pushback - [XX]</t>
        </is>
      </c>
      <c r="K886" s="67" t="inlineStr"/>
      <c r="L886" s="68" t="b">
        <v>1</v>
      </c>
      <c r="M886" s="20" t="n"/>
      <c r="N886" s="69">
        <f>IF($J886="","",IFERROR(INDEX(B!$F$2:$F$61,MATCH($J886,B!$E$2:$E$61,0))&amp;"",""))</f>
        <v/>
      </c>
      <c r="O886" s="69">
        <f>IF($J886="","",IFERROR(INDEX(B!$G$2:$G$61,MATCH($J886,B!$E$2:$E$61,0))&amp;"",""))</f>
        <v/>
      </c>
      <c r="P886" s="69">
        <f>IF($J886="","",IFERROR(INDEX(B!$H$2:$H$61,MATCH($J886,B!$E$2:$E$61,0))&amp;"",""))</f>
        <v/>
      </c>
      <c r="Q886" s="69">
        <f>IF($J886="","",IFERROR(INDEX(B!$I$2:$I$61,MATCH($J886,B!$E$2:$E$61,0))&amp;"",""))</f>
        <v/>
      </c>
      <c r="R886" s="69">
        <f>IF($J886="","",IFERROR(INDEX(B!$J$2:$J$61,MATCH($J886,B!$E$2:$E$61,0))&amp;"",""))</f>
        <v/>
      </c>
      <c r="S886" s="69">
        <f>IF($J886="","",IFERROR(INDEX(B!$K$2:$K$61,MATCH($J886,B!$E$2:$E$61,0))&amp;"",""))</f>
        <v/>
      </c>
      <c r="T886" s="69">
        <f>IF($J886="","",IFERROR(INDEX(B!$L$2:$L$61,MATCH($J886,B!$E$2:$E$61,0))&amp;"",""))</f>
        <v/>
      </c>
      <c r="U886" s="20" t="n"/>
      <c r="V886" s="70">
        <f>IF($J886="","",IFERROR(INDEX(B!$M$2:$M$61,MATCH($J886,B!$E$2:$E$61,0))&amp;"",""))</f>
        <v/>
      </c>
      <c r="W886" s="71">
        <f>IF(I886="","",IFERROR(MID(I886,FIND("/d/",I886)+3,FIND("/edit",I886)-FIND("/d/",I886)-3),I886))</f>
        <v/>
      </c>
      <c r="X886" s="71">
        <f>IF($J886="","",IFERROR(INDEX(B!$C$2:$C$61,MATCH($J886,B!$E$2:$E$61,0))&amp;"",""))</f>
        <v/>
      </c>
      <c r="Y886" s="20" t="n"/>
      <c r="Z886" s="72">
        <f>IF($J886="",FALSE,ISNUMBER(SEARCH("scout",$K886)))</f>
        <v/>
      </c>
      <c r="AA886" s="72">
        <f>IF($J886="",FALSE,IFERROR(INDEX(B!$N$2:$N$61,MATCH($J886,B!$E$2:$E$61,0))="Sim",FALSE))</f>
        <v/>
      </c>
      <c r="AB886" s="72">
        <f>IF($J886="",FALSE,LEFT($X886,2)="XX")</f>
        <v/>
      </c>
      <c r="AC886" s="72">
        <f>IF($J886="",FALSE,IFERROR(INDEX(B!$P$2:$P$61,MATCH($J886,B!$E$2:$E$61,0))="Sim",FALSE))</f>
        <v/>
      </c>
      <c r="AD886" s="20" t="n"/>
      <c r="AE886" s="52">
        <f>IF(H886="","",HOUR(H886))</f>
        <v/>
      </c>
      <c r="AF886" s="52" t="n"/>
    </row>
    <row r="887" ht="19.5" customHeight="1" s="58">
      <c r="A887" s="62">
        <f>IF(G887="","",IF(G887=G886,"",COUNTIF($G$3:$G$976,G887)))</f>
        <v/>
      </c>
      <c r="B887" s="20" t="n"/>
      <c r="C887" s="63">
        <f>IF(G887="","",DAY(G887))</f>
        <v/>
      </c>
      <c r="D887" s="63">
        <f>IF(G887="","",MONTH(G887))</f>
        <v/>
      </c>
      <c r="E887" s="63">
        <f>IF(G887="","",YEAR(G887))</f>
        <v/>
      </c>
      <c r="F887" s="33">
        <f>IF(G887="","",CHOOSE(MONTH(G887),"Janeiro","Fevereiro","Março","Abril","Maio","Junho","Julho","Agosto","Setembro","Outubro","Novembro","Dezembro"))</f>
        <v/>
      </c>
      <c r="G887" s="64" t="n">
        <v>46081</v>
      </c>
      <c r="H887" s="65" t="n">
        <v>0.007210648148148148</v>
      </c>
      <c r="I887" s="66" t="inlineStr">
        <is>
          <t>https://docs.google.com/spreadsheets/d/1ZiCGoPjLCjuYvujDTXK9Ixbth3tekiLtFBzBrGjPCr4/edit?gid=0#gid=0</t>
        </is>
      </c>
      <c r="J887" s="67" t="inlineStr">
        <is>
          <t>Trajeto Ruim - [TR]</t>
        </is>
      </c>
      <c r="K887" s="67" t="inlineStr">
        <is>
          <t>Scout</t>
        </is>
      </c>
      <c r="L887" s="68" t="b">
        <v>0</v>
      </c>
      <c r="M887" s="20" t="n"/>
      <c r="N887" s="69">
        <f>IF($J887="","",IFERROR(INDEX(B!$F$2:$F$61,MATCH($J887,B!$E$2:$E$61,0))&amp;"",""))</f>
        <v/>
      </c>
      <c r="O887" s="69">
        <f>IF($J887="","",IFERROR(INDEX(B!$G$2:$G$61,MATCH($J887,B!$E$2:$E$61,0))&amp;"",""))</f>
        <v/>
      </c>
      <c r="P887" s="69">
        <f>IF($J887="","",IFERROR(INDEX(B!$H$2:$H$61,MATCH($J887,B!$E$2:$E$61,0))&amp;"",""))</f>
        <v/>
      </c>
      <c r="Q887" s="69">
        <f>IF($J887="","",IFERROR(INDEX(B!$I$2:$I$61,MATCH($J887,B!$E$2:$E$61,0))&amp;"",""))</f>
        <v/>
      </c>
      <c r="R887" s="69">
        <f>IF($J887="","",IFERROR(INDEX(B!$J$2:$J$61,MATCH($J887,B!$E$2:$E$61,0))&amp;"",""))</f>
        <v/>
      </c>
      <c r="S887" s="69">
        <f>IF($J887="","",IFERROR(INDEX(B!$K$2:$K$61,MATCH($J887,B!$E$2:$E$61,0))&amp;"",""))</f>
        <v/>
      </c>
      <c r="T887" s="69">
        <f>IF($J887="","",IFERROR(INDEX(B!$L$2:$L$61,MATCH($J887,B!$E$2:$E$61,0))&amp;"",""))</f>
        <v/>
      </c>
      <c r="U887" s="20" t="n"/>
      <c r="V887" s="70">
        <f>IF($J887="","",IFERROR(INDEX(B!$M$2:$M$61,MATCH($J887,B!$E$2:$E$61,0))&amp;"",""))</f>
        <v/>
      </c>
      <c r="W887" s="71">
        <f>IF(I887="","",IFERROR(MID(I887,FIND("/d/",I887)+3,FIND("/edit",I887)-FIND("/d/",I887)-3),I887))</f>
        <v/>
      </c>
      <c r="X887" s="71">
        <f>IF($J887="","",IFERROR(INDEX(B!$C$2:$C$61,MATCH($J887,B!$E$2:$E$61,0))&amp;"",""))</f>
        <v/>
      </c>
      <c r="Y887" s="20" t="n"/>
      <c r="Z887" s="72">
        <f>IF($J887="",FALSE,ISNUMBER(SEARCH("scout",$K887)))</f>
        <v/>
      </c>
      <c r="AA887" s="72">
        <f>IF($J887="",FALSE,IFERROR(INDEX(B!$N$2:$N$61,MATCH($J887,B!$E$2:$E$61,0))="Sim",FALSE))</f>
        <v/>
      </c>
      <c r="AB887" s="72">
        <f>IF($J887="",FALSE,LEFT($X887,2)="XX")</f>
        <v/>
      </c>
      <c r="AC887" s="72">
        <f>IF($J887="",FALSE,IFERROR(INDEX(B!$P$2:$P$61,MATCH($J887,B!$E$2:$E$61,0))="Sim",FALSE))</f>
        <v/>
      </c>
      <c r="AD887" s="20" t="n"/>
      <c r="AE887" s="52">
        <f>IF(H887="","",HOUR(H887))</f>
        <v/>
      </c>
      <c r="AF887" s="52" t="n"/>
    </row>
    <row r="888" ht="19.5" customHeight="1" s="58">
      <c r="A888" s="62">
        <f>IF(G888="","",IF(G888=G887,"",COUNTIF($G$3:$G$976,G888)))</f>
        <v/>
      </c>
      <c r="B888" s="20" t="n"/>
      <c r="C888" s="63">
        <f>IF(G888="","",DAY(G888))</f>
        <v/>
      </c>
      <c r="D888" s="63">
        <f>IF(G888="","",MONTH(G888))</f>
        <v/>
      </c>
      <c r="E888" s="63">
        <f>IF(G888="","",YEAR(G888))</f>
        <v/>
      </c>
      <c r="F888" s="33">
        <f>IF(G888="","",CHOOSE(MONTH(G888),"Janeiro","Fevereiro","Março","Abril","Maio","Junho","Julho","Agosto","Setembro","Outubro","Novembro","Dezembro"))</f>
        <v/>
      </c>
      <c r="G888" s="64" t="n">
        <v>46081</v>
      </c>
      <c r="H888" s="65" t="n">
        <v>0.009942129629629629</v>
      </c>
      <c r="I888" s="66" t="inlineStr">
        <is>
          <t>https://docs.google.com/spreadsheets/d/1ZiCGoPjLCjuYvujDTXK9Ixbth3tekiLtFBzBrGjPCr4/edit?gid=0#gid=0</t>
        </is>
      </c>
      <c r="J888" s="67" t="inlineStr">
        <is>
          <t>Overpaid, Excede o limite, Sem comprovante - [OPEN]</t>
        </is>
      </c>
      <c r="K888" s="67" t="inlineStr">
        <is>
          <t>Scout</t>
        </is>
      </c>
      <c r="L888" s="68" t="b">
        <v>0</v>
      </c>
      <c r="M888" s="20" t="n"/>
      <c r="N888" s="69">
        <f>IF($J888="","",IFERROR(INDEX(B!$F$2:$F$61,MATCH($J888,B!$E$2:$E$61,0))&amp;"",""))</f>
        <v/>
      </c>
      <c r="O888" s="69">
        <f>IF($J888="","",IFERROR(INDEX(B!$G$2:$G$61,MATCH($J888,B!$E$2:$E$61,0))&amp;"",""))</f>
        <v/>
      </c>
      <c r="P888" s="69">
        <f>IF($J888="","",IFERROR(INDEX(B!$H$2:$H$61,MATCH($J888,B!$E$2:$E$61,0))&amp;"",""))</f>
        <v/>
      </c>
      <c r="Q888" s="69">
        <f>IF($J888="","",IFERROR(INDEX(B!$I$2:$I$61,MATCH($J888,B!$E$2:$E$61,0))&amp;"",""))</f>
        <v/>
      </c>
      <c r="R888" s="69">
        <f>IF($J888="","",IFERROR(INDEX(B!$J$2:$J$61,MATCH($J888,B!$E$2:$E$61,0))&amp;"",""))</f>
        <v/>
      </c>
      <c r="S888" s="69">
        <f>IF($J888="","",IFERROR(INDEX(B!$K$2:$K$61,MATCH($J888,B!$E$2:$E$61,0))&amp;"",""))</f>
        <v/>
      </c>
      <c r="T888" s="69">
        <f>IF($J888="","",IFERROR(INDEX(B!$L$2:$L$61,MATCH($J888,B!$E$2:$E$61,0))&amp;"",""))</f>
        <v/>
      </c>
      <c r="U888" s="20" t="n"/>
      <c r="V888" s="70">
        <f>IF($J888="","",IFERROR(INDEX(B!$M$2:$M$61,MATCH($J888,B!$E$2:$E$61,0))&amp;"",""))</f>
        <v/>
      </c>
      <c r="W888" s="71">
        <f>IF(I888="","",IFERROR(MID(I888,FIND("/d/",I888)+3,FIND("/edit",I888)-FIND("/d/",I888)-3),I888))</f>
        <v/>
      </c>
      <c r="X888" s="71">
        <f>IF($J888="","",IFERROR(INDEX(B!$C$2:$C$61,MATCH($J888,B!$E$2:$E$61,0))&amp;"",""))</f>
        <v/>
      </c>
      <c r="Y888" s="20" t="n"/>
      <c r="Z888" s="72">
        <f>IF($J888="",FALSE,ISNUMBER(SEARCH("scout",$K888)))</f>
        <v/>
      </c>
      <c r="AA888" s="72">
        <f>IF($J888="",FALSE,IFERROR(INDEX(B!$N$2:$N$61,MATCH($J888,B!$E$2:$E$61,0))="Sim",FALSE))</f>
        <v/>
      </c>
      <c r="AB888" s="72">
        <f>IF($J888="",FALSE,LEFT($X888,2)="XX")</f>
        <v/>
      </c>
      <c r="AC888" s="72">
        <f>IF($J888="",FALSE,IFERROR(INDEX(B!$P$2:$P$61,MATCH($J888,B!$E$2:$E$61,0))="Sim",FALSE))</f>
        <v/>
      </c>
      <c r="AD888" s="20" t="n"/>
      <c r="AE888" s="52">
        <f>IF(H888="","",HOUR(H888))</f>
        <v/>
      </c>
      <c r="AF888" s="52" t="n"/>
    </row>
    <row r="889" ht="19.5" customHeight="1" s="58">
      <c r="A889" s="62">
        <f>IF(G889="","",IF(G889=G888,"",COUNTIF($G$3:$G$976,G889)))</f>
        <v/>
      </c>
      <c r="B889" s="20" t="n"/>
      <c r="C889" s="63">
        <f>IF(G889="","",DAY(G889))</f>
        <v/>
      </c>
      <c r="D889" s="63">
        <f>IF(G889="","",MONTH(G889))</f>
        <v/>
      </c>
      <c r="E889" s="63">
        <f>IF(G889="","",YEAR(G889))</f>
        <v/>
      </c>
      <c r="F889" s="33">
        <f>IF(G889="","",CHOOSE(MONTH(G889),"Janeiro","Fevereiro","Março","Abril","Maio","Junho","Julho","Agosto","Setembro","Outubro","Novembro","Dezembro"))</f>
        <v/>
      </c>
      <c r="G889" s="64" t="n">
        <v>46081</v>
      </c>
      <c r="H889" s="65" t="n">
        <v>0.01070601851851852</v>
      </c>
      <c r="I889" s="66" t="inlineStr">
        <is>
          <t>https://docs.google.com/spreadsheets/d/1ZiCGoPjLCjuYvujDTXK9Ixbth3tekiLtFBzBrGjPCr4/edit?gid=0#gid=0</t>
        </is>
      </c>
      <c r="J889" s="67" t="inlineStr">
        <is>
          <t>Overpaid, Não excede o limite, Com comprovante - [OPNC]</t>
        </is>
      </c>
      <c r="K889" s="67" t="inlineStr"/>
      <c r="L889" s="68" t="b">
        <v>0</v>
      </c>
      <c r="M889" s="20" t="n"/>
      <c r="N889" s="69">
        <f>IF($J889="","",IFERROR(INDEX(B!$F$2:$F$61,MATCH($J889,B!$E$2:$E$61,0))&amp;"",""))</f>
        <v/>
      </c>
      <c r="O889" s="69">
        <f>IF($J889="","",IFERROR(INDEX(B!$G$2:$G$61,MATCH($J889,B!$E$2:$E$61,0))&amp;"",""))</f>
        <v/>
      </c>
      <c r="P889" s="69">
        <f>IF($J889="","",IFERROR(INDEX(B!$H$2:$H$61,MATCH($J889,B!$E$2:$E$61,0))&amp;"",""))</f>
        <v/>
      </c>
      <c r="Q889" s="69">
        <f>IF($J889="","",IFERROR(INDEX(B!$I$2:$I$61,MATCH($J889,B!$E$2:$E$61,0))&amp;"",""))</f>
        <v/>
      </c>
      <c r="R889" s="69">
        <f>IF($J889="","",IFERROR(INDEX(B!$J$2:$J$61,MATCH($J889,B!$E$2:$E$61,0))&amp;"",""))</f>
        <v/>
      </c>
      <c r="S889" s="69">
        <f>IF($J889="","",IFERROR(INDEX(B!$K$2:$K$61,MATCH($J889,B!$E$2:$E$61,0))&amp;"",""))</f>
        <v/>
      </c>
      <c r="T889" s="69">
        <f>IF($J889="","",IFERROR(INDEX(B!$L$2:$L$61,MATCH($J889,B!$E$2:$E$61,0))&amp;"",""))</f>
        <v/>
      </c>
      <c r="U889" s="20" t="n"/>
      <c r="V889" s="70">
        <f>IF($J889="","",IFERROR(INDEX(B!$M$2:$M$61,MATCH($J889,B!$E$2:$E$61,0))&amp;"",""))</f>
        <v/>
      </c>
      <c r="W889" s="71">
        <f>IF(I889="","",IFERROR(MID(I889,FIND("/d/",I889)+3,FIND("/edit",I889)-FIND("/d/",I889)-3),I889))</f>
        <v/>
      </c>
      <c r="X889" s="71">
        <f>IF($J889="","",IFERROR(INDEX(B!$C$2:$C$61,MATCH($J889,B!$E$2:$E$61,0))&amp;"",""))</f>
        <v/>
      </c>
      <c r="Y889" s="20" t="n"/>
      <c r="Z889" s="72">
        <f>IF($J889="",FALSE,ISNUMBER(SEARCH("scout",$K889)))</f>
        <v/>
      </c>
      <c r="AA889" s="72">
        <f>IF($J889="",FALSE,IFERROR(INDEX(B!$N$2:$N$61,MATCH($J889,B!$E$2:$E$61,0))="Sim",FALSE))</f>
        <v/>
      </c>
      <c r="AB889" s="72">
        <f>IF($J889="",FALSE,LEFT($X889,2)="XX")</f>
        <v/>
      </c>
      <c r="AC889" s="72">
        <f>IF($J889="",FALSE,IFERROR(INDEX(B!$P$2:$P$61,MATCH($J889,B!$E$2:$E$61,0))="Sim",FALSE))</f>
        <v/>
      </c>
      <c r="AD889" s="20" t="n"/>
      <c r="AE889" s="52">
        <f>IF(H889="","",HOUR(H889))</f>
        <v/>
      </c>
      <c r="AF889" s="52" t="n"/>
    </row>
    <row r="890" ht="19.5" customHeight="1" s="58">
      <c r="A890" s="62">
        <f>IF(G890="","",IF(G890=G889,"",COUNTIF($G$3:$G$976,G890)))</f>
        <v/>
      </c>
      <c r="B890" s="20" t="n"/>
      <c r="C890" s="63">
        <f>IF(G890="","",DAY(G890))</f>
        <v/>
      </c>
      <c r="D890" s="63">
        <f>IF(G890="","",MONTH(G890))</f>
        <v/>
      </c>
      <c r="E890" s="63">
        <f>IF(G890="","",YEAR(G890))</f>
        <v/>
      </c>
      <c r="F890" s="33">
        <f>IF(G890="","",CHOOSE(MONTH(G890),"Janeiro","Fevereiro","Março","Abril","Maio","Junho","Julho","Agosto","Setembro","Outubro","Novembro","Dezembro"))</f>
        <v/>
      </c>
      <c r="G890" s="64" t="n">
        <v>46081</v>
      </c>
      <c r="H890" s="65" t="n">
        <v>0.01363425925925926</v>
      </c>
      <c r="I890" s="66" t="inlineStr">
        <is>
          <t>https://docs.google.com/spreadsheets/d/1ZiCGoPjLCjuYvujDTXK9Ixbth3tekiLtFBzBrGjPCr4/edit?gid=0#gid=0</t>
        </is>
      </c>
      <c r="J890" s="67" t="inlineStr">
        <is>
          <t>Pushback (Agradecimento) - [XXA]</t>
        </is>
      </c>
      <c r="K890" s="67" t="inlineStr"/>
      <c r="L890" s="68" t="b">
        <v>0</v>
      </c>
      <c r="M890" s="20" t="n"/>
      <c r="N890" s="69">
        <f>IF($J890="","",IFERROR(INDEX(B!$F$2:$F$61,MATCH($J890,B!$E$2:$E$61,0))&amp;"",""))</f>
        <v/>
      </c>
      <c r="O890" s="69">
        <f>IF($J890="","",IFERROR(INDEX(B!$G$2:$G$61,MATCH($J890,B!$E$2:$E$61,0))&amp;"",""))</f>
        <v/>
      </c>
      <c r="P890" s="69">
        <f>IF($J890="","",IFERROR(INDEX(B!$H$2:$H$61,MATCH($J890,B!$E$2:$E$61,0))&amp;"",""))</f>
        <v/>
      </c>
      <c r="Q890" s="69">
        <f>IF($J890="","",IFERROR(INDEX(B!$I$2:$I$61,MATCH($J890,B!$E$2:$E$61,0))&amp;"",""))</f>
        <v/>
      </c>
      <c r="R890" s="69">
        <f>IF($J890="","",IFERROR(INDEX(B!$J$2:$J$61,MATCH($J890,B!$E$2:$E$61,0))&amp;"",""))</f>
        <v/>
      </c>
      <c r="S890" s="69">
        <f>IF($J890="","",IFERROR(INDEX(B!$K$2:$K$61,MATCH($J890,B!$E$2:$E$61,0))&amp;"",""))</f>
        <v/>
      </c>
      <c r="T890" s="69">
        <f>IF($J890="","",IFERROR(INDEX(B!$L$2:$L$61,MATCH($J890,B!$E$2:$E$61,0))&amp;"",""))</f>
        <v/>
      </c>
      <c r="U890" s="20" t="n"/>
      <c r="V890" s="70">
        <f>IF($J890="","",IFERROR(INDEX(B!$M$2:$M$61,MATCH($J890,B!$E$2:$E$61,0))&amp;"",""))</f>
        <v/>
      </c>
      <c r="W890" s="71">
        <f>IF(I890="","",IFERROR(MID(I890,FIND("/d/",I890)+3,FIND("/edit",I890)-FIND("/d/",I890)-3),I890))</f>
        <v/>
      </c>
      <c r="X890" s="71">
        <f>IF($J890="","",IFERROR(INDEX(B!$C$2:$C$61,MATCH($J890,B!$E$2:$E$61,0))&amp;"",""))</f>
        <v/>
      </c>
      <c r="Y890" s="20" t="n"/>
      <c r="Z890" s="72">
        <f>IF($J890="",FALSE,ISNUMBER(SEARCH("scout",$K890)))</f>
        <v/>
      </c>
      <c r="AA890" s="72">
        <f>IF($J890="",FALSE,IFERROR(INDEX(B!$N$2:$N$61,MATCH($J890,B!$E$2:$E$61,0))="Sim",FALSE))</f>
        <v/>
      </c>
      <c r="AB890" s="72">
        <f>IF($J890="",FALSE,LEFT($X890,2)="XX")</f>
        <v/>
      </c>
      <c r="AC890" s="72">
        <f>IF($J890="",FALSE,IFERROR(INDEX(B!$P$2:$P$61,MATCH($J890,B!$E$2:$E$61,0))="Sim",FALSE))</f>
        <v/>
      </c>
      <c r="AD890" s="20" t="n"/>
      <c r="AE890" s="52">
        <f>IF(H890="","",HOUR(H890))</f>
        <v/>
      </c>
      <c r="AF890" s="52" t="n"/>
    </row>
    <row r="891" ht="19.5" customHeight="1" s="58">
      <c r="A891" s="62">
        <f>IF(G891="","",IF(G891=G890,"",COUNTIF($G$3:$G$976,G891)))</f>
        <v/>
      </c>
      <c r="B891" s="20" t="n"/>
      <c r="C891" s="63">
        <f>IF(G891="","",DAY(G891))</f>
        <v/>
      </c>
      <c r="D891" s="63">
        <f>IF(G891="","",MONTH(G891))</f>
        <v/>
      </c>
      <c r="E891" s="63">
        <f>IF(G891="","",YEAR(G891))</f>
        <v/>
      </c>
      <c r="F891" s="33">
        <f>IF(G891="","",CHOOSE(MONTH(G891),"Janeiro","Fevereiro","Março","Abril","Maio","Junho","Julho","Agosto","Setembro","Outubro","Novembro","Dezembro"))</f>
        <v/>
      </c>
      <c r="G891" s="64" t="n">
        <v>46081</v>
      </c>
      <c r="H891" s="65" t="n">
        <v>0.01792824074074074</v>
      </c>
      <c r="I891" s="66" t="inlineStr">
        <is>
          <t>https://docs.google.com/spreadsheets/d/1ZiCGoPjLCjuYvujDTXK9Ixbth3tekiLtFBzBrGjPCr4/edit?gid=0#gid=0</t>
        </is>
      </c>
      <c r="J891" s="67" t="inlineStr">
        <is>
          <t>Overpaid, Não excede o limite, Sem comprovante - [OPNN]</t>
        </is>
      </c>
      <c r="K891" s="67" t="inlineStr"/>
      <c r="L891" s="68" t="b">
        <v>0</v>
      </c>
      <c r="M891" s="20" t="n"/>
      <c r="N891" s="69">
        <f>IF($J891="","",IFERROR(INDEX(B!$F$2:$F$61,MATCH($J891,B!$E$2:$E$61,0))&amp;"",""))</f>
        <v/>
      </c>
      <c r="O891" s="69">
        <f>IF($J891="","",IFERROR(INDEX(B!$G$2:$G$61,MATCH($J891,B!$E$2:$E$61,0))&amp;"",""))</f>
        <v/>
      </c>
      <c r="P891" s="69">
        <f>IF($J891="","",IFERROR(INDEX(B!$H$2:$H$61,MATCH($J891,B!$E$2:$E$61,0))&amp;"",""))</f>
        <v/>
      </c>
      <c r="Q891" s="69">
        <f>IF($J891="","",IFERROR(INDEX(B!$I$2:$I$61,MATCH($J891,B!$E$2:$E$61,0))&amp;"",""))</f>
        <v/>
      </c>
      <c r="R891" s="69">
        <f>IF($J891="","",IFERROR(INDEX(B!$J$2:$J$61,MATCH($J891,B!$E$2:$E$61,0))&amp;"",""))</f>
        <v/>
      </c>
      <c r="S891" s="69">
        <f>IF($J891="","",IFERROR(INDEX(B!$K$2:$K$61,MATCH($J891,B!$E$2:$E$61,0))&amp;"",""))</f>
        <v/>
      </c>
      <c r="T891" s="69">
        <f>IF($J891="","",IFERROR(INDEX(B!$L$2:$L$61,MATCH($J891,B!$E$2:$E$61,0))&amp;"",""))</f>
        <v/>
      </c>
      <c r="U891" s="20" t="n"/>
      <c r="V891" s="70">
        <f>IF($J891="","",IFERROR(INDEX(B!$M$2:$M$61,MATCH($J891,B!$E$2:$E$61,0))&amp;"",""))</f>
        <v/>
      </c>
      <c r="W891" s="71">
        <f>IF(I891="","",IFERROR(MID(I891,FIND("/d/",I891)+3,FIND("/edit",I891)-FIND("/d/",I891)-3),I891))</f>
        <v/>
      </c>
      <c r="X891" s="71">
        <f>IF($J891="","",IFERROR(INDEX(B!$C$2:$C$61,MATCH($J891,B!$E$2:$E$61,0))&amp;"",""))</f>
        <v/>
      </c>
      <c r="Y891" s="20" t="n"/>
      <c r="Z891" s="72">
        <f>IF($J891="",FALSE,ISNUMBER(SEARCH("scout",$K891)))</f>
        <v/>
      </c>
      <c r="AA891" s="72">
        <f>IF($J891="",FALSE,IFERROR(INDEX(B!$N$2:$N$61,MATCH($J891,B!$E$2:$E$61,0))="Sim",FALSE))</f>
        <v/>
      </c>
      <c r="AB891" s="72">
        <f>IF($J891="",FALSE,LEFT($X891,2)="XX")</f>
        <v/>
      </c>
      <c r="AC891" s="72">
        <f>IF($J891="",FALSE,IFERROR(INDEX(B!$P$2:$P$61,MATCH($J891,B!$E$2:$E$61,0))="Sim",FALSE))</f>
        <v/>
      </c>
      <c r="AD891" s="20" t="n"/>
      <c r="AE891" s="52">
        <f>IF(H891="","",HOUR(H891))</f>
        <v/>
      </c>
      <c r="AF891" s="52" t="n"/>
    </row>
    <row r="892" ht="19.5" customHeight="1" s="58">
      <c r="A892" s="62">
        <f>IF(G892="","",IF(G892=G891,"",COUNTIF($G$3:$G$976,G892)))</f>
        <v/>
      </c>
      <c r="B892" s="20" t="n"/>
      <c r="C892" s="63">
        <f>IF(G892="","",DAY(G892))</f>
        <v/>
      </c>
      <c r="D892" s="63">
        <f>IF(G892="","",MONTH(G892))</f>
        <v/>
      </c>
      <c r="E892" s="63">
        <f>IF(G892="","",YEAR(G892))</f>
        <v/>
      </c>
      <c r="F892" s="33">
        <f>IF(G892="","",CHOOSE(MONTH(G892),"Janeiro","Fevereiro","Março","Abril","Maio","Junho","Julho","Agosto","Setembro","Outubro","Novembro","Dezembro"))</f>
        <v/>
      </c>
      <c r="G892" s="64" t="n">
        <v>46081</v>
      </c>
      <c r="H892" s="65" t="n">
        <v>0.02049768518518518</v>
      </c>
      <c r="I892" s="66" t="inlineStr">
        <is>
          <t>https://docs.google.com/spreadsheets/d/1ZiCGoPjLCjuYvujDTXK9Ixbth3tekiLtFBzBrGjPCr4/edit?gid=0#gid=0</t>
        </is>
      </c>
      <c r="J892" s="67" t="inlineStr">
        <is>
          <t>Erro de Gps (Problema Técnico) - [GPS]</t>
        </is>
      </c>
      <c r="K892" s="67" t="inlineStr">
        <is>
          <t>Scout</t>
        </is>
      </c>
      <c r="L892" s="68" t="b">
        <v>0</v>
      </c>
      <c r="M892" s="20" t="n"/>
      <c r="N892" s="69">
        <f>IF($J892="","",IFERROR(INDEX(B!$F$2:$F$61,MATCH($J892,B!$E$2:$E$61,0))&amp;"",""))</f>
        <v/>
      </c>
      <c r="O892" s="69">
        <f>IF($J892="","",IFERROR(INDEX(B!$G$2:$G$61,MATCH($J892,B!$E$2:$E$61,0))&amp;"",""))</f>
        <v/>
      </c>
      <c r="P892" s="69">
        <f>IF($J892="","",IFERROR(INDEX(B!$H$2:$H$61,MATCH($J892,B!$E$2:$E$61,0))&amp;"",""))</f>
        <v/>
      </c>
      <c r="Q892" s="69">
        <f>IF($J892="","",IFERROR(INDEX(B!$I$2:$I$61,MATCH($J892,B!$E$2:$E$61,0))&amp;"",""))</f>
        <v/>
      </c>
      <c r="R892" s="69">
        <f>IF($J892="","",IFERROR(INDEX(B!$J$2:$J$61,MATCH($J892,B!$E$2:$E$61,0))&amp;"",""))</f>
        <v/>
      </c>
      <c r="S892" s="69">
        <f>IF($J892="","",IFERROR(INDEX(B!$K$2:$K$61,MATCH($J892,B!$E$2:$E$61,0))&amp;"",""))</f>
        <v/>
      </c>
      <c r="T892" s="69">
        <f>IF($J892="","",IFERROR(INDEX(B!$L$2:$L$61,MATCH($J892,B!$E$2:$E$61,0))&amp;"",""))</f>
        <v/>
      </c>
      <c r="U892" s="20" t="n"/>
      <c r="V892" s="70">
        <f>IF($J892="","",IFERROR(INDEX(B!$M$2:$M$61,MATCH($J892,B!$E$2:$E$61,0))&amp;"",""))</f>
        <v/>
      </c>
      <c r="W892" s="71">
        <f>IF(I892="","",IFERROR(MID(I892,FIND("/d/",I892)+3,FIND("/edit",I892)-FIND("/d/",I892)-3),I892))</f>
        <v/>
      </c>
      <c r="X892" s="71">
        <f>IF($J892="","",IFERROR(INDEX(B!$C$2:$C$61,MATCH($J892,B!$E$2:$E$61,0))&amp;"",""))</f>
        <v/>
      </c>
      <c r="Y892" s="20" t="n"/>
      <c r="Z892" s="72">
        <f>IF($J892="",FALSE,ISNUMBER(SEARCH("scout",$K892)))</f>
        <v/>
      </c>
      <c r="AA892" s="72">
        <f>IF($J892="",FALSE,IFERROR(INDEX(B!$N$2:$N$61,MATCH($J892,B!$E$2:$E$61,0))="Sim",FALSE))</f>
        <v/>
      </c>
      <c r="AB892" s="72">
        <f>IF($J892="",FALSE,LEFT($X892,2)="XX")</f>
        <v/>
      </c>
      <c r="AC892" s="72">
        <f>IF($J892="",FALSE,IFERROR(INDEX(B!$P$2:$P$61,MATCH($J892,B!$E$2:$E$61,0))="Sim",FALSE))</f>
        <v/>
      </c>
      <c r="AD892" s="20" t="n"/>
      <c r="AE892" s="52">
        <f>IF(H892="","",HOUR(H892))</f>
        <v/>
      </c>
      <c r="AF892" s="52" t="n"/>
    </row>
    <row r="893" ht="19.5" customHeight="1" s="58">
      <c r="A893" s="62">
        <f>IF(G893="","",IF(G893=G892,"",COUNTIF($G$3:$G$976,G893)))</f>
        <v/>
      </c>
      <c r="B893" s="20" t="n"/>
      <c r="C893" s="63">
        <f>IF(G893="","",DAY(G893))</f>
        <v/>
      </c>
      <c r="D893" s="63">
        <f>IF(G893="","",MONTH(G893))</f>
        <v/>
      </c>
      <c r="E893" s="63">
        <f>IF(G893="","",YEAR(G893))</f>
        <v/>
      </c>
      <c r="F893" s="33">
        <f>IF(G893="","",CHOOSE(MONTH(G893),"Janeiro","Fevereiro","Março","Abril","Maio","Junho","Julho","Agosto","Setembro","Outubro","Novembro","Dezembro"))</f>
        <v/>
      </c>
      <c r="G893" s="64" t="n">
        <v>46081</v>
      </c>
      <c r="H893" s="65" t="n">
        <v>0.0212037037037037</v>
      </c>
      <c r="I893" s="66" t="inlineStr">
        <is>
          <t>https://docs.google.com/spreadsheets/d/1ZiCGoPjLCjuYvujDTXK9Ixbth3tekiLtFBzBrGjPCr4/edit?gid=0#gid=0</t>
        </is>
      </c>
      <c r="J893" s="67" t="inlineStr">
        <is>
          <t>Taxa de Cancelamento Cobrada Corretamente - [TXCO]</t>
        </is>
      </c>
      <c r="K893" s="67" t="inlineStr">
        <is>
          <t>Scout</t>
        </is>
      </c>
      <c r="L893" s="68" t="b">
        <v>0</v>
      </c>
      <c r="M893" s="20" t="n"/>
      <c r="N893" s="69">
        <f>IF($J893="","",IFERROR(INDEX(B!$F$2:$F$61,MATCH($J893,B!$E$2:$E$61,0))&amp;"",""))</f>
        <v/>
      </c>
      <c r="O893" s="69">
        <f>IF($J893="","",IFERROR(INDEX(B!$G$2:$G$61,MATCH($J893,B!$E$2:$E$61,0))&amp;"",""))</f>
        <v/>
      </c>
      <c r="P893" s="69">
        <f>IF($J893="","",IFERROR(INDEX(B!$H$2:$H$61,MATCH($J893,B!$E$2:$E$61,0))&amp;"",""))</f>
        <v/>
      </c>
      <c r="Q893" s="69">
        <f>IF($J893="","",IFERROR(INDEX(B!$I$2:$I$61,MATCH($J893,B!$E$2:$E$61,0))&amp;"",""))</f>
        <v/>
      </c>
      <c r="R893" s="69">
        <f>IF($J893="","",IFERROR(INDEX(B!$J$2:$J$61,MATCH($J893,B!$E$2:$E$61,0))&amp;"",""))</f>
        <v/>
      </c>
      <c r="S893" s="69">
        <f>IF($J893="","",IFERROR(INDEX(B!$K$2:$K$61,MATCH($J893,B!$E$2:$E$61,0))&amp;"",""))</f>
        <v/>
      </c>
      <c r="T893" s="69">
        <f>IF($J893="","",IFERROR(INDEX(B!$L$2:$L$61,MATCH($J893,B!$E$2:$E$61,0))&amp;"",""))</f>
        <v/>
      </c>
      <c r="U893" s="20" t="n"/>
      <c r="V893" s="70">
        <f>IF($J893="","",IFERROR(INDEX(B!$M$2:$M$61,MATCH($J893,B!$E$2:$E$61,0))&amp;"",""))</f>
        <v/>
      </c>
      <c r="W893" s="71">
        <f>IF(I893="","",IFERROR(MID(I893,FIND("/d/",I893)+3,FIND("/edit",I893)-FIND("/d/",I893)-3),I893))</f>
        <v/>
      </c>
      <c r="X893" s="71">
        <f>IF($J893="","",IFERROR(INDEX(B!$C$2:$C$61,MATCH($J893,B!$E$2:$E$61,0))&amp;"",""))</f>
        <v/>
      </c>
      <c r="Y893" s="20" t="n"/>
      <c r="Z893" s="72">
        <f>IF($J893="",FALSE,ISNUMBER(SEARCH("scout",$K893)))</f>
        <v/>
      </c>
      <c r="AA893" s="72">
        <f>IF($J893="",FALSE,IFERROR(INDEX(B!$N$2:$N$61,MATCH($J893,B!$E$2:$E$61,0))="Sim",FALSE))</f>
        <v/>
      </c>
      <c r="AB893" s="72">
        <f>IF($J893="",FALSE,LEFT($X893,2)="XX")</f>
        <v/>
      </c>
      <c r="AC893" s="72">
        <f>IF($J893="",FALSE,IFERROR(INDEX(B!$P$2:$P$61,MATCH($J893,B!$E$2:$E$61,0))="Sim",FALSE))</f>
        <v/>
      </c>
      <c r="AD893" s="20" t="n"/>
      <c r="AE893" s="52">
        <f>IF(H893="","",HOUR(H893))</f>
        <v/>
      </c>
      <c r="AF893" s="52" t="n"/>
    </row>
    <row r="894" ht="19.5" customHeight="1" s="58">
      <c r="A894" s="62">
        <f>IF(G894="","",IF(G894=G893,"",COUNTIF($G$3:$G$976,G894)))</f>
        <v/>
      </c>
      <c r="B894" s="20" t="n"/>
      <c r="C894" s="63">
        <f>IF(G894="","",DAY(G894))</f>
        <v/>
      </c>
      <c r="D894" s="63">
        <f>IF(G894="","",MONTH(G894))</f>
        <v/>
      </c>
      <c r="E894" s="63">
        <f>IF(G894="","",YEAR(G894))</f>
        <v/>
      </c>
      <c r="F894" s="33">
        <f>IF(G894="","",CHOOSE(MONTH(G894),"Janeiro","Fevereiro","Março","Abril","Maio","Junho","Julho","Agosto","Setembro","Outubro","Novembro","Dezembro"))</f>
        <v/>
      </c>
      <c r="G894" s="64" t="n">
        <v>46081</v>
      </c>
      <c r="H894" s="65" t="n">
        <v>0.02269675925925926</v>
      </c>
      <c r="I894" s="66" t="inlineStr">
        <is>
          <t>https://docs.google.com/spreadsheets/d/1ZiCGoPjLCjuYvujDTXK9Ixbth3tekiLtFBzBrGjPCr4/edit?gid=0#gid=0</t>
        </is>
      </c>
      <c r="J894" s="67" t="inlineStr">
        <is>
          <t>Erro de Gps (Problema Técnico) - [GPS]</t>
        </is>
      </c>
      <c r="K894" s="67" t="inlineStr"/>
      <c r="L894" s="68" t="b">
        <v>0</v>
      </c>
      <c r="M894" s="20" t="n"/>
      <c r="N894" s="69">
        <f>IF($J894="","",IFERROR(INDEX(B!$F$2:$F$61,MATCH($J894,B!$E$2:$E$61,0))&amp;"",""))</f>
        <v/>
      </c>
      <c r="O894" s="69">
        <f>IF($J894="","",IFERROR(INDEX(B!$G$2:$G$61,MATCH($J894,B!$E$2:$E$61,0))&amp;"",""))</f>
        <v/>
      </c>
      <c r="P894" s="69">
        <f>IF($J894="","",IFERROR(INDEX(B!$H$2:$H$61,MATCH($J894,B!$E$2:$E$61,0))&amp;"",""))</f>
        <v/>
      </c>
      <c r="Q894" s="69">
        <f>IF($J894="","",IFERROR(INDEX(B!$I$2:$I$61,MATCH($J894,B!$E$2:$E$61,0))&amp;"",""))</f>
        <v/>
      </c>
      <c r="R894" s="69">
        <f>IF($J894="","",IFERROR(INDEX(B!$J$2:$J$61,MATCH($J894,B!$E$2:$E$61,0))&amp;"",""))</f>
        <v/>
      </c>
      <c r="S894" s="69">
        <f>IF($J894="","",IFERROR(INDEX(B!$K$2:$K$61,MATCH($J894,B!$E$2:$E$61,0))&amp;"",""))</f>
        <v/>
      </c>
      <c r="T894" s="69">
        <f>IF($J894="","",IFERROR(INDEX(B!$L$2:$L$61,MATCH($J894,B!$E$2:$E$61,0))&amp;"",""))</f>
        <v/>
      </c>
      <c r="U894" s="20" t="n"/>
      <c r="V894" s="70">
        <f>IF($J894="","",IFERROR(INDEX(B!$M$2:$M$61,MATCH($J894,B!$E$2:$E$61,0))&amp;"",""))</f>
        <v/>
      </c>
      <c r="W894" s="71">
        <f>IF(I894="","",IFERROR(MID(I894,FIND("/d/",I894)+3,FIND("/edit",I894)-FIND("/d/",I894)-3),I894))</f>
        <v/>
      </c>
      <c r="X894" s="71">
        <f>IF($J894="","",IFERROR(INDEX(B!$C$2:$C$61,MATCH($J894,B!$E$2:$E$61,0))&amp;"",""))</f>
        <v/>
      </c>
      <c r="Y894" s="20" t="n"/>
      <c r="Z894" s="72">
        <f>IF($J894="",FALSE,ISNUMBER(SEARCH("scout",$K894)))</f>
        <v/>
      </c>
      <c r="AA894" s="72">
        <f>IF($J894="",FALSE,IFERROR(INDEX(B!$N$2:$N$61,MATCH($J894,B!$E$2:$E$61,0))="Sim",FALSE))</f>
        <v/>
      </c>
      <c r="AB894" s="72">
        <f>IF($J894="",FALSE,LEFT($X894,2)="XX")</f>
        <v/>
      </c>
      <c r="AC894" s="72">
        <f>IF($J894="",FALSE,IFERROR(INDEX(B!$P$2:$P$61,MATCH($J894,B!$E$2:$E$61,0))="Sim",FALSE))</f>
        <v/>
      </c>
      <c r="AD894" s="20" t="n"/>
      <c r="AE894" s="52">
        <f>IF(H894="","",HOUR(H894))</f>
        <v/>
      </c>
      <c r="AF894" s="52" t="n"/>
    </row>
    <row r="895" ht="19.5" customHeight="1" s="58">
      <c r="A895" s="62">
        <f>IF(G895="","",IF(G895=G894,"",COUNTIF($G$3:$G$976,G895)))</f>
        <v/>
      </c>
      <c r="B895" s="20" t="n"/>
      <c r="C895" s="63">
        <f>IF(G895="","",DAY(G895))</f>
        <v/>
      </c>
      <c r="D895" s="63">
        <f>IF(G895="","",MONTH(G895))</f>
        <v/>
      </c>
      <c r="E895" s="63">
        <f>IF(G895="","",YEAR(G895))</f>
        <v/>
      </c>
      <c r="F895" s="33">
        <f>IF(G895="","",CHOOSE(MONTH(G895),"Janeiro","Fevereiro","Março","Abril","Maio","Junho","Julho","Agosto","Setembro","Outubro","Novembro","Dezembro"))</f>
        <v/>
      </c>
      <c r="G895" s="64" t="n">
        <v>46081</v>
      </c>
      <c r="H895" s="65" t="n">
        <v>0.02502314814814815</v>
      </c>
      <c r="I895" s="66" t="inlineStr">
        <is>
          <t>https://docs.google.com/spreadsheets/d/1ZiCGoPjLCjuYvujDTXK9Ixbth3tekiLtFBzBrGjPCr4/edit?gid=0#gid=0</t>
        </is>
      </c>
      <c r="J895" s="67" t="inlineStr">
        <is>
          <t>Pushback (Agradecimento) - [XXA]</t>
        </is>
      </c>
      <c r="K895" s="67" t="inlineStr"/>
      <c r="L895" s="68" t="b">
        <v>0</v>
      </c>
      <c r="M895" s="20" t="n"/>
      <c r="N895" s="69">
        <f>IF($J895="","",IFERROR(INDEX(B!$F$2:$F$61,MATCH($J895,B!$E$2:$E$61,0))&amp;"",""))</f>
        <v/>
      </c>
      <c r="O895" s="69">
        <f>IF($J895="","",IFERROR(INDEX(B!$G$2:$G$61,MATCH($J895,B!$E$2:$E$61,0))&amp;"",""))</f>
        <v/>
      </c>
      <c r="P895" s="69">
        <f>IF($J895="","",IFERROR(INDEX(B!$H$2:$H$61,MATCH($J895,B!$E$2:$E$61,0))&amp;"",""))</f>
        <v/>
      </c>
      <c r="Q895" s="69">
        <f>IF($J895="","",IFERROR(INDEX(B!$I$2:$I$61,MATCH($J895,B!$E$2:$E$61,0))&amp;"",""))</f>
        <v/>
      </c>
      <c r="R895" s="69">
        <f>IF($J895="","",IFERROR(INDEX(B!$J$2:$J$61,MATCH($J895,B!$E$2:$E$61,0))&amp;"",""))</f>
        <v/>
      </c>
      <c r="S895" s="69">
        <f>IF($J895="","",IFERROR(INDEX(B!$K$2:$K$61,MATCH($J895,B!$E$2:$E$61,0))&amp;"",""))</f>
        <v/>
      </c>
      <c r="T895" s="69">
        <f>IF($J895="","",IFERROR(INDEX(B!$L$2:$L$61,MATCH($J895,B!$E$2:$E$61,0))&amp;"",""))</f>
        <v/>
      </c>
      <c r="U895" s="20" t="n"/>
      <c r="V895" s="70">
        <f>IF($J895="","",IFERROR(INDEX(B!$M$2:$M$61,MATCH($J895,B!$E$2:$E$61,0))&amp;"",""))</f>
        <v/>
      </c>
      <c r="W895" s="71">
        <f>IF(I895="","",IFERROR(MID(I895,FIND("/d/",I895)+3,FIND("/edit",I895)-FIND("/d/",I895)-3),I895))</f>
        <v/>
      </c>
      <c r="X895" s="71">
        <f>IF($J895="","",IFERROR(INDEX(B!$C$2:$C$61,MATCH($J895,B!$E$2:$E$61,0))&amp;"",""))</f>
        <v/>
      </c>
      <c r="Y895" s="20" t="n"/>
      <c r="Z895" s="72">
        <f>IF($J895="",FALSE,ISNUMBER(SEARCH("scout",$K895)))</f>
        <v/>
      </c>
      <c r="AA895" s="72">
        <f>IF($J895="",FALSE,IFERROR(INDEX(B!$N$2:$N$61,MATCH($J895,B!$E$2:$E$61,0))="Sim",FALSE))</f>
        <v/>
      </c>
      <c r="AB895" s="72">
        <f>IF($J895="",FALSE,LEFT($X895,2)="XX")</f>
        <v/>
      </c>
      <c r="AC895" s="72">
        <f>IF($J895="",FALSE,IFERROR(INDEX(B!$P$2:$P$61,MATCH($J895,B!$E$2:$E$61,0))="Sim",FALSE))</f>
        <v/>
      </c>
      <c r="AD895" s="20" t="n"/>
      <c r="AE895" s="52">
        <f>IF(H895="","",HOUR(H895))</f>
        <v/>
      </c>
      <c r="AF895" s="52" t="n"/>
    </row>
    <row r="896" ht="19.5" customHeight="1" s="58">
      <c r="A896" s="62">
        <f>IF(G896="","",IF(G896=G895,"",COUNTIF($G$3:$G$976,G896)))</f>
        <v/>
      </c>
      <c r="B896" s="20" t="n"/>
      <c r="C896" s="63">
        <f>IF(G896="","",DAY(G896))</f>
        <v/>
      </c>
      <c r="D896" s="63">
        <f>IF(G896="","",MONTH(G896))</f>
        <v/>
      </c>
      <c r="E896" s="63">
        <f>IF(G896="","",YEAR(G896))</f>
        <v/>
      </c>
      <c r="F896" s="33">
        <f>IF(G896="","",CHOOSE(MONTH(G896),"Janeiro","Fevereiro","Março","Abril","Maio","Junho","Julho","Agosto","Setembro","Outubro","Novembro","Dezembro"))</f>
        <v/>
      </c>
      <c r="G896" s="64" t="n">
        <v>46081</v>
      </c>
      <c r="H896" s="65" t="n">
        <v>0.0253587962962963</v>
      </c>
      <c r="I896" s="66" t="inlineStr">
        <is>
          <t>https://docs.google.com/spreadsheets/d/1ZiCGoPjLCjuYvujDTXK9Ixbth3tekiLtFBzBrGjPCr4/edit?gid=0#gid=0</t>
        </is>
      </c>
      <c r="J896" s="67" t="inlineStr">
        <is>
          <t>Transferência de LOB (Geral não especificado) - [TI]</t>
        </is>
      </c>
      <c r="K896" s="67" t="inlineStr"/>
      <c r="L896" s="68" t="b">
        <v>0</v>
      </c>
      <c r="M896" s="20" t="n"/>
      <c r="N896" s="69">
        <f>IF($J896="","",IFERROR(INDEX(B!$F$2:$F$61,MATCH($J896,B!$E$2:$E$61,0))&amp;"",""))</f>
        <v/>
      </c>
      <c r="O896" s="69">
        <f>IF($J896="","",IFERROR(INDEX(B!$G$2:$G$61,MATCH($J896,B!$E$2:$E$61,0))&amp;"",""))</f>
        <v/>
      </c>
      <c r="P896" s="69">
        <f>IF($J896="","",IFERROR(INDEX(B!$H$2:$H$61,MATCH($J896,B!$E$2:$E$61,0))&amp;"",""))</f>
        <v/>
      </c>
      <c r="Q896" s="69">
        <f>IF($J896="","",IFERROR(INDEX(B!$I$2:$I$61,MATCH($J896,B!$E$2:$E$61,0))&amp;"",""))</f>
        <v/>
      </c>
      <c r="R896" s="69">
        <f>IF($J896="","",IFERROR(INDEX(B!$J$2:$J$61,MATCH($J896,B!$E$2:$E$61,0))&amp;"",""))</f>
        <v/>
      </c>
      <c r="S896" s="69">
        <f>IF($J896="","",IFERROR(INDEX(B!$K$2:$K$61,MATCH($J896,B!$E$2:$E$61,0))&amp;"",""))</f>
        <v/>
      </c>
      <c r="T896" s="69">
        <f>IF($J896="","",IFERROR(INDEX(B!$L$2:$L$61,MATCH($J896,B!$E$2:$E$61,0))&amp;"",""))</f>
        <v/>
      </c>
      <c r="U896" s="20" t="n"/>
      <c r="V896" s="70">
        <f>IF($J896="","",IFERROR(INDEX(B!$M$2:$M$61,MATCH($J896,B!$E$2:$E$61,0))&amp;"",""))</f>
        <v/>
      </c>
      <c r="W896" s="71">
        <f>IF(I896="","",IFERROR(MID(I896,FIND("/d/",I896)+3,FIND("/edit",I896)-FIND("/d/",I896)-3),I896))</f>
        <v/>
      </c>
      <c r="X896" s="71">
        <f>IF($J896="","",IFERROR(INDEX(B!$C$2:$C$61,MATCH($J896,B!$E$2:$E$61,0))&amp;"",""))</f>
        <v/>
      </c>
      <c r="Y896" s="20" t="n"/>
      <c r="Z896" s="72">
        <f>IF($J896="",FALSE,ISNUMBER(SEARCH("scout",$K896)))</f>
        <v/>
      </c>
      <c r="AA896" s="72">
        <f>IF($J896="",FALSE,IFERROR(INDEX(B!$N$2:$N$61,MATCH($J896,B!$E$2:$E$61,0))="Sim",FALSE))</f>
        <v/>
      </c>
      <c r="AB896" s="72">
        <f>IF($J896="",FALSE,LEFT($X896,2)="XX")</f>
        <v/>
      </c>
      <c r="AC896" s="72">
        <f>IF($J896="",FALSE,IFERROR(INDEX(B!$P$2:$P$61,MATCH($J896,B!$E$2:$E$61,0))="Sim",FALSE))</f>
        <v/>
      </c>
      <c r="AD896" s="20" t="n"/>
      <c r="AE896" s="52">
        <f>IF(H896="","",HOUR(H896))</f>
        <v/>
      </c>
      <c r="AF896" s="52" t="n"/>
    </row>
    <row r="897" ht="19.5" customHeight="1" s="58">
      <c r="A897" s="62">
        <f>IF(G897="","",IF(G897=G896,"",COUNTIF($G$3:$G$976,G897)))</f>
        <v/>
      </c>
      <c r="B897" s="20" t="n"/>
      <c r="C897" s="63">
        <f>IF(G897="","",DAY(G897))</f>
        <v/>
      </c>
      <c r="D897" s="63">
        <f>IF(G897="","",MONTH(G897))</f>
        <v/>
      </c>
      <c r="E897" s="63">
        <f>IF(G897="","",YEAR(G897))</f>
        <v/>
      </c>
      <c r="F897" s="33">
        <f>IF(G897="","",CHOOSE(MONTH(G897),"Janeiro","Fevereiro","Março","Abril","Maio","Junho","Julho","Agosto","Setembro","Outubro","Novembro","Dezembro"))</f>
        <v/>
      </c>
      <c r="G897" s="64" t="n">
        <v>46081</v>
      </c>
      <c r="H897" s="65" t="n">
        <v>0.036875</v>
      </c>
      <c r="I897" s="66" t="inlineStr">
        <is>
          <t>https://docs.google.com/spreadsheets/d/1ZiCGoPjLCjuYvujDTXK9Ixbth3tekiLtFBzBrGjPCr4/edit?gid=0#gid=0</t>
        </is>
      </c>
      <c r="J897" s="67" t="inlineStr">
        <is>
          <t>Overpaid, Excede o limite Com comprovante - [OPEC]</t>
        </is>
      </c>
      <c r="K897" s="67" t="inlineStr"/>
      <c r="L897" s="68" t="b">
        <v>0</v>
      </c>
      <c r="M897" s="20" t="n"/>
      <c r="N897" s="69">
        <f>IF($J897="","",IFERROR(INDEX(B!$F$2:$F$61,MATCH($J897,B!$E$2:$E$61,0))&amp;"",""))</f>
        <v/>
      </c>
      <c r="O897" s="69">
        <f>IF($J897="","",IFERROR(INDEX(B!$G$2:$G$61,MATCH($J897,B!$E$2:$E$61,0))&amp;"",""))</f>
        <v/>
      </c>
      <c r="P897" s="69">
        <f>IF($J897="","",IFERROR(INDEX(B!$H$2:$H$61,MATCH($J897,B!$E$2:$E$61,0))&amp;"",""))</f>
        <v/>
      </c>
      <c r="Q897" s="69">
        <f>IF($J897="","",IFERROR(INDEX(B!$I$2:$I$61,MATCH($J897,B!$E$2:$E$61,0))&amp;"",""))</f>
        <v/>
      </c>
      <c r="R897" s="69">
        <f>IF($J897="","",IFERROR(INDEX(B!$J$2:$J$61,MATCH($J897,B!$E$2:$E$61,0))&amp;"",""))</f>
        <v/>
      </c>
      <c r="S897" s="69">
        <f>IF($J897="","",IFERROR(INDEX(B!$K$2:$K$61,MATCH($J897,B!$E$2:$E$61,0))&amp;"",""))</f>
        <v/>
      </c>
      <c r="T897" s="69">
        <f>IF($J897="","",IFERROR(INDEX(B!$L$2:$L$61,MATCH($J897,B!$E$2:$E$61,0))&amp;"",""))</f>
        <v/>
      </c>
      <c r="U897" s="20" t="n"/>
      <c r="V897" s="70">
        <f>IF($J897="","",IFERROR(INDEX(B!$M$2:$M$61,MATCH($J897,B!$E$2:$E$61,0))&amp;"",""))</f>
        <v/>
      </c>
      <c r="W897" s="71">
        <f>IF(I897="","",IFERROR(MID(I897,FIND("/d/",I897)+3,FIND("/edit",I897)-FIND("/d/",I897)-3),I897))</f>
        <v/>
      </c>
      <c r="X897" s="71">
        <f>IF($J897="","",IFERROR(INDEX(B!$C$2:$C$61,MATCH($J897,B!$E$2:$E$61,0))&amp;"",""))</f>
        <v/>
      </c>
      <c r="Y897" s="20" t="n"/>
      <c r="Z897" s="72">
        <f>IF($J897="",FALSE,ISNUMBER(SEARCH("scout",$K897)))</f>
        <v/>
      </c>
      <c r="AA897" s="72">
        <f>IF($J897="",FALSE,IFERROR(INDEX(B!$N$2:$N$61,MATCH($J897,B!$E$2:$E$61,0))="Sim",FALSE))</f>
        <v/>
      </c>
      <c r="AB897" s="72">
        <f>IF($J897="",FALSE,LEFT($X897,2)="XX")</f>
        <v/>
      </c>
      <c r="AC897" s="72">
        <f>IF($J897="",FALSE,IFERROR(INDEX(B!$P$2:$P$61,MATCH($J897,B!$E$2:$E$61,0))="Sim",FALSE))</f>
        <v/>
      </c>
      <c r="AD897" s="20" t="n"/>
      <c r="AE897" s="52">
        <f>IF(H897="","",HOUR(H897))</f>
        <v/>
      </c>
      <c r="AF897" s="52" t="n"/>
    </row>
    <row r="898" ht="19.5" customHeight="1" s="58">
      <c r="A898" s="62">
        <f>IF(G898="","",IF(G898=G897,"",COUNTIF($G$3:$G$976,G898)))</f>
        <v/>
      </c>
      <c r="B898" s="20" t="n"/>
      <c r="C898" s="63">
        <f>IF(G898="","",DAY(G898))</f>
        <v/>
      </c>
      <c r="D898" s="63">
        <f>IF(G898="","",MONTH(G898))</f>
        <v/>
      </c>
      <c r="E898" s="63">
        <f>IF(G898="","",YEAR(G898))</f>
        <v/>
      </c>
      <c r="F898" s="33">
        <f>IF(G898="","",CHOOSE(MONTH(G898),"Janeiro","Fevereiro","Março","Abril","Maio","Junho","Julho","Agosto","Setembro","Outubro","Novembro","Dezembro"))</f>
        <v/>
      </c>
      <c r="G898" s="64" t="n">
        <v>46081</v>
      </c>
      <c r="H898" s="65" t="n">
        <v>0.03881944444444444</v>
      </c>
      <c r="I898" s="66" t="inlineStr">
        <is>
          <t>https://docs.google.com/spreadsheets/d/1ZiCGoPjLCjuYvujDTXK9Ixbth3tekiLtFBzBrGjPCr4/edit?gid=0#gid=0</t>
        </is>
      </c>
      <c r="J898" s="67" t="inlineStr">
        <is>
          <t>Pushback (Agradecimento) - [XXA]</t>
        </is>
      </c>
      <c r="K898" s="67" t="inlineStr"/>
      <c r="L898" s="68" t="b">
        <v>0</v>
      </c>
      <c r="M898" s="20" t="n"/>
      <c r="N898" s="69">
        <f>IF($J898="","",IFERROR(INDEX(B!$F$2:$F$61,MATCH($J898,B!$E$2:$E$61,0))&amp;"",""))</f>
        <v/>
      </c>
      <c r="O898" s="69">
        <f>IF($J898="","",IFERROR(INDEX(B!$G$2:$G$61,MATCH($J898,B!$E$2:$E$61,0))&amp;"",""))</f>
        <v/>
      </c>
      <c r="P898" s="69">
        <f>IF($J898="","",IFERROR(INDEX(B!$H$2:$H$61,MATCH($J898,B!$E$2:$E$61,0))&amp;"",""))</f>
        <v/>
      </c>
      <c r="Q898" s="69">
        <f>IF($J898="","",IFERROR(INDEX(B!$I$2:$I$61,MATCH($J898,B!$E$2:$E$61,0))&amp;"",""))</f>
        <v/>
      </c>
      <c r="R898" s="69">
        <f>IF($J898="","",IFERROR(INDEX(B!$J$2:$J$61,MATCH($J898,B!$E$2:$E$61,0))&amp;"",""))</f>
        <v/>
      </c>
      <c r="S898" s="69">
        <f>IF($J898="","",IFERROR(INDEX(B!$K$2:$K$61,MATCH($J898,B!$E$2:$E$61,0))&amp;"",""))</f>
        <v/>
      </c>
      <c r="T898" s="69">
        <f>IF($J898="","",IFERROR(INDEX(B!$L$2:$L$61,MATCH($J898,B!$E$2:$E$61,0))&amp;"",""))</f>
        <v/>
      </c>
      <c r="U898" s="20" t="n"/>
      <c r="V898" s="70">
        <f>IF($J898="","",IFERROR(INDEX(B!$M$2:$M$61,MATCH($J898,B!$E$2:$E$61,0))&amp;"",""))</f>
        <v/>
      </c>
      <c r="W898" s="71">
        <f>IF(I898="","",IFERROR(MID(I898,FIND("/d/",I898)+3,FIND("/edit",I898)-FIND("/d/",I898)-3),I898))</f>
        <v/>
      </c>
      <c r="X898" s="71">
        <f>IF($J898="","",IFERROR(INDEX(B!$C$2:$C$61,MATCH($J898,B!$E$2:$E$61,0))&amp;"",""))</f>
        <v/>
      </c>
      <c r="Y898" s="20" t="n"/>
      <c r="Z898" s="72">
        <f>IF($J898="",FALSE,ISNUMBER(SEARCH("scout",$K898)))</f>
        <v/>
      </c>
      <c r="AA898" s="72">
        <f>IF($J898="",FALSE,IFERROR(INDEX(B!$N$2:$N$61,MATCH($J898,B!$E$2:$E$61,0))="Sim",FALSE))</f>
        <v/>
      </c>
      <c r="AB898" s="72">
        <f>IF($J898="",FALSE,LEFT($X898,2)="XX")</f>
        <v/>
      </c>
      <c r="AC898" s="72">
        <f>IF($J898="",FALSE,IFERROR(INDEX(B!$P$2:$P$61,MATCH($J898,B!$E$2:$E$61,0))="Sim",FALSE))</f>
        <v/>
      </c>
      <c r="AD898" s="20" t="n"/>
      <c r="AE898" s="52">
        <f>IF(H898="","",HOUR(H898))</f>
        <v/>
      </c>
      <c r="AF898" s="52" t="n"/>
    </row>
    <row r="899" ht="19.5" customHeight="1" s="58">
      <c r="A899" s="62">
        <f>IF(G899="","",IF(G899=G898,"",COUNTIF($G$3:$G$976,G899)))</f>
        <v/>
      </c>
      <c r="B899" s="20" t="n"/>
      <c r="C899" s="63">
        <f>IF(G899="","",DAY(G899))</f>
        <v/>
      </c>
      <c r="D899" s="63">
        <f>IF(G899="","",MONTH(G899))</f>
        <v/>
      </c>
      <c r="E899" s="63">
        <f>IF(G899="","",YEAR(G899))</f>
        <v/>
      </c>
      <c r="F899" s="33">
        <f>IF(G899="","",CHOOSE(MONTH(G899),"Janeiro","Fevereiro","Março","Abril","Maio","Junho","Julho","Agosto","Setembro","Outubro","Novembro","Dezembro"))</f>
        <v/>
      </c>
      <c r="G899" s="64" t="n">
        <v>46081</v>
      </c>
      <c r="H899" s="65" t="n">
        <v>0.03881944444444444</v>
      </c>
      <c r="I899" s="66" t="inlineStr">
        <is>
          <t>https://docs.google.com/spreadsheets/d/1ZiCGoPjLCjuYvujDTXK9Ixbth3tekiLtFBzBrGjPCr4/edit?gid=0#gid=0</t>
        </is>
      </c>
      <c r="J899" s="67" t="inlineStr">
        <is>
          <t>Mais informações Gerais - [AA]</t>
        </is>
      </c>
      <c r="K899" s="67" t="n"/>
      <c r="L899" s="68" t="b">
        <v>0</v>
      </c>
      <c r="M899" s="20" t="n"/>
      <c r="N899" s="69">
        <f>IF($J899="","",IFERROR(INDEX(B!$F$2:$F$61,MATCH($J899,B!$E$2:$E$61,0))&amp;"",""))</f>
        <v/>
      </c>
      <c r="O899" s="69">
        <f>IF($J899="","",IFERROR(INDEX(B!$G$2:$G$61,MATCH($J899,B!$E$2:$E$61,0))&amp;"",""))</f>
        <v/>
      </c>
      <c r="P899" s="69">
        <f>IF($J899="","",IFERROR(INDEX(B!$H$2:$H$61,MATCH($J899,B!$E$2:$E$61,0))&amp;"",""))</f>
        <v/>
      </c>
      <c r="Q899" s="69">
        <f>IF($J899="","",IFERROR(INDEX(B!$I$2:$I$61,MATCH($J899,B!$E$2:$E$61,0))&amp;"",""))</f>
        <v/>
      </c>
      <c r="R899" s="69">
        <f>IF($J899="","",IFERROR(INDEX(B!$J$2:$J$61,MATCH($J899,B!$E$2:$E$61,0))&amp;"",""))</f>
        <v/>
      </c>
      <c r="S899" s="69">
        <f>IF($J899="","",IFERROR(INDEX(B!$K$2:$K$61,MATCH($J899,B!$E$2:$E$61,0))&amp;"",""))</f>
        <v/>
      </c>
      <c r="T899" s="69">
        <f>IF($J899="","",IFERROR(INDEX(B!$L$2:$L$61,MATCH($J899,B!$E$2:$E$61,0))&amp;"",""))</f>
        <v/>
      </c>
      <c r="U899" s="20" t="n"/>
      <c r="V899" s="70">
        <f>IF($J899="","",IFERROR(INDEX(B!$M$2:$M$61,MATCH($J899,B!$E$2:$E$61,0))&amp;"",""))</f>
        <v/>
      </c>
      <c r="W899" s="71">
        <f>IF(I899="","",IFERROR(MID(I899,FIND("/d/",I899)+3,FIND("/edit",I899)-FIND("/d/",I899)-3),I899))</f>
        <v/>
      </c>
      <c r="X899" s="71">
        <f>IF($J899="","",IFERROR(INDEX(B!$C$2:$C$61,MATCH($J899,B!$E$2:$E$61,0))&amp;"",""))</f>
        <v/>
      </c>
      <c r="Y899" s="20" t="n"/>
      <c r="Z899" s="72">
        <f>IF($J899="",FALSE,ISNUMBER(SEARCH("scout",$K899)))</f>
        <v/>
      </c>
      <c r="AA899" s="72">
        <f>IF($J899="",FALSE,IFERROR(INDEX(B!$N$2:$N$61,MATCH($J899,B!$E$2:$E$61,0))="Sim",FALSE))</f>
        <v/>
      </c>
      <c r="AB899" s="72">
        <f>IF($J899="",FALSE,LEFT($X899,2)="XX")</f>
        <v/>
      </c>
      <c r="AC899" s="72">
        <f>IF($J899="",FALSE,IFERROR(INDEX(B!$P$2:$P$61,MATCH($J899,B!$E$2:$E$61,0))="Sim",FALSE))</f>
        <v/>
      </c>
      <c r="AD899" s="20" t="n"/>
      <c r="AE899" s="52">
        <f>IF(H899="","",HOUR(H899))</f>
        <v/>
      </c>
      <c r="AF899" s="52" t="n"/>
    </row>
    <row r="900" ht="19.5" customHeight="1" s="58">
      <c r="A900" s="62">
        <f>IF(G900="","",IF(G900=G899,"",COUNTIF($G$3:$G$976,G900)))</f>
        <v/>
      </c>
      <c r="B900" s="20" t="n"/>
      <c r="C900" s="63">
        <f>IF(G900="","",DAY(G900))</f>
        <v/>
      </c>
      <c r="D900" s="63">
        <f>IF(G900="","",MONTH(G900))</f>
        <v/>
      </c>
      <c r="E900" s="63">
        <f>IF(G900="","",YEAR(G900))</f>
        <v/>
      </c>
      <c r="F900" s="33">
        <f>IF(G900="","",CHOOSE(MONTH(G900),"Janeiro","Fevereiro","Março","Abril","Maio","Junho","Julho","Agosto","Setembro","Outubro","Novembro","Dezembro"))</f>
        <v/>
      </c>
      <c r="G900" s="64" t="n"/>
      <c r="H900" s="65" t="n"/>
      <c r="I900" s="66" t="n"/>
      <c r="J900" s="67" t="n"/>
      <c r="K900" s="67" t="n"/>
      <c r="L900" s="68" t="b">
        <v>0</v>
      </c>
      <c r="M900" s="20" t="n"/>
      <c r="N900" s="69">
        <f>IF($J900="","",IFERROR(INDEX(B!$F$2:$F$61,MATCH($J900,B!$E$2:$E$61,0))&amp;"",""))</f>
        <v/>
      </c>
      <c r="O900" s="69">
        <f>IF($J900="","",IFERROR(INDEX(B!$G$2:$G$61,MATCH($J900,B!$E$2:$E$61,0))&amp;"",""))</f>
        <v/>
      </c>
      <c r="P900" s="69">
        <f>IF($J900="","",IFERROR(INDEX(B!$H$2:$H$61,MATCH($J900,B!$E$2:$E$61,0))&amp;"",""))</f>
        <v/>
      </c>
      <c r="Q900" s="69">
        <f>IF($J900="","",IFERROR(INDEX(B!$I$2:$I$61,MATCH($J900,B!$E$2:$E$61,0))&amp;"",""))</f>
        <v/>
      </c>
      <c r="R900" s="69">
        <f>IF($J900="","",IFERROR(INDEX(B!$J$2:$J$61,MATCH($J900,B!$E$2:$E$61,0))&amp;"",""))</f>
        <v/>
      </c>
      <c r="S900" s="69">
        <f>IF($J900="","",IFERROR(INDEX(B!$K$2:$K$61,MATCH($J900,B!$E$2:$E$61,0))&amp;"",""))</f>
        <v/>
      </c>
      <c r="T900" s="69">
        <f>IF($J900="","",IFERROR(INDEX(B!$L$2:$L$61,MATCH($J900,B!$E$2:$E$61,0))&amp;"",""))</f>
        <v/>
      </c>
      <c r="U900" s="20" t="n"/>
      <c r="V900" s="70">
        <f>IF($J900="","",IFERROR(INDEX(B!$M$2:$M$61,MATCH($J900,B!$E$2:$E$61,0))&amp;"",""))</f>
        <v/>
      </c>
      <c r="W900" s="71">
        <f>IF(I900="","",IFERROR(MID(I900,FIND("/d/",I900)+3,FIND("/edit",I900)-FIND("/d/",I900)-3),I900))</f>
        <v/>
      </c>
      <c r="X900" s="71">
        <f>IF($J900="","",IFERROR(INDEX(B!$C$2:$C$61,MATCH($J900,B!$E$2:$E$61,0))&amp;"",""))</f>
        <v/>
      </c>
      <c r="Y900" s="20" t="n"/>
      <c r="Z900" s="72">
        <f>IF($J900="",FALSE,ISNUMBER(SEARCH("scout",$K900)))</f>
        <v/>
      </c>
      <c r="AA900" s="72">
        <f>IF($J900="",FALSE,IFERROR(INDEX(B!$N$2:$N$61,MATCH($J900,B!$E$2:$E$61,0))="Sim",FALSE))</f>
        <v/>
      </c>
      <c r="AB900" s="72">
        <f>IF($J900="",FALSE,LEFT($X900,2)="XX")</f>
        <v/>
      </c>
      <c r="AC900" s="72">
        <f>IF($J900="",FALSE,IFERROR(INDEX(B!$P$2:$P$61,MATCH($J900,B!$E$2:$E$61,0))="Sim",FALSE))</f>
        <v/>
      </c>
      <c r="AD900" s="20" t="n"/>
      <c r="AE900" s="52">
        <f>IF(H900="","",HOUR(H900))</f>
        <v/>
      </c>
      <c r="AF900" s="52" t="n"/>
    </row>
    <row r="901" ht="19.5" customHeight="1" s="58">
      <c r="A901" s="62">
        <f>IF(G901="","",IF(G901=G900,"",COUNTIF($G$3:$G$976,G901)))</f>
        <v/>
      </c>
      <c r="B901" s="20" t="n"/>
      <c r="C901" s="63">
        <f>IF(G901="","",DAY(G901))</f>
        <v/>
      </c>
      <c r="D901" s="63">
        <f>IF(G901="","",MONTH(G901))</f>
        <v/>
      </c>
      <c r="E901" s="63">
        <f>IF(G901="","",YEAR(G901))</f>
        <v/>
      </c>
      <c r="F901" s="33">
        <f>IF(G901="","",CHOOSE(MONTH(G901),"Janeiro","Fevereiro","Março","Abril","Maio","Junho","Julho","Agosto","Setembro","Outubro","Novembro","Dezembro"))</f>
        <v/>
      </c>
      <c r="G901" s="64" t="n"/>
      <c r="H901" s="65" t="n"/>
      <c r="I901" s="66" t="n"/>
      <c r="J901" s="67" t="n"/>
      <c r="K901" s="67" t="n"/>
      <c r="L901" s="68" t="b">
        <v>0</v>
      </c>
      <c r="M901" s="20" t="n"/>
      <c r="N901" s="69">
        <f>IF($J901="","",IFERROR(INDEX(B!$F$2:$F$61,MATCH($J901,B!$E$2:$E$61,0))&amp;"",""))</f>
        <v/>
      </c>
      <c r="O901" s="69">
        <f>IF($J901="","",IFERROR(INDEX(B!$G$2:$G$61,MATCH($J901,B!$E$2:$E$61,0))&amp;"",""))</f>
        <v/>
      </c>
      <c r="P901" s="69">
        <f>IF($J901="","",IFERROR(INDEX(B!$H$2:$H$61,MATCH($J901,B!$E$2:$E$61,0))&amp;"",""))</f>
        <v/>
      </c>
      <c r="Q901" s="69">
        <f>IF($J901="","",IFERROR(INDEX(B!$I$2:$I$61,MATCH($J901,B!$E$2:$E$61,0))&amp;"",""))</f>
        <v/>
      </c>
      <c r="R901" s="69">
        <f>IF($J901="","",IFERROR(INDEX(B!$J$2:$J$61,MATCH($J901,B!$E$2:$E$61,0))&amp;"",""))</f>
        <v/>
      </c>
      <c r="S901" s="69">
        <f>IF($J901="","",IFERROR(INDEX(B!$K$2:$K$61,MATCH($J901,B!$E$2:$E$61,0))&amp;"",""))</f>
        <v/>
      </c>
      <c r="T901" s="69">
        <f>IF($J901="","",IFERROR(INDEX(B!$L$2:$L$61,MATCH($J901,B!$E$2:$E$61,0))&amp;"",""))</f>
        <v/>
      </c>
      <c r="U901" s="20" t="n"/>
      <c r="V901" s="70">
        <f>IF($J901="","",IFERROR(INDEX(B!$M$2:$M$61,MATCH($J901,B!$E$2:$E$61,0))&amp;"",""))</f>
        <v/>
      </c>
      <c r="W901" s="71">
        <f>IF(I901="","",IFERROR(MID(I901,FIND("/d/",I901)+3,FIND("/edit",I901)-FIND("/d/",I901)-3),I901))</f>
        <v/>
      </c>
      <c r="X901" s="71">
        <f>IF($J901="","",IFERROR(INDEX(B!$C$2:$C$61,MATCH($J901,B!$E$2:$E$61,0))&amp;"",""))</f>
        <v/>
      </c>
      <c r="Y901" s="20" t="n"/>
      <c r="Z901" s="72">
        <f>IF($J901="",FALSE,ISNUMBER(SEARCH("scout",$K901)))</f>
        <v/>
      </c>
      <c r="AA901" s="72">
        <f>IF($J901="",FALSE,IFERROR(INDEX(B!$N$2:$N$61,MATCH($J901,B!$E$2:$E$61,0))="Sim",FALSE))</f>
        <v/>
      </c>
      <c r="AB901" s="72">
        <f>IF($J901="",FALSE,LEFT($X901,2)="XX")</f>
        <v/>
      </c>
      <c r="AC901" s="72">
        <f>IF($J901="",FALSE,IFERROR(INDEX(B!$P$2:$P$61,MATCH($J901,B!$E$2:$E$61,0))="Sim",FALSE))</f>
        <v/>
      </c>
      <c r="AD901" s="20" t="n"/>
      <c r="AE901" s="52">
        <f>IF(H901="","",HOUR(H901))</f>
        <v/>
      </c>
      <c r="AF901" s="52" t="n"/>
    </row>
    <row r="902" ht="19.5" customHeight="1" s="58">
      <c r="A902" s="62">
        <f>IF(G902="","",IF(G902=G901,"",COUNTIF($G$3:$G$976,G902)))</f>
        <v/>
      </c>
      <c r="B902" s="20" t="n"/>
      <c r="C902" s="63">
        <f>IF(G902="","",DAY(G902))</f>
        <v/>
      </c>
      <c r="D902" s="63">
        <f>IF(G902="","",MONTH(G902))</f>
        <v/>
      </c>
      <c r="E902" s="63">
        <f>IF(G902="","",YEAR(G902))</f>
        <v/>
      </c>
      <c r="F902" s="33">
        <f>IF(G902="","",CHOOSE(MONTH(G902),"Janeiro","Fevereiro","Março","Abril","Maio","Junho","Julho","Agosto","Setembro","Outubro","Novembro","Dezembro"))</f>
        <v/>
      </c>
      <c r="G902" s="64" t="n"/>
      <c r="H902" s="65" t="n"/>
      <c r="I902" s="66" t="n"/>
      <c r="J902" s="67" t="n"/>
      <c r="K902" s="67" t="n"/>
      <c r="L902" s="68" t="b">
        <v>0</v>
      </c>
      <c r="M902" s="20" t="n"/>
      <c r="N902" s="69">
        <f>IF($J902="","",IFERROR(INDEX(B!$F$2:$F$61,MATCH($J902,B!$E$2:$E$61,0))&amp;"",""))</f>
        <v/>
      </c>
      <c r="O902" s="69">
        <f>IF($J902="","",IFERROR(INDEX(B!$G$2:$G$61,MATCH($J902,B!$E$2:$E$61,0))&amp;"",""))</f>
        <v/>
      </c>
      <c r="P902" s="69">
        <f>IF($J902="","",IFERROR(INDEX(B!$H$2:$H$61,MATCH($J902,B!$E$2:$E$61,0))&amp;"",""))</f>
        <v/>
      </c>
      <c r="Q902" s="69">
        <f>IF($J902="","",IFERROR(INDEX(B!$I$2:$I$61,MATCH($J902,B!$E$2:$E$61,0))&amp;"",""))</f>
        <v/>
      </c>
      <c r="R902" s="69">
        <f>IF($J902="","",IFERROR(INDEX(B!$J$2:$J$61,MATCH($J902,B!$E$2:$E$61,0))&amp;"",""))</f>
        <v/>
      </c>
      <c r="S902" s="69">
        <f>IF($J902="","",IFERROR(INDEX(B!$K$2:$K$61,MATCH($J902,B!$E$2:$E$61,0))&amp;"",""))</f>
        <v/>
      </c>
      <c r="T902" s="69">
        <f>IF($J902="","",IFERROR(INDEX(B!$L$2:$L$61,MATCH($J902,B!$E$2:$E$61,0))&amp;"",""))</f>
        <v/>
      </c>
      <c r="U902" s="20" t="n"/>
      <c r="V902" s="70">
        <f>IF($J902="","",IFERROR(INDEX(B!$M$2:$M$61,MATCH($J902,B!$E$2:$E$61,0))&amp;"",""))</f>
        <v/>
      </c>
      <c r="W902" s="71">
        <f>IF(I902="","",IFERROR(MID(I902,FIND("/d/",I902)+3,FIND("/edit",I902)-FIND("/d/",I902)-3),I902))</f>
        <v/>
      </c>
      <c r="X902" s="71">
        <f>IF($J902="","",IFERROR(INDEX(B!$C$2:$C$61,MATCH($J902,B!$E$2:$E$61,0))&amp;"",""))</f>
        <v/>
      </c>
      <c r="Y902" s="20" t="n"/>
      <c r="Z902" s="72">
        <f>IF($J902="",FALSE,ISNUMBER(SEARCH("scout",$K902)))</f>
        <v/>
      </c>
      <c r="AA902" s="72">
        <f>IF($J902="",FALSE,IFERROR(INDEX(B!$N$2:$N$61,MATCH($J902,B!$E$2:$E$61,0))="Sim",FALSE))</f>
        <v/>
      </c>
      <c r="AB902" s="72">
        <f>IF($J902="",FALSE,LEFT($X902,2)="XX")</f>
        <v/>
      </c>
      <c r="AC902" s="72">
        <f>IF($J902="",FALSE,IFERROR(INDEX(B!$P$2:$P$61,MATCH($J902,B!$E$2:$E$61,0))="Sim",FALSE))</f>
        <v/>
      </c>
      <c r="AD902" s="20" t="n"/>
      <c r="AE902" s="52">
        <f>IF(H902="","",HOUR(H902))</f>
        <v/>
      </c>
      <c r="AF902" s="52" t="n"/>
    </row>
    <row r="903" ht="19.5" customHeight="1" s="58">
      <c r="A903" s="62">
        <f>IF(G903="","",IF(G903=G902,"",COUNTIF($G$3:$G$976,G903)))</f>
        <v/>
      </c>
      <c r="B903" s="20" t="n"/>
      <c r="C903" s="63">
        <f>IF(G903="","",DAY(G903))</f>
        <v/>
      </c>
      <c r="D903" s="63">
        <f>IF(G903="","",MONTH(G903))</f>
        <v/>
      </c>
      <c r="E903" s="63">
        <f>IF(G903="","",YEAR(G903))</f>
        <v/>
      </c>
      <c r="F903" s="33">
        <f>IF(G903="","",CHOOSE(MONTH(G903),"Janeiro","Fevereiro","Março","Abril","Maio","Junho","Julho","Agosto","Setembro","Outubro","Novembro","Dezembro"))</f>
        <v/>
      </c>
      <c r="G903" s="64" t="n"/>
      <c r="H903" s="65" t="n"/>
      <c r="I903" s="66" t="n"/>
      <c r="J903" s="67" t="n"/>
      <c r="K903" s="67" t="n"/>
      <c r="L903" s="68" t="b">
        <v>0</v>
      </c>
      <c r="M903" s="20" t="n"/>
      <c r="N903" s="69">
        <f>IF($J903="","",IFERROR(INDEX(B!$F$2:$F$61,MATCH($J903,B!$E$2:$E$61,0))&amp;"",""))</f>
        <v/>
      </c>
      <c r="O903" s="69">
        <f>IF($J903="","",IFERROR(INDEX(B!$G$2:$G$61,MATCH($J903,B!$E$2:$E$61,0))&amp;"",""))</f>
        <v/>
      </c>
      <c r="P903" s="69">
        <f>IF($J903="","",IFERROR(INDEX(B!$H$2:$H$61,MATCH($J903,B!$E$2:$E$61,0))&amp;"",""))</f>
        <v/>
      </c>
      <c r="Q903" s="69">
        <f>IF($J903="","",IFERROR(INDEX(B!$I$2:$I$61,MATCH($J903,B!$E$2:$E$61,0))&amp;"",""))</f>
        <v/>
      </c>
      <c r="R903" s="69">
        <f>IF($J903="","",IFERROR(INDEX(B!$J$2:$J$61,MATCH($J903,B!$E$2:$E$61,0))&amp;"",""))</f>
        <v/>
      </c>
      <c r="S903" s="69">
        <f>IF($J903="","",IFERROR(INDEX(B!$K$2:$K$61,MATCH($J903,B!$E$2:$E$61,0))&amp;"",""))</f>
        <v/>
      </c>
      <c r="T903" s="69">
        <f>IF($J903="","",IFERROR(INDEX(B!$L$2:$L$61,MATCH($J903,B!$E$2:$E$61,0))&amp;"",""))</f>
        <v/>
      </c>
      <c r="U903" s="20" t="n"/>
      <c r="V903" s="70">
        <f>IF($J903="","",IFERROR(INDEX(B!$M$2:$M$61,MATCH($J903,B!$E$2:$E$61,0))&amp;"",""))</f>
        <v/>
      </c>
      <c r="W903" s="71">
        <f>IF(I903="","",IFERROR(MID(I903,FIND("/d/",I903)+3,FIND("/edit",I903)-FIND("/d/",I903)-3),I903))</f>
        <v/>
      </c>
      <c r="X903" s="71">
        <f>IF($J903="","",IFERROR(INDEX(B!$C$2:$C$61,MATCH($J903,B!$E$2:$E$61,0))&amp;"",""))</f>
        <v/>
      </c>
      <c r="Y903" s="20" t="n"/>
      <c r="Z903" s="72">
        <f>IF($J903="",FALSE,ISNUMBER(SEARCH("scout",$K903)))</f>
        <v/>
      </c>
      <c r="AA903" s="72">
        <f>IF($J903="",FALSE,IFERROR(INDEX(B!$N$2:$N$61,MATCH($J903,B!$E$2:$E$61,0))="Sim",FALSE))</f>
        <v/>
      </c>
      <c r="AB903" s="72">
        <f>IF($J903="",FALSE,LEFT($X903,2)="XX")</f>
        <v/>
      </c>
      <c r="AC903" s="72">
        <f>IF($J903="",FALSE,IFERROR(INDEX(B!$P$2:$P$61,MATCH($J903,B!$E$2:$E$61,0))="Sim",FALSE))</f>
        <v/>
      </c>
      <c r="AD903" s="20" t="n"/>
      <c r="AE903" s="52">
        <f>IF(H903="","",HOUR(H903))</f>
        <v/>
      </c>
      <c r="AF903" s="52" t="n"/>
    </row>
    <row r="904" ht="19.5" customHeight="1" s="58">
      <c r="A904" s="62">
        <f>IF(G904="","",IF(G904=G903,"",COUNTIF($G$3:$G$976,G904)))</f>
        <v/>
      </c>
      <c r="B904" s="20" t="n"/>
      <c r="C904" s="63">
        <f>IF(G904="","",DAY(G904))</f>
        <v/>
      </c>
      <c r="D904" s="63">
        <f>IF(G904="","",MONTH(G904))</f>
        <v/>
      </c>
      <c r="E904" s="63">
        <f>IF(G904="","",YEAR(G904))</f>
        <v/>
      </c>
      <c r="F904" s="33">
        <f>IF(G904="","",CHOOSE(MONTH(G904),"Janeiro","Fevereiro","Março","Abril","Maio","Junho","Julho","Agosto","Setembro","Outubro","Novembro","Dezembro"))</f>
        <v/>
      </c>
      <c r="G904" s="64" t="n"/>
      <c r="H904" s="65" t="n"/>
      <c r="I904" s="66" t="n"/>
      <c r="J904" s="67" t="n"/>
      <c r="K904" s="67" t="n"/>
      <c r="L904" s="68" t="b">
        <v>0</v>
      </c>
      <c r="M904" s="20" t="n"/>
      <c r="N904" s="69">
        <f>IF($J904="","",IFERROR(INDEX(B!$F$2:$F$61,MATCH($J904,B!$E$2:$E$61,0))&amp;"",""))</f>
        <v/>
      </c>
      <c r="O904" s="69">
        <f>IF($J904="","",IFERROR(INDEX(B!$G$2:$G$61,MATCH($J904,B!$E$2:$E$61,0))&amp;"",""))</f>
        <v/>
      </c>
      <c r="P904" s="69">
        <f>IF($J904="","",IFERROR(INDEX(B!$H$2:$H$61,MATCH($J904,B!$E$2:$E$61,0))&amp;"",""))</f>
        <v/>
      </c>
      <c r="Q904" s="69">
        <f>IF($J904="","",IFERROR(INDEX(B!$I$2:$I$61,MATCH($J904,B!$E$2:$E$61,0))&amp;"",""))</f>
        <v/>
      </c>
      <c r="R904" s="69">
        <f>IF($J904="","",IFERROR(INDEX(B!$J$2:$J$61,MATCH($J904,B!$E$2:$E$61,0))&amp;"",""))</f>
        <v/>
      </c>
      <c r="S904" s="69">
        <f>IF($J904="","",IFERROR(INDEX(B!$K$2:$K$61,MATCH($J904,B!$E$2:$E$61,0))&amp;"",""))</f>
        <v/>
      </c>
      <c r="T904" s="69">
        <f>IF($J904="","",IFERROR(INDEX(B!$L$2:$L$61,MATCH($J904,B!$E$2:$E$61,0))&amp;"",""))</f>
        <v/>
      </c>
      <c r="U904" s="20" t="n"/>
      <c r="V904" s="70">
        <f>IF($J904="","",IFERROR(INDEX(B!$M$2:$M$61,MATCH($J904,B!$E$2:$E$61,0))&amp;"",""))</f>
        <v/>
      </c>
      <c r="W904" s="71">
        <f>IF(I904="","",IFERROR(MID(I904,FIND("/d/",I904)+3,FIND("/edit",I904)-FIND("/d/",I904)-3),I904))</f>
        <v/>
      </c>
      <c r="X904" s="71">
        <f>IF($J904="","",IFERROR(INDEX(B!$C$2:$C$61,MATCH($J904,B!$E$2:$E$61,0))&amp;"",""))</f>
        <v/>
      </c>
      <c r="Y904" s="20" t="n"/>
      <c r="Z904" s="72">
        <f>IF($J904="",FALSE,ISNUMBER(SEARCH("scout",$K904)))</f>
        <v/>
      </c>
      <c r="AA904" s="72">
        <f>IF($J904="",FALSE,IFERROR(INDEX(B!$N$2:$N$61,MATCH($J904,B!$E$2:$E$61,0))="Sim",FALSE))</f>
        <v/>
      </c>
      <c r="AB904" s="72">
        <f>IF($J904="",FALSE,LEFT($X904,2)="XX")</f>
        <v/>
      </c>
      <c r="AC904" s="72">
        <f>IF($J904="",FALSE,IFERROR(INDEX(B!$P$2:$P$61,MATCH($J904,B!$E$2:$E$61,0))="Sim",FALSE))</f>
        <v/>
      </c>
      <c r="AD904" s="20" t="n"/>
      <c r="AE904" s="52">
        <f>IF(H904="","",HOUR(H904))</f>
        <v/>
      </c>
      <c r="AF904" s="52" t="n"/>
    </row>
    <row r="905" ht="19.5" customHeight="1" s="58">
      <c r="A905" s="62">
        <f>IF(G905="","",IF(G905=G904,"",COUNTIF($G$3:$G$976,G905)))</f>
        <v/>
      </c>
      <c r="B905" s="20" t="n"/>
      <c r="C905" s="63">
        <f>IF(G905="","",DAY(G905))</f>
        <v/>
      </c>
      <c r="D905" s="63">
        <f>IF(G905="","",MONTH(G905))</f>
        <v/>
      </c>
      <c r="E905" s="63">
        <f>IF(G905="","",YEAR(G905))</f>
        <v/>
      </c>
      <c r="F905" s="33">
        <f>IF(G905="","",CHOOSE(MONTH(G905),"Janeiro","Fevereiro","Março","Abril","Maio","Junho","Julho","Agosto","Setembro","Outubro","Novembro","Dezembro"))</f>
        <v/>
      </c>
      <c r="G905" s="64" t="n"/>
      <c r="H905" s="65" t="n"/>
      <c r="I905" s="66" t="n"/>
      <c r="J905" s="67" t="n"/>
      <c r="K905" s="67" t="n"/>
      <c r="L905" s="68" t="b">
        <v>0</v>
      </c>
      <c r="M905" s="20" t="n"/>
      <c r="N905" s="69">
        <f>IF($J905="","",IFERROR(INDEX(B!$F$2:$F$61,MATCH($J905,B!$E$2:$E$61,0))&amp;"",""))</f>
        <v/>
      </c>
      <c r="O905" s="69">
        <f>IF($J905="","",IFERROR(INDEX(B!$G$2:$G$61,MATCH($J905,B!$E$2:$E$61,0))&amp;"",""))</f>
        <v/>
      </c>
      <c r="P905" s="69">
        <f>IF($J905="","",IFERROR(INDEX(B!$H$2:$H$61,MATCH($J905,B!$E$2:$E$61,0))&amp;"",""))</f>
        <v/>
      </c>
      <c r="Q905" s="69">
        <f>IF($J905="","",IFERROR(INDEX(B!$I$2:$I$61,MATCH($J905,B!$E$2:$E$61,0))&amp;"",""))</f>
        <v/>
      </c>
      <c r="R905" s="69">
        <f>IF($J905="","",IFERROR(INDEX(B!$J$2:$J$61,MATCH($J905,B!$E$2:$E$61,0))&amp;"",""))</f>
        <v/>
      </c>
      <c r="S905" s="69">
        <f>IF($J905="","",IFERROR(INDEX(B!$K$2:$K$61,MATCH($J905,B!$E$2:$E$61,0))&amp;"",""))</f>
        <v/>
      </c>
      <c r="T905" s="69">
        <f>IF($J905="","",IFERROR(INDEX(B!$L$2:$L$61,MATCH($J905,B!$E$2:$E$61,0))&amp;"",""))</f>
        <v/>
      </c>
      <c r="U905" s="20" t="n"/>
      <c r="V905" s="70">
        <f>IF($J905="","",IFERROR(INDEX(B!$M$2:$M$61,MATCH($J905,B!$E$2:$E$61,0))&amp;"",""))</f>
        <v/>
      </c>
      <c r="W905" s="71">
        <f>IF(I905="","",IFERROR(MID(I905,FIND("/d/",I905)+3,FIND("/edit",I905)-FIND("/d/",I905)-3),I905))</f>
        <v/>
      </c>
      <c r="X905" s="71">
        <f>IF($J905="","",IFERROR(INDEX(B!$C$2:$C$61,MATCH($J905,B!$E$2:$E$61,0))&amp;"",""))</f>
        <v/>
      </c>
      <c r="Y905" s="20" t="n"/>
      <c r="Z905" s="72">
        <f>IF($J905="",FALSE,ISNUMBER(SEARCH("scout",$K905)))</f>
        <v/>
      </c>
      <c r="AA905" s="72">
        <f>IF($J905="",FALSE,IFERROR(INDEX(B!$N$2:$N$61,MATCH($J905,B!$E$2:$E$61,0))="Sim",FALSE))</f>
        <v/>
      </c>
      <c r="AB905" s="72">
        <f>IF($J905="",FALSE,LEFT($X905,2)="XX")</f>
        <v/>
      </c>
      <c r="AC905" s="72">
        <f>IF($J905="",FALSE,IFERROR(INDEX(B!$P$2:$P$61,MATCH($J905,B!$E$2:$E$61,0))="Sim",FALSE))</f>
        <v/>
      </c>
      <c r="AD905" s="20" t="n"/>
      <c r="AE905" s="52">
        <f>IF(H905="","",HOUR(H905))</f>
        <v/>
      </c>
      <c r="AF905" s="52" t="n"/>
    </row>
    <row r="906" ht="19.5" customHeight="1" s="58">
      <c r="A906" s="62">
        <f>IF(G906="","",IF(G906=G905,"",COUNTIF($G$3:$G$976,G906)))</f>
        <v/>
      </c>
      <c r="B906" s="20" t="n"/>
      <c r="C906" s="63">
        <f>IF(G906="","",DAY(G906))</f>
        <v/>
      </c>
      <c r="D906" s="63">
        <f>IF(G906="","",MONTH(G906))</f>
        <v/>
      </c>
      <c r="E906" s="63">
        <f>IF(G906="","",YEAR(G906))</f>
        <v/>
      </c>
      <c r="F906" s="33">
        <f>IF(G906="","",CHOOSE(MONTH(G906),"Janeiro","Fevereiro","Março","Abril","Maio","Junho","Julho","Agosto","Setembro","Outubro","Novembro","Dezembro"))</f>
        <v/>
      </c>
      <c r="G906" s="64" t="n"/>
      <c r="H906" s="65" t="n"/>
      <c r="I906" s="66" t="n"/>
      <c r="J906" s="67" t="n"/>
      <c r="K906" s="67" t="n"/>
      <c r="L906" s="68" t="b">
        <v>0</v>
      </c>
      <c r="M906" s="20" t="n"/>
      <c r="N906" s="69">
        <f>IF($J906="","",IFERROR(INDEX(B!$F$2:$F$61,MATCH($J906,B!$E$2:$E$61,0))&amp;"",""))</f>
        <v/>
      </c>
      <c r="O906" s="69">
        <f>IF($J906="","",IFERROR(INDEX(B!$G$2:$G$61,MATCH($J906,B!$E$2:$E$61,0))&amp;"",""))</f>
        <v/>
      </c>
      <c r="P906" s="69">
        <f>IF($J906="","",IFERROR(INDEX(B!$H$2:$H$61,MATCH($J906,B!$E$2:$E$61,0))&amp;"",""))</f>
        <v/>
      </c>
      <c r="Q906" s="69">
        <f>IF($J906="","",IFERROR(INDEX(B!$I$2:$I$61,MATCH($J906,B!$E$2:$E$61,0))&amp;"",""))</f>
        <v/>
      </c>
      <c r="R906" s="69">
        <f>IF($J906="","",IFERROR(INDEX(B!$J$2:$J$61,MATCH($J906,B!$E$2:$E$61,0))&amp;"",""))</f>
        <v/>
      </c>
      <c r="S906" s="69">
        <f>IF($J906="","",IFERROR(INDEX(B!$K$2:$K$61,MATCH($J906,B!$E$2:$E$61,0))&amp;"",""))</f>
        <v/>
      </c>
      <c r="T906" s="69">
        <f>IF($J906="","",IFERROR(INDEX(B!$L$2:$L$61,MATCH($J906,B!$E$2:$E$61,0))&amp;"",""))</f>
        <v/>
      </c>
      <c r="U906" s="20" t="n"/>
      <c r="V906" s="70">
        <f>IF($J906="","",IFERROR(INDEX(B!$M$2:$M$61,MATCH($J906,B!$E$2:$E$61,0))&amp;"",""))</f>
        <v/>
      </c>
      <c r="W906" s="71">
        <f>IF(I906="","",IFERROR(MID(I906,FIND("/d/",I906)+3,FIND("/edit",I906)-FIND("/d/",I906)-3),I906))</f>
        <v/>
      </c>
      <c r="X906" s="71">
        <f>IF($J906="","",IFERROR(INDEX(B!$C$2:$C$61,MATCH($J906,B!$E$2:$E$61,0))&amp;"",""))</f>
        <v/>
      </c>
      <c r="Y906" s="20" t="n"/>
      <c r="Z906" s="72">
        <f>IF($J906="",FALSE,ISNUMBER(SEARCH("scout",$K906)))</f>
        <v/>
      </c>
      <c r="AA906" s="72">
        <f>IF($J906="",FALSE,IFERROR(INDEX(B!$N$2:$N$61,MATCH($J906,B!$E$2:$E$61,0))="Sim",FALSE))</f>
        <v/>
      </c>
      <c r="AB906" s="72">
        <f>IF($J906="",FALSE,LEFT($X906,2)="XX")</f>
        <v/>
      </c>
      <c r="AC906" s="72">
        <f>IF($J906="",FALSE,IFERROR(INDEX(B!$P$2:$P$61,MATCH($J906,B!$E$2:$E$61,0))="Sim",FALSE))</f>
        <v/>
      </c>
      <c r="AD906" s="20" t="n"/>
      <c r="AE906" s="52">
        <f>IF(H906="","",HOUR(H906))</f>
        <v/>
      </c>
      <c r="AF906" s="52" t="n"/>
    </row>
    <row r="907" ht="19.5" customHeight="1" s="58">
      <c r="A907" s="62">
        <f>IF(G907="","",IF(G907=G906,"",COUNTIF($G$3:$G$976,G907)))</f>
        <v/>
      </c>
      <c r="B907" s="20" t="n"/>
      <c r="C907" s="63">
        <f>IF(G907="","",DAY(G907))</f>
        <v/>
      </c>
      <c r="D907" s="63">
        <f>IF(G907="","",MONTH(G907))</f>
        <v/>
      </c>
      <c r="E907" s="63">
        <f>IF(G907="","",YEAR(G907))</f>
        <v/>
      </c>
      <c r="F907" s="33">
        <f>IF(G907="","",CHOOSE(MONTH(G907),"Janeiro","Fevereiro","Março","Abril","Maio","Junho","Julho","Agosto","Setembro","Outubro","Novembro","Dezembro"))</f>
        <v/>
      </c>
      <c r="G907" s="64" t="n"/>
      <c r="H907" s="65" t="n"/>
      <c r="I907" s="66" t="n"/>
      <c r="J907" s="67" t="n"/>
      <c r="K907" s="67" t="n"/>
      <c r="L907" s="68" t="b">
        <v>0</v>
      </c>
      <c r="M907" s="20" t="n"/>
      <c r="N907" s="69">
        <f>IF($J907="","",IFERROR(INDEX(B!$F$2:$F$61,MATCH($J907,B!$E$2:$E$61,0))&amp;"",""))</f>
        <v/>
      </c>
      <c r="O907" s="69">
        <f>IF($J907="","",IFERROR(INDEX(B!$G$2:$G$61,MATCH($J907,B!$E$2:$E$61,0))&amp;"",""))</f>
        <v/>
      </c>
      <c r="P907" s="69">
        <f>IF($J907="","",IFERROR(INDEX(B!$H$2:$H$61,MATCH($J907,B!$E$2:$E$61,0))&amp;"",""))</f>
        <v/>
      </c>
      <c r="Q907" s="69">
        <f>IF($J907="","",IFERROR(INDEX(B!$I$2:$I$61,MATCH($J907,B!$E$2:$E$61,0))&amp;"",""))</f>
        <v/>
      </c>
      <c r="R907" s="69">
        <f>IF($J907="","",IFERROR(INDEX(B!$J$2:$J$61,MATCH($J907,B!$E$2:$E$61,0))&amp;"",""))</f>
        <v/>
      </c>
      <c r="S907" s="69">
        <f>IF($J907="","",IFERROR(INDEX(B!$K$2:$K$61,MATCH($J907,B!$E$2:$E$61,0))&amp;"",""))</f>
        <v/>
      </c>
      <c r="T907" s="69">
        <f>IF($J907="","",IFERROR(INDEX(B!$L$2:$L$61,MATCH($J907,B!$E$2:$E$61,0))&amp;"",""))</f>
        <v/>
      </c>
      <c r="U907" s="20" t="n"/>
      <c r="V907" s="70">
        <f>IF($J907="","",IFERROR(INDEX(B!$M$2:$M$61,MATCH($J907,B!$E$2:$E$61,0))&amp;"",""))</f>
        <v/>
      </c>
      <c r="W907" s="71">
        <f>IF(I907="","",IFERROR(MID(I907,FIND("/d/",I907)+3,FIND("/edit",I907)-FIND("/d/",I907)-3),I907))</f>
        <v/>
      </c>
      <c r="X907" s="71">
        <f>IF($J907="","",IFERROR(INDEX(B!$C$2:$C$61,MATCH($J907,B!$E$2:$E$61,0))&amp;"",""))</f>
        <v/>
      </c>
      <c r="Y907" s="20" t="n"/>
      <c r="Z907" s="72">
        <f>IF($J907="",FALSE,ISNUMBER(SEARCH("scout",$K907)))</f>
        <v/>
      </c>
      <c r="AA907" s="72">
        <f>IF($J907="",FALSE,IFERROR(INDEX(B!$N$2:$N$61,MATCH($J907,B!$E$2:$E$61,0))="Sim",FALSE))</f>
        <v/>
      </c>
      <c r="AB907" s="72">
        <f>IF($J907="",FALSE,LEFT($X907,2)="XX")</f>
        <v/>
      </c>
      <c r="AC907" s="72">
        <f>IF($J907="",FALSE,IFERROR(INDEX(B!$P$2:$P$61,MATCH($J907,B!$E$2:$E$61,0))="Sim",FALSE))</f>
        <v/>
      </c>
      <c r="AD907" s="20" t="n"/>
      <c r="AE907" s="52">
        <f>IF(H907="","",HOUR(H907))</f>
        <v/>
      </c>
      <c r="AF907" s="52" t="n"/>
    </row>
    <row r="908" ht="19.5" customHeight="1" s="58">
      <c r="A908" s="62">
        <f>IF(G908="","",IF(G908=G907,"",COUNTIF($G$3:$G$976,G908)))</f>
        <v/>
      </c>
      <c r="B908" s="20" t="n"/>
      <c r="C908" s="63">
        <f>IF(G908="","",DAY(G908))</f>
        <v/>
      </c>
      <c r="D908" s="63">
        <f>IF(G908="","",MONTH(G908))</f>
        <v/>
      </c>
      <c r="E908" s="63">
        <f>IF(G908="","",YEAR(G908))</f>
        <v/>
      </c>
      <c r="F908" s="33">
        <f>IF(G908="","",CHOOSE(MONTH(G908),"Janeiro","Fevereiro","Março","Abril","Maio","Junho","Julho","Agosto","Setembro","Outubro","Novembro","Dezembro"))</f>
        <v/>
      </c>
      <c r="G908" s="64" t="n"/>
      <c r="H908" s="65" t="n"/>
      <c r="I908" s="66" t="n"/>
      <c r="J908" s="67" t="n"/>
      <c r="K908" s="67" t="n"/>
      <c r="L908" s="68" t="b">
        <v>0</v>
      </c>
      <c r="M908" s="20" t="n"/>
      <c r="N908" s="69">
        <f>IF($J908="","",IFERROR(INDEX(B!$F$2:$F$61,MATCH($J908,B!$E$2:$E$61,0))&amp;"",""))</f>
        <v/>
      </c>
      <c r="O908" s="69">
        <f>IF($J908="","",IFERROR(INDEX(B!$G$2:$G$61,MATCH($J908,B!$E$2:$E$61,0))&amp;"",""))</f>
        <v/>
      </c>
      <c r="P908" s="69">
        <f>IF($J908="","",IFERROR(INDEX(B!$H$2:$H$61,MATCH($J908,B!$E$2:$E$61,0))&amp;"",""))</f>
        <v/>
      </c>
      <c r="Q908" s="69">
        <f>IF($J908="","",IFERROR(INDEX(B!$I$2:$I$61,MATCH($J908,B!$E$2:$E$61,0))&amp;"",""))</f>
        <v/>
      </c>
      <c r="R908" s="69">
        <f>IF($J908="","",IFERROR(INDEX(B!$J$2:$J$61,MATCH($J908,B!$E$2:$E$61,0))&amp;"",""))</f>
        <v/>
      </c>
      <c r="S908" s="69">
        <f>IF($J908="","",IFERROR(INDEX(B!$K$2:$K$61,MATCH($J908,B!$E$2:$E$61,0))&amp;"",""))</f>
        <v/>
      </c>
      <c r="T908" s="69">
        <f>IF($J908="","",IFERROR(INDEX(B!$L$2:$L$61,MATCH($J908,B!$E$2:$E$61,0))&amp;"",""))</f>
        <v/>
      </c>
      <c r="U908" s="20" t="n"/>
      <c r="V908" s="70">
        <f>IF($J908="","",IFERROR(INDEX(B!$M$2:$M$61,MATCH($J908,B!$E$2:$E$61,0))&amp;"",""))</f>
        <v/>
      </c>
      <c r="W908" s="71">
        <f>IF(I908="","",IFERROR(MID(I908,FIND("/d/",I908)+3,FIND("/edit",I908)-FIND("/d/",I908)-3),I908))</f>
        <v/>
      </c>
      <c r="X908" s="71">
        <f>IF($J908="","",IFERROR(INDEX(B!$C$2:$C$61,MATCH($J908,B!$E$2:$E$61,0))&amp;"",""))</f>
        <v/>
      </c>
      <c r="Y908" s="20" t="n"/>
      <c r="Z908" s="72">
        <f>IF($J908="",FALSE,ISNUMBER(SEARCH("scout",$K908)))</f>
        <v/>
      </c>
      <c r="AA908" s="72">
        <f>IF($J908="",FALSE,IFERROR(INDEX(B!$N$2:$N$61,MATCH($J908,B!$E$2:$E$61,0))="Sim",FALSE))</f>
        <v/>
      </c>
      <c r="AB908" s="72">
        <f>IF($J908="",FALSE,LEFT($X908,2)="XX")</f>
        <v/>
      </c>
      <c r="AC908" s="72">
        <f>IF($J908="",FALSE,IFERROR(INDEX(B!$P$2:$P$61,MATCH($J908,B!$E$2:$E$61,0))="Sim",FALSE))</f>
        <v/>
      </c>
      <c r="AD908" s="20" t="n"/>
      <c r="AE908" s="52">
        <f>IF(H908="","",HOUR(H908))</f>
        <v/>
      </c>
      <c r="AF908" s="52" t="n"/>
    </row>
    <row r="909" ht="19.5" customHeight="1" s="58">
      <c r="A909" s="62">
        <f>IF(G909="","",IF(G909=G908,"",COUNTIF($G$3:$G$976,G909)))</f>
        <v/>
      </c>
      <c r="B909" s="20" t="n"/>
      <c r="C909" s="63">
        <f>IF(G909="","",DAY(G909))</f>
        <v/>
      </c>
      <c r="D909" s="63">
        <f>IF(G909="","",MONTH(G909))</f>
        <v/>
      </c>
      <c r="E909" s="63">
        <f>IF(G909="","",YEAR(G909))</f>
        <v/>
      </c>
      <c r="F909" s="33">
        <f>IF(G909="","",CHOOSE(MONTH(G909),"Janeiro","Fevereiro","Março","Abril","Maio","Junho","Julho","Agosto","Setembro","Outubro","Novembro","Dezembro"))</f>
        <v/>
      </c>
      <c r="G909" s="64" t="n"/>
      <c r="H909" s="65" t="n"/>
      <c r="I909" s="66" t="n"/>
      <c r="J909" s="67" t="n"/>
      <c r="K909" s="67" t="n"/>
      <c r="L909" s="68" t="b">
        <v>0</v>
      </c>
      <c r="M909" s="20" t="n"/>
      <c r="N909" s="69">
        <f>IF($J909="","",IFERROR(INDEX(B!$F$2:$F$61,MATCH($J909,B!$E$2:$E$61,0))&amp;"",""))</f>
        <v/>
      </c>
      <c r="O909" s="69">
        <f>IF($J909="","",IFERROR(INDEX(B!$G$2:$G$61,MATCH($J909,B!$E$2:$E$61,0))&amp;"",""))</f>
        <v/>
      </c>
      <c r="P909" s="69">
        <f>IF($J909="","",IFERROR(INDEX(B!$H$2:$H$61,MATCH($J909,B!$E$2:$E$61,0))&amp;"",""))</f>
        <v/>
      </c>
      <c r="Q909" s="69">
        <f>IF($J909="","",IFERROR(INDEX(B!$I$2:$I$61,MATCH($J909,B!$E$2:$E$61,0))&amp;"",""))</f>
        <v/>
      </c>
      <c r="R909" s="69">
        <f>IF($J909="","",IFERROR(INDEX(B!$J$2:$J$61,MATCH($J909,B!$E$2:$E$61,0))&amp;"",""))</f>
        <v/>
      </c>
      <c r="S909" s="69">
        <f>IF($J909="","",IFERROR(INDEX(B!$K$2:$K$61,MATCH($J909,B!$E$2:$E$61,0))&amp;"",""))</f>
        <v/>
      </c>
      <c r="T909" s="69">
        <f>IF($J909="","",IFERROR(INDEX(B!$L$2:$L$61,MATCH($J909,B!$E$2:$E$61,0))&amp;"",""))</f>
        <v/>
      </c>
      <c r="U909" s="20" t="n"/>
      <c r="V909" s="70">
        <f>IF($J909="","",IFERROR(INDEX(B!$M$2:$M$61,MATCH($J909,B!$E$2:$E$61,0))&amp;"",""))</f>
        <v/>
      </c>
      <c r="W909" s="71">
        <f>IF(I909="","",IFERROR(MID(I909,FIND("/d/",I909)+3,FIND("/edit",I909)-FIND("/d/",I909)-3),I909))</f>
        <v/>
      </c>
      <c r="X909" s="71">
        <f>IF($J909="","",IFERROR(INDEX(B!$C$2:$C$61,MATCH($J909,B!$E$2:$E$61,0))&amp;"",""))</f>
        <v/>
      </c>
      <c r="Y909" s="20" t="n"/>
      <c r="Z909" s="72">
        <f>IF($J909="",FALSE,ISNUMBER(SEARCH("scout",$K909)))</f>
        <v/>
      </c>
      <c r="AA909" s="72">
        <f>IF($J909="",FALSE,IFERROR(INDEX(B!$N$2:$N$61,MATCH($J909,B!$E$2:$E$61,0))="Sim",FALSE))</f>
        <v/>
      </c>
      <c r="AB909" s="72">
        <f>IF($J909="",FALSE,LEFT($X909,2)="XX")</f>
        <v/>
      </c>
      <c r="AC909" s="72">
        <f>IF($J909="",FALSE,IFERROR(INDEX(B!$P$2:$P$61,MATCH($J909,B!$E$2:$E$61,0))="Sim",FALSE))</f>
        <v/>
      </c>
      <c r="AD909" s="20" t="n"/>
      <c r="AE909" s="52">
        <f>IF(H909="","",HOUR(H909))</f>
        <v/>
      </c>
      <c r="AF909" s="52" t="n"/>
    </row>
    <row r="910" ht="19.5" customHeight="1" s="58">
      <c r="A910" s="62">
        <f>IF(G910="","",IF(G910=G909,"",COUNTIF($G$3:$G$976,G910)))</f>
        <v/>
      </c>
      <c r="B910" s="20" t="n"/>
      <c r="C910" s="63">
        <f>IF(G910="","",DAY(G910))</f>
        <v/>
      </c>
      <c r="D910" s="63">
        <f>IF(G910="","",MONTH(G910))</f>
        <v/>
      </c>
      <c r="E910" s="63">
        <f>IF(G910="","",YEAR(G910))</f>
        <v/>
      </c>
      <c r="F910" s="33">
        <f>IF(G910="","",CHOOSE(MONTH(G910),"Janeiro","Fevereiro","Março","Abril","Maio","Junho","Julho","Agosto","Setembro","Outubro","Novembro","Dezembro"))</f>
        <v/>
      </c>
      <c r="G910" s="64" t="n"/>
      <c r="H910" s="65" t="n"/>
      <c r="I910" s="66" t="n"/>
      <c r="J910" s="67" t="n"/>
      <c r="K910" s="67" t="n"/>
      <c r="L910" s="68" t="b">
        <v>0</v>
      </c>
      <c r="M910" s="20" t="n"/>
      <c r="N910" s="69">
        <f>IF($J910="","",IFERROR(INDEX(B!$F$2:$F$61,MATCH($J910,B!$E$2:$E$61,0))&amp;"",""))</f>
        <v/>
      </c>
      <c r="O910" s="69">
        <f>IF($J910="","",IFERROR(INDEX(B!$G$2:$G$61,MATCH($J910,B!$E$2:$E$61,0))&amp;"",""))</f>
        <v/>
      </c>
      <c r="P910" s="69">
        <f>IF($J910="","",IFERROR(INDEX(B!$H$2:$H$61,MATCH($J910,B!$E$2:$E$61,0))&amp;"",""))</f>
        <v/>
      </c>
      <c r="Q910" s="69">
        <f>IF($J910="","",IFERROR(INDEX(B!$I$2:$I$61,MATCH($J910,B!$E$2:$E$61,0))&amp;"",""))</f>
        <v/>
      </c>
      <c r="R910" s="69">
        <f>IF($J910="","",IFERROR(INDEX(B!$J$2:$J$61,MATCH($J910,B!$E$2:$E$61,0))&amp;"",""))</f>
        <v/>
      </c>
      <c r="S910" s="69">
        <f>IF($J910="","",IFERROR(INDEX(B!$K$2:$K$61,MATCH($J910,B!$E$2:$E$61,0))&amp;"",""))</f>
        <v/>
      </c>
      <c r="T910" s="69">
        <f>IF($J910="","",IFERROR(INDEX(B!$L$2:$L$61,MATCH($J910,B!$E$2:$E$61,0))&amp;"",""))</f>
        <v/>
      </c>
      <c r="U910" s="20" t="n"/>
      <c r="V910" s="70">
        <f>IF($J910="","",IFERROR(INDEX(B!$M$2:$M$61,MATCH($J910,B!$E$2:$E$61,0))&amp;"",""))</f>
        <v/>
      </c>
      <c r="W910" s="71">
        <f>IF(I910="","",IFERROR(MID(I910,FIND("/d/",I910)+3,FIND("/edit",I910)-FIND("/d/",I910)-3),I910))</f>
        <v/>
      </c>
      <c r="X910" s="71">
        <f>IF($J910="","",IFERROR(INDEX(B!$C$2:$C$61,MATCH($J910,B!$E$2:$E$61,0))&amp;"",""))</f>
        <v/>
      </c>
      <c r="Y910" s="20" t="n"/>
      <c r="Z910" s="72">
        <f>IF($J910="",FALSE,ISNUMBER(SEARCH("scout",$K910)))</f>
        <v/>
      </c>
      <c r="AA910" s="72">
        <f>IF($J910="",FALSE,IFERROR(INDEX(B!$N$2:$N$61,MATCH($J910,B!$E$2:$E$61,0))="Sim",FALSE))</f>
        <v/>
      </c>
      <c r="AB910" s="72">
        <f>IF($J910="",FALSE,LEFT($X910,2)="XX")</f>
        <v/>
      </c>
      <c r="AC910" s="72">
        <f>IF($J910="",FALSE,IFERROR(INDEX(B!$P$2:$P$61,MATCH($J910,B!$E$2:$E$61,0))="Sim",FALSE))</f>
        <v/>
      </c>
      <c r="AD910" s="20" t="n"/>
      <c r="AE910" s="52">
        <f>IF(H910="","",HOUR(H910))</f>
        <v/>
      </c>
      <c r="AF910" s="52" t="n"/>
    </row>
    <row r="911" ht="19.5" customHeight="1" s="58">
      <c r="A911" s="62">
        <f>IF(G911="","",IF(G911=G910,"",COUNTIF($G$3:$G$976,G911)))</f>
        <v/>
      </c>
      <c r="B911" s="20" t="n"/>
      <c r="C911" s="63">
        <f>IF(G911="","",DAY(G911))</f>
        <v/>
      </c>
      <c r="D911" s="63">
        <f>IF(G911="","",MONTH(G911))</f>
        <v/>
      </c>
      <c r="E911" s="63">
        <f>IF(G911="","",YEAR(G911))</f>
        <v/>
      </c>
      <c r="F911" s="33">
        <f>IF(G911="","",CHOOSE(MONTH(G911),"Janeiro","Fevereiro","Março","Abril","Maio","Junho","Julho","Agosto","Setembro","Outubro","Novembro","Dezembro"))</f>
        <v/>
      </c>
      <c r="G911" s="64" t="n"/>
      <c r="H911" s="65" t="n"/>
      <c r="I911" s="66" t="n"/>
      <c r="J911" s="67" t="n"/>
      <c r="K911" s="67" t="n"/>
      <c r="L911" s="68" t="b">
        <v>0</v>
      </c>
      <c r="M911" s="20" t="n"/>
      <c r="N911" s="69">
        <f>IF($J911="","",IFERROR(INDEX(B!$F$2:$F$61,MATCH($J911,B!$E$2:$E$61,0))&amp;"",""))</f>
        <v/>
      </c>
      <c r="O911" s="69">
        <f>IF($J911="","",IFERROR(INDEX(B!$G$2:$G$61,MATCH($J911,B!$E$2:$E$61,0))&amp;"",""))</f>
        <v/>
      </c>
      <c r="P911" s="69">
        <f>IF($J911="","",IFERROR(INDEX(B!$H$2:$H$61,MATCH($J911,B!$E$2:$E$61,0))&amp;"",""))</f>
        <v/>
      </c>
      <c r="Q911" s="69">
        <f>IF($J911="","",IFERROR(INDEX(B!$I$2:$I$61,MATCH($J911,B!$E$2:$E$61,0))&amp;"",""))</f>
        <v/>
      </c>
      <c r="R911" s="69">
        <f>IF($J911="","",IFERROR(INDEX(B!$J$2:$J$61,MATCH($J911,B!$E$2:$E$61,0))&amp;"",""))</f>
        <v/>
      </c>
      <c r="S911" s="69">
        <f>IF($J911="","",IFERROR(INDEX(B!$K$2:$K$61,MATCH($J911,B!$E$2:$E$61,0))&amp;"",""))</f>
        <v/>
      </c>
      <c r="T911" s="69">
        <f>IF($J911="","",IFERROR(INDEX(B!$L$2:$L$61,MATCH($J911,B!$E$2:$E$61,0))&amp;"",""))</f>
        <v/>
      </c>
      <c r="U911" s="20" t="n"/>
      <c r="V911" s="70">
        <f>IF($J911="","",IFERROR(INDEX(B!$M$2:$M$61,MATCH($J911,B!$E$2:$E$61,0))&amp;"",""))</f>
        <v/>
      </c>
      <c r="W911" s="71">
        <f>IF(I911="","",IFERROR(MID(I911,FIND("/d/",I911)+3,FIND("/edit",I911)-FIND("/d/",I911)-3),I911))</f>
        <v/>
      </c>
      <c r="X911" s="71">
        <f>IF($J911="","",IFERROR(INDEX(B!$C$2:$C$61,MATCH($J911,B!$E$2:$E$61,0))&amp;"",""))</f>
        <v/>
      </c>
      <c r="Y911" s="20" t="n"/>
      <c r="Z911" s="72">
        <f>IF($J911="",FALSE,ISNUMBER(SEARCH("scout",$K911)))</f>
        <v/>
      </c>
      <c r="AA911" s="72">
        <f>IF($J911="",FALSE,IFERROR(INDEX(B!$N$2:$N$61,MATCH($J911,B!$E$2:$E$61,0))="Sim",FALSE))</f>
        <v/>
      </c>
      <c r="AB911" s="72">
        <f>IF($J911="",FALSE,LEFT($X911,2)="XX")</f>
        <v/>
      </c>
      <c r="AC911" s="72">
        <f>IF($J911="",FALSE,IFERROR(INDEX(B!$P$2:$P$61,MATCH($J911,B!$E$2:$E$61,0))="Sim",FALSE))</f>
        <v/>
      </c>
      <c r="AD911" s="20" t="n"/>
      <c r="AE911" s="52">
        <f>IF(H911="","",HOUR(H911))</f>
        <v/>
      </c>
      <c r="AF911" s="52" t="n"/>
    </row>
    <row r="912" ht="19.5" customHeight="1" s="58">
      <c r="A912" s="62">
        <f>IF(G912="","",IF(G912=G911,"",COUNTIF($G$3:$G$976,G912)))</f>
        <v/>
      </c>
      <c r="B912" s="20" t="n"/>
      <c r="C912" s="63">
        <f>IF(G912="","",DAY(G912))</f>
        <v/>
      </c>
      <c r="D912" s="63">
        <f>IF(G912="","",MONTH(G912))</f>
        <v/>
      </c>
      <c r="E912" s="63">
        <f>IF(G912="","",YEAR(G912))</f>
        <v/>
      </c>
      <c r="F912" s="33">
        <f>IF(G912="","",CHOOSE(MONTH(G912),"Janeiro","Fevereiro","Março","Abril","Maio","Junho","Julho","Agosto","Setembro","Outubro","Novembro","Dezembro"))</f>
        <v/>
      </c>
      <c r="G912" s="64" t="n"/>
      <c r="H912" s="65" t="n"/>
      <c r="I912" s="66" t="n"/>
      <c r="J912" s="67" t="n"/>
      <c r="K912" s="67" t="n"/>
      <c r="L912" s="68" t="b">
        <v>0</v>
      </c>
      <c r="M912" s="20" t="n"/>
      <c r="N912" s="69">
        <f>IF($J912="","",IFERROR(INDEX(B!$F$2:$F$61,MATCH($J912,B!$E$2:$E$61,0))&amp;"",""))</f>
        <v/>
      </c>
      <c r="O912" s="69">
        <f>IF($J912="","",IFERROR(INDEX(B!$G$2:$G$61,MATCH($J912,B!$E$2:$E$61,0))&amp;"",""))</f>
        <v/>
      </c>
      <c r="P912" s="69">
        <f>IF($J912="","",IFERROR(INDEX(B!$H$2:$H$61,MATCH($J912,B!$E$2:$E$61,0))&amp;"",""))</f>
        <v/>
      </c>
      <c r="Q912" s="69">
        <f>IF($J912="","",IFERROR(INDEX(B!$I$2:$I$61,MATCH($J912,B!$E$2:$E$61,0))&amp;"",""))</f>
        <v/>
      </c>
      <c r="R912" s="69">
        <f>IF($J912="","",IFERROR(INDEX(B!$J$2:$J$61,MATCH($J912,B!$E$2:$E$61,0))&amp;"",""))</f>
        <v/>
      </c>
      <c r="S912" s="69">
        <f>IF($J912="","",IFERROR(INDEX(B!$K$2:$K$61,MATCH($J912,B!$E$2:$E$61,0))&amp;"",""))</f>
        <v/>
      </c>
      <c r="T912" s="69">
        <f>IF($J912="","",IFERROR(INDEX(B!$L$2:$L$61,MATCH($J912,B!$E$2:$E$61,0))&amp;"",""))</f>
        <v/>
      </c>
      <c r="U912" s="20" t="n"/>
      <c r="V912" s="70">
        <f>IF($J912="","",IFERROR(INDEX(B!$M$2:$M$61,MATCH($J912,B!$E$2:$E$61,0))&amp;"",""))</f>
        <v/>
      </c>
      <c r="W912" s="71">
        <f>IF(I912="","",IFERROR(MID(I912,FIND("/d/",I912)+3,FIND("/edit",I912)-FIND("/d/",I912)-3),I912))</f>
        <v/>
      </c>
      <c r="X912" s="71">
        <f>IF($J912="","",IFERROR(INDEX(B!$C$2:$C$61,MATCH($J912,B!$E$2:$E$61,0))&amp;"",""))</f>
        <v/>
      </c>
      <c r="Y912" s="20" t="n"/>
      <c r="Z912" s="72">
        <f>IF($J912="",FALSE,ISNUMBER(SEARCH("scout",$K912)))</f>
        <v/>
      </c>
      <c r="AA912" s="72">
        <f>IF($J912="",FALSE,IFERROR(INDEX(B!$N$2:$N$61,MATCH($J912,B!$E$2:$E$61,0))="Sim",FALSE))</f>
        <v/>
      </c>
      <c r="AB912" s="72">
        <f>IF($J912="",FALSE,LEFT($X912,2)="XX")</f>
        <v/>
      </c>
      <c r="AC912" s="72">
        <f>IF($J912="",FALSE,IFERROR(INDEX(B!$P$2:$P$61,MATCH($J912,B!$E$2:$E$61,0))="Sim",FALSE))</f>
        <v/>
      </c>
      <c r="AD912" s="20" t="n"/>
      <c r="AE912" s="52">
        <f>IF(H912="","",HOUR(H912))</f>
        <v/>
      </c>
      <c r="AF912" s="52" t="n"/>
    </row>
    <row r="913" ht="19.5" customHeight="1" s="58">
      <c r="A913" s="62">
        <f>IF(G913="","",IF(G913=G912,"",COUNTIF($G$3:$G$976,G913)))</f>
        <v/>
      </c>
      <c r="B913" s="20" t="n"/>
      <c r="C913" s="63">
        <f>IF(G913="","",DAY(G913))</f>
        <v/>
      </c>
      <c r="D913" s="63">
        <f>IF(G913="","",MONTH(G913))</f>
        <v/>
      </c>
      <c r="E913" s="63">
        <f>IF(G913="","",YEAR(G913))</f>
        <v/>
      </c>
      <c r="F913" s="33">
        <f>IF(G913="","",CHOOSE(MONTH(G913),"Janeiro","Fevereiro","Março","Abril","Maio","Junho","Julho","Agosto","Setembro","Outubro","Novembro","Dezembro"))</f>
        <v/>
      </c>
      <c r="G913" s="64" t="n"/>
      <c r="H913" s="65" t="n"/>
      <c r="I913" s="66" t="n"/>
      <c r="J913" s="67" t="n"/>
      <c r="K913" s="67" t="n"/>
      <c r="L913" s="68" t="b">
        <v>0</v>
      </c>
      <c r="M913" s="20" t="n"/>
      <c r="N913" s="69">
        <f>IF($J913="","",IFERROR(INDEX(B!$F$2:$F$61,MATCH($J913,B!$E$2:$E$61,0))&amp;"",""))</f>
        <v/>
      </c>
      <c r="O913" s="69">
        <f>IF($J913="","",IFERROR(INDEX(B!$G$2:$G$61,MATCH($J913,B!$E$2:$E$61,0))&amp;"",""))</f>
        <v/>
      </c>
      <c r="P913" s="69">
        <f>IF($J913="","",IFERROR(INDEX(B!$H$2:$H$61,MATCH($J913,B!$E$2:$E$61,0))&amp;"",""))</f>
        <v/>
      </c>
      <c r="Q913" s="69">
        <f>IF($J913="","",IFERROR(INDEX(B!$I$2:$I$61,MATCH($J913,B!$E$2:$E$61,0))&amp;"",""))</f>
        <v/>
      </c>
      <c r="R913" s="69">
        <f>IF($J913="","",IFERROR(INDEX(B!$J$2:$J$61,MATCH($J913,B!$E$2:$E$61,0))&amp;"",""))</f>
        <v/>
      </c>
      <c r="S913" s="69">
        <f>IF($J913="","",IFERROR(INDEX(B!$K$2:$K$61,MATCH($J913,B!$E$2:$E$61,0))&amp;"",""))</f>
        <v/>
      </c>
      <c r="T913" s="69">
        <f>IF($J913="","",IFERROR(INDEX(B!$L$2:$L$61,MATCH($J913,B!$E$2:$E$61,0))&amp;"",""))</f>
        <v/>
      </c>
      <c r="U913" s="20" t="n"/>
      <c r="V913" s="70">
        <f>IF($J913="","",IFERROR(INDEX(B!$M$2:$M$61,MATCH($J913,B!$E$2:$E$61,0))&amp;"",""))</f>
        <v/>
      </c>
      <c r="W913" s="71">
        <f>IF(I913="","",IFERROR(MID(I913,FIND("/d/",I913)+3,FIND("/edit",I913)-FIND("/d/",I913)-3),I913))</f>
        <v/>
      </c>
      <c r="X913" s="71">
        <f>IF($J913="","",IFERROR(INDEX(B!$C$2:$C$61,MATCH($J913,B!$E$2:$E$61,0))&amp;"",""))</f>
        <v/>
      </c>
      <c r="Y913" s="20" t="n"/>
      <c r="Z913" s="72">
        <f>IF($J913="",FALSE,ISNUMBER(SEARCH("scout",$K913)))</f>
        <v/>
      </c>
      <c r="AA913" s="72">
        <f>IF($J913="",FALSE,IFERROR(INDEX(B!$N$2:$N$61,MATCH($J913,B!$E$2:$E$61,0))="Sim",FALSE))</f>
        <v/>
      </c>
      <c r="AB913" s="72">
        <f>IF($J913="",FALSE,LEFT($X913,2)="XX")</f>
        <v/>
      </c>
      <c r="AC913" s="72">
        <f>IF($J913="",FALSE,IFERROR(INDEX(B!$P$2:$P$61,MATCH($J913,B!$E$2:$E$61,0))="Sim",FALSE))</f>
        <v/>
      </c>
      <c r="AD913" s="20" t="n"/>
      <c r="AE913" s="52">
        <f>IF(H913="","",HOUR(H913))</f>
        <v/>
      </c>
      <c r="AF913" s="52" t="n"/>
    </row>
    <row r="914" ht="19.5" customHeight="1" s="58">
      <c r="A914" s="62">
        <f>IF(G914="","",IF(G914=G913,"",COUNTIF($G$3:$G$976,G914)))</f>
        <v/>
      </c>
      <c r="B914" s="20" t="n"/>
      <c r="C914" s="63">
        <f>IF(G914="","",DAY(G914))</f>
        <v/>
      </c>
      <c r="D914" s="63">
        <f>IF(G914="","",MONTH(G914))</f>
        <v/>
      </c>
      <c r="E914" s="63">
        <f>IF(G914="","",YEAR(G914))</f>
        <v/>
      </c>
      <c r="F914" s="33">
        <f>IF(G914="","",CHOOSE(MONTH(G914),"Janeiro","Fevereiro","Março","Abril","Maio","Junho","Julho","Agosto","Setembro","Outubro","Novembro","Dezembro"))</f>
        <v/>
      </c>
      <c r="G914" s="64" t="n"/>
      <c r="H914" s="65" t="n"/>
      <c r="I914" s="66" t="n"/>
      <c r="J914" s="67" t="n"/>
      <c r="K914" s="67" t="n"/>
      <c r="L914" s="68" t="b">
        <v>0</v>
      </c>
      <c r="M914" s="20" t="n"/>
      <c r="N914" s="69">
        <f>IF($J914="","",IFERROR(INDEX(B!$F$2:$F$61,MATCH($J914,B!$E$2:$E$61,0))&amp;"",""))</f>
        <v/>
      </c>
      <c r="O914" s="69">
        <f>IF($J914="","",IFERROR(INDEX(B!$G$2:$G$61,MATCH($J914,B!$E$2:$E$61,0))&amp;"",""))</f>
        <v/>
      </c>
      <c r="P914" s="69">
        <f>IF($J914="","",IFERROR(INDEX(B!$H$2:$H$61,MATCH($J914,B!$E$2:$E$61,0))&amp;"",""))</f>
        <v/>
      </c>
      <c r="Q914" s="69">
        <f>IF($J914="","",IFERROR(INDEX(B!$I$2:$I$61,MATCH($J914,B!$E$2:$E$61,0))&amp;"",""))</f>
        <v/>
      </c>
      <c r="R914" s="69">
        <f>IF($J914="","",IFERROR(INDEX(B!$J$2:$J$61,MATCH($J914,B!$E$2:$E$61,0))&amp;"",""))</f>
        <v/>
      </c>
      <c r="S914" s="69">
        <f>IF($J914="","",IFERROR(INDEX(B!$K$2:$K$61,MATCH($J914,B!$E$2:$E$61,0))&amp;"",""))</f>
        <v/>
      </c>
      <c r="T914" s="69">
        <f>IF($J914="","",IFERROR(INDEX(B!$L$2:$L$61,MATCH($J914,B!$E$2:$E$61,0))&amp;"",""))</f>
        <v/>
      </c>
      <c r="U914" s="20" t="n"/>
      <c r="V914" s="70">
        <f>IF($J914="","",IFERROR(INDEX(B!$M$2:$M$61,MATCH($J914,B!$E$2:$E$61,0))&amp;"",""))</f>
        <v/>
      </c>
      <c r="W914" s="71">
        <f>IF(I914="","",IFERROR(MID(I914,FIND("/d/",I914)+3,FIND("/edit",I914)-FIND("/d/",I914)-3),I914))</f>
        <v/>
      </c>
      <c r="X914" s="71">
        <f>IF($J914="","",IFERROR(INDEX(B!$C$2:$C$61,MATCH($J914,B!$E$2:$E$61,0))&amp;"",""))</f>
        <v/>
      </c>
      <c r="Y914" s="20" t="n"/>
      <c r="Z914" s="72">
        <f>IF($J914="",FALSE,ISNUMBER(SEARCH("scout",$K914)))</f>
        <v/>
      </c>
      <c r="AA914" s="72">
        <f>IF($J914="",FALSE,IFERROR(INDEX(B!$N$2:$N$61,MATCH($J914,B!$E$2:$E$61,0))="Sim",FALSE))</f>
        <v/>
      </c>
      <c r="AB914" s="72">
        <f>IF($J914="",FALSE,LEFT($X914,2)="XX")</f>
        <v/>
      </c>
      <c r="AC914" s="72">
        <f>IF($J914="",FALSE,IFERROR(INDEX(B!$P$2:$P$61,MATCH($J914,B!$E$2:$E$61,0))="Sim",FALSE))</f>
        <v/>
      </c>
      <c r="AD914" s="20" t="n"/>
      <c r="AE914" s="52">
        <f>IF(H914="","",HOUR(H914))</f>
        <v/>
      </c>
      <c r="AF914" s="52" t="n"/>
    </row>
    <row r="915" ht="19.5" customHeight="1" s="58">
      <c r="A915" s="62">
        <f>IF(G915="","",IF(G915=G914,"",COUNTIF($G$3:$G$976,G915)))</f>
        <v/>
      </c>
      <c r="B915" s="20" t="n"/>
      <c r="C915" s="63">
        <f>IF(G915="","",DAY(G915))</f>
        <v/>
      </c>
      <c r="D915" s="63">
        <f>IF(G915="","",MONTH(G915))</f>
        <v/>
      </c>
      <c r="E915" s="63">
        <f>IF(G915="","",YEAR(G915))</f>
        <v/>
      </c>
      <c r="F915" s="33">
        <f>IF(G915="","",CHOOSE(MONTH(G915),"Janeiro","Fevereiro","Março","Abril","Maio","Junho","Julho","Agosto","Setembro","Outubro","Novembro","Dezembro"))</f>
        <v/>
      </c>
      <c r="G915" s="64" t="n"/>
      <c r="H915" s="65" t="n"/>
      <c r="I915" s="66" t="n"/>
      <c r="J915" s="67" t="n"/>
      <c r="K915" s="67" t="n"/>
      <c r="L915" s="68" t="b">
        <v>0</v>
      </c>
      <c r="M915" s="20" t="n"/>
      <c r="N915" s="69">
        <f>IF($J915="","",IFERROR(INDEX(B!$F$2:$F$61,MATCH($J915,B!$E$2:$E$61,0))&amp;"",""))</f>
        <v/>
      </c>
      <c r="O915" s="69">
        <f>IF($J915="","",IFERROR(INDEX(B!$G$2:$G$61,MATCH($J915,B!$E$2:$E$61,0))&amp;"",""))</f>
        <v/>
      </c>
      <c r="P915" s="69">
        <f>IF($J915="","",IFERROR(INDEX(B!$H$2:$H$61,MATCH($J915,B!$E$2:$E$61,0))&amp;"",""))</f>
        <v/>
      </c>
      <c r="Q915" s="69">
        <f>IF($J915="","",IFERROR(INDEX(B!$I$2:$I$61,MATCH($J915,B!$E$2:$E$61,0))&amp;"",""))</f>
        <v/>
      </c>
      <c r="R915" s="69">
        <f>IF($J915="","",IFERROR(INDEX(B!$J$2:$J$61,MATCH($J915,B!$E$2:$E$61,0))&amp;"",""))</f>
        <v/>
      </c>
      <c r="S915" s="69">
        <f>IF($J915="","",IFERROR(INDEX(B!$K$2:$K$61,MATCH($J915,B!$E$2:$E$61,0))&amp;"",""))</f>
        <v/>
      </c>
      <c r="T915" s="69">
        <f>IF($J915="","",IFERROR(INDEX(B!$L$2:$L$61,MATCH($J915,B!$E$2:$E$61,0))&amp;"",""))</f>
        <v/>
      </c>
      <c r="U915" s="20" t="n"/>
      <c r="V915" s="70">
        <f>IF($J915="","",IFERROR(INDEX(B!$M$2:$M$61,MATCH($J915,B!$E$2:$E$61,0))&amp;"",""))</f>
        <v/>
      </c>
      <c r="W915" s="71">
        <f>IF(I915="","",IFERROR(MID(I915,FIND("/d/",I915)+3,FIND("/edit",I915)-FIND("/d/",I915)-3),I915))</f>
        <v/>
      </c>
      <c r="X915" s="71">
        <f>IF($J915="","",IFERROR(INDEX(B!$C$2:$C$61,MATCH($J915,B!$E$2:$E$61,0))&amp;"",""))</f>
        <v/>
      </c>
      <c r="Y915" s="20" t="n"/>
      <c r="Z915" s="72">
        <f>IF($J915="",FALSE,ISNUMBER(SEARCH("scout",$K915)))</f>
        <v/>
      </c>
      <c r="AA915" s="72">
        <f>IF($J915="",FALSE,IFERROR(INDEX(B!$N$2:$N$61,MATCH($J915,B!$E$2:$E$61,0))="Sim",FALSE))</f>
        <v/>
      </c>
      <c r="AB915" s="72">
        <f>IF($J915="",FALSE,LEFT($X915,2)="XX")</f>
        <v/>
      </c>
      <c r="AC915" s="72">
        <f>IF($J915="",FALSE,IFERROR(INDEX(B!$P$2:$P$61,MATCH($J915,B!$E$2:$E$61,0))="Sim",FALSE))</f>
        <v/>
      </c>
      <c r="AD915" s="20" t="n"/>
      <c r="AE915" s="52">
        <f>IF(H915="","",HOUR(H915))</f>
        <v/>
      </c>
      <c r="AF915" s="52" t="n"/>
    </row>
    <row r="916" ht="19.5" customHeight="1" s="58">
      <c r="A916" s="62">
        <f>IF(G916="","",IF(G916=G915,"",COUNTIF($G$3:$G$976,G916)))</f>
        <v/>
      </c>
      <c r="B916" s="20" t="n"/>
      <c r="C916" s="63">
        <f>IF(G916="","",DAY(G916))</f>
        <v/>
      </c>
      <c r="D916" s="63">
        <f>IF(G916="","",MONTH(G916))</f>
        <v/>
      </c>
      <c r="E916" s="63">
        <f>IF(G916="","",YEAR(G916))</f>
        <v/>
      </c>
      <c r="F916" s="33">
        <f>IF(G916="","",CHOOSE(MONTH(G916),"Janeiro","Fevereiro","Março","Abril","Maio","Junho","Julho","Agosto","Setembro","Outubro","Novembro","Dezembro"))</f>
        <v/>
      </c>
      <c r="G916" s="64" t="n"/>
      <c r="H916" s="65" t="n"/>
      <c r="I916" s="66" t="n"/>
      <c r="J916" s="67" t="n"/>
      <c r="K916" s="67" t="n"/>
      <c r="L916" s="68" t="b">
        <v>0</v>
      </c>
      <c r="M916" s="20" t="n"/>
      <c r="N916" s="69">
        <f>IF($J916="","",IFERROR(INDEX(B!$F$2:$F$61,MATCH($J916,B!$E$2:$E$61,0))&amp;"",""))</f>
        <v/>
      </c>
      <c r="O916" s="69">
        <f>IF($J916="","",IFERROR(INDEX(B!$G$2:$G$61,MATCH($J916,B!$E$2:$E$61,0))&amp;"",""))</f>
        <v/>
      </c>
      <c r="P916" s="69">
        <f>IF($J916="","",IFERROR(INDEX(B!$H$2:$H$61,MATCH($J916,B!$E$2:$E$61,0))&amp;"",""))</f>
        <v/>
      </c>
      <c r="Q916" s="69">
        <f>IF($J916="","",IFERROR(INDEX(B!$I$2:$I$61,MATCH($J916,B!$E$2:$E$61,0))&amp;"",""))</f>
        <v/>
      </c>
      <c r="R916" s="69">
        <f>IF($J916="","",IFERROR(INDEX(B!$J$2:$J$61,MATCH($J916,B!$E$2:$E$61,0))&amp;"",""))</f>
        <v/>
      </c>
      <c r="S916" s="69">
        <f>IF($J916="","",IFERROR(INDEX(B!$K$2:$K$61,MATCH($J916,B!$E$2:$E$61,0))&amp;"",""))</f>
        <v/>
      </c>
      <c r="T916" s="69">
        <f>IF($J916="","",IFERROR(INDEX(B!$L$2:$L$61,MATCH($J916,B!$E$2:$E$61,0))&amp;"",""))</f>
        <v/>
      </c>
      <c r="U916" s="20" t="n"/>
      <c r="V916" s="70">
        <f>IF($J916="","",IFERROR(INDEX(B!$M$2:$M$61,MATCH($J916,B!$E$2:$E$61,0))&amp;"",""))</f>
        <v/>
      </c>
      <c r="W916" s="71">
        <f>IF(I916="","",IFERROR(MID(I916,FIND("/d/",I916)+3,FIND("/edit",I916)-FIND("/d/",I916)-3),I916))</f>
        <v/>
      </c>
      <c r="X916" s="71">
        <f>IF($J916="","",IFERROR(INDEX(B!$C$2:$C$61,MATCH($J916,B!$E$2:$E$61,0))&amp;"",""))</f>
        <v/>
      </c>
      <c r="Y916" s="20" t="n"/>
      <c r="Z916" s="72">
        <f>IF($J916="",FALSE,ISNUMBER(SEARCH("scout",$K916)))</f>
        <v/>
      </c>
      <c r="AA916" s="72">
        <f>IF($J916="",FALSE,IFERROR(INDEX(B!$N$2:$N$61,MATCH($J916,B!$E$2:$E$61,0))="Sim",FALSE))</f>
        <v/>
      </c>
      <c r="AB916" s="72">
        <f>IF($J916="",FALSE,LEFT($X916,2)="XX")</f>
        <v/>
      </c>
      <c r="AC916" s="72">
        <f>IF($J916="",FALSE,IFERROR(INDEX(B!$P$2:$P$61,MATCH($J916,B!$E$2:$E$61,0))="Sim",FALSE))</f>
        <v/>
      </c>
      <c r="AD916" s="20" t="n"/>
      <c r="AE916" s="52">
        <f>IF(H916="","",HOUR(H916))</f>
        <v/>
      </c>
      <c r="AF916" s="52" t="n"/>
    </row>
    <row r="917" ht="19.5" customHeight="1" s="58">
      <c r="A917" s="62">
        <f>IF(G917="","",IF(G917=G916,"",COUNTIF($G$3:$G$976,G917)))</f>
        <v/>
      </c>
      <c r="B917" s="20" t="n"/>
      <c r="C917" s="63">
        <f>IF(G917="","",DAY(G917))</f>
        <v/>
      </c>
      <c r="D917" s="63">
        <f>IF(G917="","",MONTH(G917))</f>
        <v/>
      </c>
      <c r="E917" s="63">
        <f>IF(G917="","",YEAR(G917))</f>
        <v/>
      </c>
      <c r="F917" s="33">
        <f>IF(G917="","",CHOOSE(MONTH(G917),"Janeiro","Fevereiro","Março","Abril","Maio","Junho","Julho","Agosto","Setembro","Outubro","Novembro","Dezembro"))</f>
        <v/>
      </c>
      <c r="G917" s="64" t="n"/>
      <c r="H917" s="65" t="n"/>
      <c r="I917" s="66" t="n"/>
      <c r="J917" s="67" t="n"/>
      <c r="K917" s="67" t="n"/>
      <c r="L917" s="68" t="b">
        <v>0</v>
      </c>
      <c r="M917" s="20" t="n"/>
      <c r="N917" s="69">
        <f>IF($J917="","",IFERROR(INDEX(B!$F$2:$F$61,MATCH($J917,B!$E$2:$E$61,0))&amp;"",""))</f>
        <v/>
      </c>
      <c r="O917" s="69">
        <f>IF($J917="","",IFERROR(INDEX(B!$G$2:$G$61,MATCH($J917,B!$E$2:$E$61,0))&amp;"",""))</f>
        <v/>
      </c>
      <c r="P917" s="69">
        <f>IF($J917="","",IFERROR(INDEX(B!$H$2:$H$61,MATCH($J917,B!$E$2:$E$61,0))&amp;"",""))</f>
        <v/>
      </c>
      <c r="Q917" s="69">
        <f>IF($J917="","",IFERROR(INDEX(B!$I$2:$I$61,MATCH($J917,B!$E$2:$E$61,0))&amp;"",""))</f>
        <v/>
      </c>
      <c r="R917" s="69">
        <f>IF($J917="","",IFERROR(INDEX(B!$J$2:$J$61,MATCH($J917,B!$E$2:$E$61,0))&amp;"",""))</f>
        <v/>
      </c>
      <c r="S917" s="69">
        <f>IF($J917="","",IFERROR(INDEX(B!$K$2:$K$61,MATCH($J917,B!$E$2:$E$61,0))&amp;"",""))</f>
        <v/>
      </c>
      <c r="T917" s="69">
        <f>IF($J917="","",IFERROR(INDEX(B!$L$2:$L$61,MATCH($J917,B!$E$2:$E$61,0))&amp;"",""))</f>
        <v/>
      </c>
      <c r="U917" s="20" t="n"/>
      <c r="V917" s="70">
        <f>IF($J917="","",IFERROR(INDEX(B!$M$2:$M$61,MATCH($J917,B!$E$2:$E$61,0))&amp;"",""))</f>
        <v/>
      </c>
      <c r="W917" s="71">
        <f>IF(I917="","",IFERROR(MID(I917,FIND("/d/",I917)+3,FIND("/edit",I917)-FIND("/d/",I917)-3),I917))</f>
        <v/>
      </c>
      <c r="X917" s="71">
        <f>IF($J917="","",IFERROR(INDEX(B!$C$2:$C$61,MATCH($J917,B!$E$2:$E$61,0))&amp;"",""))</f>
        <v/>
      </c>
      <c r="Y917" s="20" t="n"/>
      <c r="Z917" s="72">
        <f>IF($J917="",FALSE,ISNUMBER(SEARCH("scout",$K917)))</f>
        <v/>
      </c>
      <c r="AA917" s="72">
        <f>IF($J917="",FALSE,IFERROR(INDEX(B!$N$2:$N$61,MATCH($J917,B!$E$2:$E$61,0))="Sim",FALSE))</f>
        <v/>
      </c>
      <c r="AB917" s="72">
        <f>IF($J917="",FALSE,LEFT($X917,2)="XX")</f>
        <v/>
      </c>
      <c r="AC917" s="72">
        <f>IF($J917="",FALSE,IFERROR(INDEX(B!$P$2:$P$61,MATCH($J917,B!$E$2:$E$61,0))="Sim",FALSE))</f>
        <v/>
      </c>
      <c r="AD917" s="20" t="n"/>
      <c r="AE917" s="52">
        <f>IF(H917="","",HOUR(H917))</f>
        <v/>
      </c>
      <c r="AF917" s="52" t="n"/>
    </row>
    <row r="918" ht="19.5" customHeight="1" s="58">
      <c r="A918" s="62">
        <f>IF(G918="","",IF(G918=G917,"",COUNTIF($G$3:$G$976,G918)))</f>
        <v/>
      </c>
      <c r="B918" s="20" t="n"/>
      <c r="C918" s="63">
        <f>IF(G918="","",DAY(G918))</f>
        <v/>
      </c>
      <c r="D918" s="63">
        <f>IF(G918="","",MONTH(G918))</f>
        <v/>
      </c>
      <c r="E918" s="63">
        <f>IF(G918="","",YEAR(G918))</f>
        <v/>
      </c>
      <c r="F918" s="33">
        <f>IF(G918="","",CHOOSE(MONTH(G918),"Janeiro","Fevereiro","Março","Abril","Maio","Junho","Julho","Agosto","Setembro","Outubro","Novembro","Dezembro"))</f>
        <v/>
      </c>
      <c r="G918" s="64" t="n"/>
      <c r="H918" s="65" t="n"/>
      <c r="I918" s="66" t="n"/>
      <c r="J918" s="67" t="n"/>
      <c r="K918" s="67" t="n"/>
      <c r="L918" s="68" t="b">
        <v>0</v>
      </c>
      <c r="M918" s="20" t="n"/>
      <c r="N918" s="69">
        <f>IF($J918="","",IFERROR(INDEX(B!$F$2:$F$61,MATCH($J918,B!$E$2:$E$61,0))&amp;"",""))</f>
        <v/>
      </c>
      <c r="O918" s="69">
        <f>IF($J918="","",IFERROR(INDEX(B!$G$2:$G$61,MATCH($J918,B!$E$2:$E$61,0))&amp;"",""))</f>
        <v/>
      </c>
      <c r="P918" s="69">
        <f>IF($J918="","",IFERROR(INDEX(B!$H$2:$H$61,MATCH($J918,B!$E$2:$E$61,0))&amp;"",""))</f>
        <v/>
      </c>
      <c r="Q918" s="69">
        <f>IF($J918="","",IFERROR(INDEX(B!$I$2:$I$61,MATCH($J918,B!$E$2:$E$61,0))&amp;"",""))</f>
        <v/>
      </c>
      <c r="R918" s="69">
        <f>IF($J918="","",IFERROR(INDEX(B!$J$2:$J$61,MATCH($J918,B!$E$2:$E$61,0))&amp;"",""))</f>
        <v/>
      </c>
      <c r="S918" s="69">
        <f>IF($J918="","",IFERROR(INDEX(B!$K$2:$K$61,MATCH($J918,B!$E$2:$E$61,0))&amp;"",""))</f>
        <v/>
      </c>
      <c r="T918" s="69">
        <f>IF($J918="","",IFERROR(INDEX(B!$L$2:$L$61,MATCH($J918,B!$E$2:$E$61,0))&amp;"",""))</f>
        <v/>
      </c>
      <c r="U918" s="20" t="n"/>
      <c r="V918" s="70">
        <f>IF($J918="","",IFERROR(INDEX(B!$M$2:$M$61,MATCH($J918,B!$E$2:$E$61,0))&amp;"",""))</f>
        <v/>
      </c>
      <c r="W918" s="71">
        <f>IF(I918="","",IFERROR(MID(I918,FIND("/d/",I918)+3,FIND("/edit",I918)-FIND("/d/",I918)-3),I918))</f>
        <v/>
      </c>
      <c r="X918" s="71">
        <f>IF($J918="","",IFERROR(INDEX(B!$C$2:$C$61,MATCH($J918,B!$E$2:$E$61,0))&amp;"",""))</f>
        <v/>
      </c>
      <c r="Y918" s="20" t="n"/>
      <c r="Z918" s="72">
        <f>IF($J918="",FALSE,ISNUMBER(SEARCH("scout",$K918)))</f>
        <v/>
      </c>
      <c r="AA918" s="72">
        <f>IF($J918="",FALSE,IFERROR(INDEX(B!$N$2:$N$61,MATCH($J918,B!$E$2:$E$61,0))="Sim",FALSE))</f>
        <v/>
      </c>
      <c r="AB918" s="72">
        <f>IF($J918="",FALSE,LEFT($X918,2)="XX")</f>
        <v/>
      </c>
      <c r="AC918" s="72">
        <f>IF($J918="",FALSE,IFERROR(INDEX(B!$P$2:$P$61,MATCH($J918,B!$E$2:$E$61,0))="Sim",FALSE))</f>
        <v/>
      </c>
      <c r="AD918" s="20" t="n"/>
      <c r="AE918" s="52">
        <f>IF(H918="","",HOUR(H918))</f>
        <v/>
      </c>
      <c r="AF918" s="52" t="n"/>
    </row>
    <row r="919" ht="19.5" customHeight="1" s="58">
      <c r="A919" s="62">
        <f>IF(G919="","",IF(G919=G918,"",COUNTIF($G$3:$G$976,G919)))</f>
        <v/>
      </c>
      <c r="B919" s="20" t="n"/>
      <c r="C919" s="63">
        <f>IF(G919="","",DAY(G919))</f>
        <v/>
      </c>
      <c r="D919" s="63">
        <f>IF(G919="","",MONTH(G919))</f>
        <v/>
      </c>
      <c r="E919" s="63">
        <f>IF(G919="","",YEAR(G919))</f>
        <v/>
      </c>
      <c r="F919" s="33">
        <f>IF(G919="","",CHOOSE(MONTH(G919),"Janeiro","Fevereiro","Março","Abril","Maio","Junho","Julho","Agosto","Setembro","Outubro","Novembro","Dezembro"))</f>
        <v/>
      </c>
      <c r="G919" s="64" t="n"/>
      <c r="H919" s="65" t="n"/>
      <c r="I919" s="66" t="n"/>
      <c r="J919" s="67" t="n"/>
      <c r="K919" s="67" t="n"/>
      <c r="L919" s="68" t="b">
        <v>0</v>
      </c>
      <c r="M919" s="20" t="n"/>
      <c r="N919" s="69">
        <f>IF($J919="","",IFERROR(INDEX(B!$F$2:$F$61,MATCH($J919,B!$E$2:$E$61,0))&amp;"",""))</f>
        <v/>
      </c>
      <c r="O919" s="69">
        <f>IF($J919="","",IFERROR(INDEX(B!$G$2:$G$61,MATCH($J919,B!$E$2:$E$61,0))&amp;"",""))</f>
        <v/>
      </c>
      <c r="P919" s="69">
        <f>IF($J919="","",IFERROR(INDEX(B!$H$2:$H$61,MATCH($J919,B!$E$2:$E$61,0))&amp;"",""))</f>
        <v/>
      </c>
      <c r="Q919" s="69">
        <f>IF($J919="","",IFERROR(INDEX(B!$I$2:$I$61,MATCH($J919,B!$E$2:$E$61,0))&amp;"",""))</f>
        <v/>
      </c>
      <c r="R919" s="69">
        <f>IF($J919="","",IFERROR(INDEX(B!$J$2:$J$61,MATCH($J919,B!$E$2:$E$61,0))&amp;"",""))</f>
        <v/>
      </c>
      <c r="S919" s="69">
        <f>IF($J919="","",IFERROR(INDEX(B!$K$2:$K$61,MATCH($J919,B!$E$2:$E$61,0))&amp;"",""))</f>
        <v/>
      </c>
      <c r="T919" s="69">
        <f>IF($J919="","",IFERROR(INDEX(B!$L$2:$L$61,MATCH($J919,B!$E$2:$E$61,0))&amp;"",""))</f>
        <v/>
      </c>
      <c r="U919" s="20" t="n"/>
      <c r="V919" s="70">
        <f>IF($J919="","",IFERROR(INDEX(B!$M$2:$M$61,MATCH($J919,B!$E$2:$E$61,0))&amp;"",""))</f>
        <v/>
      </c>
      <c r="W919" s="71">
        <f>IF(I919="","",IFERROR(MID(I919,FIND("/d/",I919)+3,FIND("/edit",I919)-FIND("/d/",I919)-3),I919))</f>
        <v/>
      </c>
      <c r="X919" s="71">
        <f>IF($J919="","",IFERROR(INDEX(B!$C$2:$C$61,MATCH($J919,B!$E$2:$E$61,0))&amp;"",""))</f>
        <v/>
      </c>
      <c r="Y919" s="20" t="n"/>
      <c r="Z919" s="72">
        <f>IF($J919="",FALSE,ISNUMBER(SEARCH("scout",$K919)))</f>
        <v/>
      </c>
      <c r="AA919" s="72">
        <f>IF($J919="",FALSE,IFERROR(INDEX(B!$N$2:$N$61,MATCH($J919,B!$E$2:$E$61,0))="Sim",FALSE))</f>
        <v/>
      </c>
      <c r="AB919" s="72">
        <f>IF($J919="",FALSE,LEFT($X919,2)="XX")</f>
        <v/>
      </c>
      <c r="AC919" s="72">
        <f>IF($J919="",FALSE,IFERROR(INDEX(B!$P$2:$P$61,MATCH($J919,B!$E$2:$E$61,0))="Sim",FALSE))</f>
        <v/>
      </c>
      <c r="AD919" s="20" t="n"/>
      <c r="AE919" s="52">
        <f>IF(H919="","",HOUR(H919))</f>
        <v/>
      </c>
      <c r="AF919" s="52" t="n"/>
    </row>
    <row r="920" ht="19.5" customHeight="1" s="58">
      <c r="A920" s="62">
        <f>IF(G920="","",IF(G920=G919,"",COUNTIF($G$3:$G$976,G920)))</f>
        <v/>
      </c>
      <c r="B920" s="20" t="n"/>
      <c r="C920" s="63">
        <f>IF(G920="","",DAY(G920))</f>
        <v/>
      </c>
      <c r="D920" s="63">
        <f>IF(G920="","",MONTH(G920))</f>
        <v/>
      </c>
      <c r="E920" s="63">
        <f>IF(G920="","",YEAR(G920))</f>
        <v/>
      </c>
      <c r="F920" s="33">
        <f>IF(G920="","",CHOOSE(MONTH(G920),"Janeiro","Fevereiro","Março","Abril","Maio","Junho","Julho","Agosto","Setembro","Outubro","Novembro","Dezembro"))</f>
        <v/>
      </c>
      <c r="G920" s="64" t="n"/>
      <c r="H920" s="65" t="n"/>
      <c r="I920" s="66" t="n"/>
      <c r="J920" s="67" t="n"/>
      <c r="K920" s="67" t="n"/>
      <c r="L920" s="68" t="b">
        <v>0</v>
      </c>
      <c r="M920" s="20" t="n"/>
      <c r="N920" s="69">
        <f>IF($J920="","",IFERROR(INDEX(B!$F$2:$F$61,MATCH($J920,B!$E$2:$E$61,0))&amp;"",""))</f>
        <v/>
      </c>
      <c r="O920" s="69">
        <f>IF($J920="","",IFERROR(INDEX(B!$G$2:$G$61,MATCH($J920,B!$E$2:$E$61,0))&amp;"",""))</f>
        <v/>
      </c>
      <c r="P920" s="69">
        <f>IF($J920="","",IFERROR(INDEX(B!$H$2:$H$61,MATCH($J920,B!$E$2:$E$61,0))&amp;"",""))</f>
        <v/>
      </c>
      <c r="Q920" s="69">
        <f>IF($J920="","",IFERROR(INDEX(B!$I$2:$I$61,MATCH($J920,B!$E$2:$E$61,0))&amp;"",""))</f>
        <v/>
      </c>
      <c r="R920" s="69">
        <f>IF($J920="","",IFERROR(INDEX(B!$J$2:$J$61,MATCH($J920,B!$E$2:$E$61,0))&amp;"",""))</f>
        <v/>
      </c>
      <c r="S920" s="69">
        <f>IF($J920="","",IFERROR(INDEX(B!$K$2:$K$61,MATCH($J920,B!$E$2:$E$61,0))&amp;"",""))</f>
        <v/>
      </c>
      <c r="T920" s="69">
        <f>IF($J920="","",IFERROR(INDEX(B!$L$2:$L$61,MATCH($J920,B!$E$2:$E$61,0))&amp;"",""))</f>
        <v/>
      </c>
      <c r="U920" s="20" t="n"/>
      <c r="V920" s="70">
        <f>IF($J920="","",IFERROR(INDEX(B!$M$2:$M$61,MATCH($J920,B!$E$2:$E$61,0))&amp;"",""))</f>
        <v/>
      </c>
      <c r="W920" s="71">
        <f>IF(I920="","",IFERROR(MID(I920,FIND("/d/",I920)+3,FIND("/edit",I920)-FIND("/d/",I920)-3),I920))</f>
        <v/>
      </c>
      <c r="X920" s="71">
        <f>IF($J920="","",IFERROR(INDEX(B!$C$2:$C$61,MATCH($J920,B!$E$2:$E$61,0))&amp;"",""))</f>
        <v/>
      </c>
      <c r="Y920" s="20" t="n"/>
      <c r="Z920" s="72">
        <f>IF($J920="",FALSE,ISNUMBER(SEARCH("scout",$K920)))</f>
        <v/>
      </c>
      <c r="AA920" s="72">
        <f>IF($J920="",FALSE,IFERROR(INDEX(B!$N$2:$N$61,MATCH($J920,B!$E$2:$E$61,0))="Sim",FALSE))</f>
        <v/>
      </c>
      <c r="AB920" s="72">
        <f>IF($J920="",FALSE,LEFT($X920,2)="XX")</f>
        <v/>
      </c>
      <c r="AC920" s="72">
        <f>IF($J920="",FALSE,IFERROR(INDEX(B!$P$2:$P$61,MATCH($J920,B!$E$2:$E$61,0))="Sim",FALSE))</f>
        <v/>
      </c>
      <c r="AD920" s="20" t="n"/>
      <c r="AE920" s="52">
        <f>IF(H920="","",HOUR(H920))</f>
        <v/>
      </c>
      <c r="AF920" s="52" t="n"/>
    </row>
    <row r="921" ht="19.5" customHeight="1" s="58">
      <c r="A921" s="62">
        <f>IF(G921="","",IF(G921=G920,"",COUNTIF($G$3:$G$976,G921)))</f>
        <v/>
      </c>
      <c r="B921" s="20" t="n"/>
      <c r="C921" s="63">
        <f>IF(G921="","",DAY(G921))</f>
        <v/>
      </c>
      <c r="D921" s="63">
        <f>IF(G921="","",MONTH(G921))</f>
        <v/>
      </c>
      <c r="E921" s="63">
        <f>IF(G921="","",YEAR(G921))</f>
        <v/>
      </c>
      <c r="F921" s="33">
        <f>IF(G921="","",CHOOSE(MONTH(G921),"Janeiro","Fevereiro","Março","Abril","Maio","Junho","Julho","Agosto","Setembro","Outubro","Novembro","Dezembro"))</f>
        <v/>
      </c>
      <c r="G921" s="64" t="n"/>
      <c r="H921" s="65" t="n"/>
      <c r="I921" s="66" t="n"/>
      <c r="J921" s="67" t="n"/>
      <c r="K921" s="67" t="n"/>
      <c r="L921" s="68" t="b">
        <v>0</v>
      </c>
      <c r="M921" s="20" t="n"/>
      <c r="N921" s="69">
        <f>IF($J921="","",IFERROR(INDEX(B!$F$2:$F$61,MATCH($J921,B!$E$2:$E$61,0))&amp;"",""))</f>
        <v/>
      </c>
      <c r="O921" s="69">
        <f>IF($J921="","",IFERROR(INDEX(B!$G$2:$G$61,MATCH($J921,B!$E$2:$E$61,0))&amp;"",""))</f>
        <v/>
      </c>
      <c r="P921" s="69">
        <f>IF($J921="","",IFERROR(INDEX(B!$H$2:$H$61,MATCH($J921,B!$E$2:$E$61,0))&amp;"",""))</f>
        <v/>
      </c>
      <c r="Q921" s="69">
        <f>IF($J921="","",IFERROR(INDEX(B!$I$2:$I$61,MATCH($J921,B!$E$2:$E$61,0))&amp;"",""))</f>
        <v/>
      </c>
      <c r="R921" s="69">
        <f>IF($J921="","",IFERROR(INDEX(B!$J$2:$J$61,MATCH($J921,B!$E$2:$E$61,0))&amp;"",""))</f>
        <v/>
      </c>
      <c r="S921" s="69">
        <f>IF($J921="","",IFERROR(INDEX(B!$K$2:$K$61,MATCH($J921,B!$E$2:$E$61,0))&amp;"",""))</f>
        <v/>
      </c>
      <c r="T921" s="69">
        <f>IF($J921="","",IFERROR(INDEX(B!$L$2:$L$61,MATCH($J921,B!$E$2:$E$61,0))&amp;"",""))</f>
        <v/>
      </c>
      <c r="U921" s="20" t="n"/>
      <c r="V921" s="70">
        <f>IF($J921="","",IFERROR(INDEX(B!$M$2:$M$61,MATCH($J921,B!$E$2:$E$61,0))&amp;"",""))</f>
        <v/>
      </c>
      <c r="W921" s="71">
        <f>IF(I921="","",IFERROR(MID(I921,FIND("/d/",I921)+3,FIND("/edit",I921)-FIND("/d/",I921)-3),I921))</f>
        <v/>
      </c>
      <c r="X921" s="71">
        <f>IF($J921="","",IFERROR(INDEX(B!$C$2:$C$61,MATCH($J921,B!$E$2:$E$61,0))&amp;"",""))</f>
        <v/>
      </c>
      <c r="Y921" s="20" t="n"/>
      <c r="Z921" s="72">
        <f>IF($J921="",FALSE,ISNUMBER(SEARCH("scout",$K921)))</f>
        <v/>
      </c>
      <c r="AA921" s="72">
        <f>IF($J921="",FALSE,IFERROR(INDEX(B!$N$2:$N$61,MATCH($J921,B!$E$2:$E$61,0))="Sim",FALSE))</f>
        <v/>
      </c>
      <c r="AB921" s="72">
        <f>IF($J921="",FALSE,LEFT($X921,2)="XX")</f>
        <v/>
      </c>
      <c r="AC921" s="72">
        <f>IF($J921="",FALSE,IFERROR(INDEX(B!$P$2:$P$61,MATCH($J921,B!$E$2:$E$61,0))="Sim",FALSE))</f>
        <v/>
      </c>
      <c r="AD921" s="20" t="n"/>
      <c r="AE921" s="52">
        <f>IF(H921="","",HOUR(H921))</f>
        <v/>
      </c>
      <c r="AF921" s="52" t="n"/>
    </row>
    <row r="922" ht="19.5" customHeight="1" s="58">
      <c r="A922" s="62">
        <f>IF(G922="","",IF(G922=G921,"",COUNTIF($G$3:$G$976,G922)))</f>
        <v/>
      </c>
      <c r="B922" s="20" t="n"/>
      <c r="C922" s="63">
        <f>IF(G922="","",DAY(G922))</f>
        <v/>
      </c>
      <c r="D922" s="63">
        <f>IF(G922="","",MONTH(G922))</f>
        <v/>
      </c>
      <c r="E922" s="63">
        <f>IF(G922="","",YEAR(G922))</f>
        <v/>
      </c>
      <c r="F922" s="33">
        <f>IF(G922="","",CHOOSE(MONTH(G922),"Janeiro","Fevereiro","Março","Abril","Maio","Junho","Julho","Agosto","Setembro","Outubro","Novembro","Dezembro"))</f>
        <v/>
      </c>
      <c r="G922" s="64" t="n"/>
      <c r="H922" s="65" t="n"/>
      <c r="I922" s="66" t="n"/>
      <c r="J922" s="67" t="n"/>
      <c r="K922" s="67" t="n"/>
      <c r="L922" s="68" t="b">
        <v>0</v>
      </c>
      <c r="M922" s="20" t="n"/>
      <c r="N922" s="69">
        <f>IF($J922="","",IFERROR(INDEX(B!$F$2:$F$61,MATCH($J922,B!$E$2:$E$61,0))&amp;"",""))</f>
        <v/>
      </c>
      <c r="O922" s="69">
        <f>IF($J922="","",IFERROR(INDEX(B!$G$2:$G$61,MATCH($J922,B!$E$2:$E$61,0))&amp;"",""))</f>
        <v/>
      </c>
      <c r="P922" s="69">
        <f>IF($J922="","",IFERROR(INDEX(B!$H$2:$H$61,MATCH($J922,B!$E$2:$E$61,0))&amp;"",""))</f>
        <v/>
      </c>
      <c r="Q922" s="69">
        <f>IF($J922="","",IFERROR(INDEX(B!$I$2:$I$61,MATCH($J922,B!$E$2:$E$61,0))&amp;"",""))</f>
        <v/>
      </c>
      <c r="R922" s="69">
        <f>IF($J922="","",IFERROR(INDEX(B!$J$2:$J$61,MATCH($J922,B!$E$2:$E$61,0))&amp;"",""))</f>
        <v/>
      </c>
      <c r="S922" s="69">
        <f>IF($J922="","",IFERROR(INDEX(B!$K$2:$K$61,MATCH($J922,B!$E$2:$E$61,0))&amp;"",""))</f>
        <v/>
      </c>
      <c r="T922" s="69">
        <f>IF($J922="","",IFERROR(INDEX(B!$L$2:$L$61,MATCH($J922,B!$E$2:$E$61,0))&amp;"",""))</f>
        <v/>
      </c>
      <c r="U922" s="20" t="n"/>
      <c r="V922" s="70">
        <f>IF($J922="","",IFERROR(INDEX(B!$M$2:$M$61,MATCH($J922,B!$E$2:$E$61,0))&amp;"",""))</f>
        <v/>
      </c>
      <c r="W922" s="71">
        <f>IF(I922="","",IFERROR(MID(I922,FIND("/d/",I922)+3,FIND("/edit",I922)-FIND("/d/",I922)-3),I922))</f>
        <v/>
      </c>
      <c r="X922" s="71">
        <f>IF($J922="","",IFERROR(INDEX(B!$C$2:$C$61,MATCH($J922,B!$E$2:$E$61,0))&amp;"",""))</f>
        <v/>
      </c>
      <c r="Y922" s="20" t="n"/>
      <c r="Z922" s="72">
        <f>IF($J922="",FALSE,ISNUMBER(SEARCH("scout",$K922)))</f>
        <v/>
      </c>
      <c r="AA922" s="72">
        <f>IF($J922="",FALSE,IFERROR(INDEX(B!$N$2:$N$61,MATCH($J922,B!$E$2:$E$61,0))="Sim",FALSE))</f>
        <v/>
      </c>
      <c r="AB922" s="72">
        <f>IF($J922="",FALSE,LEFT($X922,2)="XX")</f>
        <v/>
      </c>
      <c r="AC922" s="72">
        <f>IF($J922="",FALSE,IFERROR(INDEX(B!$P$2:$P$61,MATCH($J922,B!$E$2:$E$61,0))="Sim",FALSE))</f>
        <v/>
      </c>
      <c r="AD922" s="20" t="n"/>
      <c r="AE922" s="52">
        <f>IF(H922="","",HOUR(H922))</f>
        <v/>
      </c>
      <c r="AF922" s="52" t="n"/>
    </row>
    <row r="923" ht="19.5" customHeight="1" s="58">
      <c r="A923" s="62">
        <f>IF(G923="","",IF(G923=G922,"",COUNTIF($G$3:$G$976,G923)))</f>
        <v/>
      </c>
      <c r="B923" s="20" t="n"/>
      <c r="C923" s="63">
        <f>IF(G923="","",DAY(G923))</f>
        <v/>
      </c>
      <c r="D923" s="63">
        <f>IF(G923="","",MONTH(G923))</f>
        <v/>
      </c>
      <c r="E923" s="63">
        <f>IF(G923="","",YEAR(G923))</f>
        <v/>
      </c>
      <c r="F923" s="33">
        <f>IF(G923="","",CHOOSE(MONTH(G923),"Janeiro","Fevereiro","Março","Abril","Maio","Junho","Julho","Agosto","Setembro","Outubro","Novembro","Dezembro"))</f>
        <v/>
      </c>
      <c r="G923" s="64" t="n"/>
      <c r="H923" s="65" t="n"/>
      <c r="I923" s="66" t="n"/>
      <c r="J923" s="67" t="n"/>
      <c r="K923" s="67" t="n"/>
      <c r="L923" s="68" t="b">
        <v>0</v>
      </c>
      <c r="M923" s="20" t="n"/>
      <c r="N923" s="69">
        <f>IF($J923="","",IFERROR(INDEX(B!$F$2:$F$61,MATCH($J923,B!$E$2:$E$61,0))&amp;"",""))</f>
        <v/>
      </c>
      <c r="O923" s="69">
        <f>IF($J923="","",IFERROR(INDEX(B!$G$2:$G$61,MATCH($J923,B!$E$2:$E$61,0))&amp;"",""))</f>
        <v/>
      </c>
      <c r="P923" s="69">
        <f>IF($J923="","",IFERROR(INDEX(B!$H$2:$H$61,MATCH($J923,B!$E$2:$E$61,0))&amp;"",""))</f>
        <v/>
      </c>
      <c r="Q923" s="69">
        <f>IF($J923="","",IFERROR(INDEX(B!$I$2:$I$61,MATCH($J923,B!$E$2:$E$61,0))&amp;"",""))</f>
        <v/>
      </c>
      <c r="R923" s="69">
        <f>IF($J923="","",IFERROR(INDEX(B!$J$2:$J$61,MATCH($J923,B!$E$2:$E$61,0))&amp;"",""))</f>
        <v/>
      </c>
      <c r="S923" s="69">
        <f>IF($J923="","",IFERROR(INDEX(B!$K$2:$K$61,MATCH($J923,B!$E$2:$E$61,0))&amp;"",""))</f>
        <v/>
      </c>
      <c r="T923" s="69">
        <f>IF($J923="","",IFERROR(INDEX(B!$L$2:$L$61,MATCH($J923,B!$E$2:$E$61,0))&amp;"",""))</f>
        <v/>
      </c>
      <c r="U923" s="20" t="n"/>
      <c r="V923" s="70">
        <f>IF($J923="","",IFERROR(INDEX(B!$M$2:$M$61,MATCH($J923,B!$E$2:$E$61,0))&amp;"",""))</f>
        <v/>
      </c>
      <c r="W923" s="71">
        <f>IF(I923="","",IFERROR(MID(I923,FIND("/d/",I923)+3,FIND("/edit",I923)-FIND("/d/",I923)-3),I923))</f>
        <v/>
      </c>
      <c r="X923" s="71">
        <f>IF($J923="","",IFERROR(INDEX(B!$C$2:$C$61,MATCH($J923,B!$E$2:$E$61,0))&amp;"",""))</f>
        <v/>
      </c>
      <c r="Y923" s="20" t="n"/>
      <c r="Z923" s="72">
        <f>IF($J923="",FALSE,ISNUMBER(SEARCH("scout",$K923)))</f>
        <v/>
      </c>
      <c r="AA923" s="72">
        <f>IF($J923="",FALSE,IFERROR(INDEX(B!$N$2:$N$61,MATCH($J923,B!$E$2:$E$61,0))="Sim",FALSE))</f>
        <v/>
      </c>
      <c r="AB923" s="72">
        <f>IF($J923="",FALSE,LEFT($X923,2)="XX")</f>
        <v/>
      </c>
      <c r="AC923" s="72">
        <f>IF($J923="",FALSE,IFERROR(INDEX(B!$P$2:$P$61,MATCH($J923,B!$E$2:$E$61,0))="Sim",FALSE))</f>
        <v/>
      </c>
      <c r="AD923" s="20" t="n"/>
      <c r="AE923" s="52">
        <f>IF(H923="","",HOUR(H923))</f>
        <v/>
      </c>
      <c r="AF923" s="52" t="n"/>
    </row>
    <row r="924" ht="19.5" customHeight="1" s="58">
      <c r="A924" s="62">
        <f>IF(G924="","",IF(G924=G923,"",COUNTIF($G$3:$G$976,G924)))</f>
        <v/>
      </c>
      <c r="B924" s="20" t="n"/>
      <c r="C924" s="63">
        <f>IF(G924="","",DAY(G924))</f>
        <v/>
      </c>
      <c r="D924" s="63">
        <f>IF(G924="","",MONTH(G924))</f>
        <v/>
      </c>
      <c r="E924" s="63">
        <f>IF(G924="","",YEAR(G924))</f>
        <v/>
      </c>
      <c r="F924" s="33">
        <f>IF(G924="","",CHOOSE(MONTH(G924),"Janeiro","Fevereiro","Março","Abril","Maio","Junho","Julho","Agosto","Setembro","Outubro","Novembro","Dezembro"))</f>
        <v/>
      </c>
      <c r="G924" s="64" t="n"/>
      <c r="H924" s="65" t="n"/>
      <c r="I924" s="66" t="n"/>
      <c r="J924" s="67" t="n"/>
      <c r="K924" s="67" t="n"/>
      <c r="L924" s="68" t="b">
        <v>0</v>
      </c>
      <c r="M924" s="20" t="n"/>
      <c r="N924" s="69">
        <f>IF($J924="","",IFERROR(INDEX(B!$F$2:$F$61,MATCH($J924,B!$E$2:$E$61,0))&amp;"",""))</f>
        <v/>
      </c>
      <c r="O924" s="69">
        <f>IF($J924="","",IFERROR(INDEX(B!$G$2:$G$61,MATCH($J924,B!$E$2:$E$61,0))&amp;"",""))</f>
        <v/>
      </c>
      <c r="P924" s="69">
        <f>IF($J924="","",IFERROR(INDEX(B!$H$2:$H$61,MATCH($J924,B!$E$2:$E$61,0))&amp;"",""))</f>
        <v/>
      </c>
      <c r="Q924" s="69">
        <f>IF($J924="","",IFERROR(INDEX(B!$I$2:$I$61,MATCH($J924,B!$E$2:$E$61,0))&amp;"",""))</f>
        <v/>
      </c>
      <c r="R924" s="69">
        <f>IF($J924="","",IFERROR(INDEX(B!$J$2:$J$61,MATCH($J924,B!$E$2:$E$61,0))&amp;"",""))</f>
        <v/>
      </c>
      <c r="S924" s="69">
        <f>IF($J924="","",IFERROR(INDEX(B!$K$2:$K$61,MATCH($J924,B!$E$2:$E$61,0))&amp;"",""))</f>
        <v/>
      </c>
      <c r="T924" s="69">
        <f>IF($J924="","",IFERROR(INDEX(B!$L$2:$L$61,MATCH($J924,B!$E$2:$E$61,0))&amp;"",""))</f>
        <v/>
      </c>
      <c r="U924" s="20" t="n"/>
      <c r="V924" s="70">
        <f>IF($J924="","",IFERROR(INDEX(B!$M$2:$M$61,MATCH($J924,B!$E$2:$E$61,0))&amp;"",""))</f>
        <v/>
      </c>
      <c r="W924" s="71">
        <f>IF(I924="","",IFERROR(MID(I924,FIND("/d/",I924)+3,FIND("/edit",I924)-FIND("/d/",I924)-3),I924))</f>
        <v/>
      </c>
      <c r="X924" s="71">
        <f>IF($J924="","",IFERROR(INDEX(B!$C$2:$C$61,MATCH($J924,B!$E$2:$E$61,0))&amp;"",""))</f>
        <v/>
      </c>
      <c r="Y924" s="20" t="n"/>
      <c r="Z924" s="72">
        <f>IF($J924="",FALSE,ISNUMBER(SEARCH("scout",$K924)))</f>
        <v/>
      </c>
      <c r="AA924" s="72">
        <f>IF($J924="",FALSE,IFERROR(INDEX(B!$N$2:$N$61,MATCH($J924,B!$E$2:$E$61,0))="Sim",FALSE))</f>
        <v/>
      </c>
      <c r="AB924" s="72">
        <f>IF($J924="",FALSE,LEFT($X924,2)="XX")</f>
        <v/>
      </c>
      <c r="AC924" s="72">
        <f>IF($J924="",FALSE,IFERROR(INDEX(B!$P$2:$P$61,MATCH($J924,B!$E$2:$E$61,0))="Sim",FALSE))</f>
        <v/>
      </c>
      <c r="AD924" s="20" t="n"/>
      <c r="AE924" s="52">
        <f>IF(H924="","",HOUR(H924))</f>
        <v/>
      </c>
      <c r="AF924" s="52" t="n"/>
    </row>
    <row r="925" ht="19.5" customHeight="1" s="58">
      <c r="A925" s="62">
        <f>IF(G925="","",IF(G925=G924,"",COUNTIF($G$3:$G$976,G925)))</f>
        <v/>
      </c>
      <c r="B925" s="20" t="n"/>
      <c r="C925" s="63">
        <f>IF(G925="","",DAY(G925))</f>
        <v/>
      </c>
      <c r="D925" s="63">
        <f>IF(G925="","",MONTH(G925))</f>
        <v/>
      </c>
      <c r="E925" s="63">
        <f>IF(G925="","",YEAR(G925))</f>
        <v/>
      </c>
      <c r="F925" s="33">
        <f>IF(G925="","",CHOOSE(MONTH(G925),"Janeiro","Fevereiro","Março","Abril","Maio","Junho","Julho","Agosto","Setembro","Outubro","Novembro","Dezembro"))</f>
        <v/>
      </c>
      <c r="G925" s="64" t="n"/>
      <c r="H925" s="65" t="n"/>
      <c r="I925" s="66" t="n"/>
      <c r="J925" s="67" t="n"/>
      <c r="K925" s="67" t="n"/>
      <c r="L925" s="68" t="b">
        <v>0</v>
      </c>
      <c r="M925" s="20" t="n"/>
      <c r="N925" s="69">
        <f>IF($J925="","",IFERROR(INDEX(B!$F$2:$F$61,MATCH($J925,B!$E$2:$E$61,0))&amp;"",""))</f>
        <v/>
      </c>
      <c r="O925" s="69">
        <f>IF($J925="","",IFERROR(INDEX(B!$G$2:$G$61,MATCH($J925,B!$E$2:$E$61,0))&amp;"",""))</f>
        <v/>
      </c>
      <c r="P925" s="69">
        <f>IF($J925="","",IFERROR(INDEX(B!$H$2:$H$61,MATCH($J925,B!$E$2:$E$61,0))&amp;"",""))</f>
        <v/>
      </c>
      <c r="Q925" s="69">
        <f>IF($J925="","",IFERROR(INDEX(B!$I$2:$I$61,MATCH($J925,B!$E$2:$E$61,0))&amp;"",""))</f>
        <v/>
      </c>
      <c r="R925" s="69">
        <f>IF($J925="","",IFERROR(INDEX(B!$J$2:$J$61,MATCH($J925,B!$E$2:$E$61,0))&amp;"",""))</f>
        <v/>
      </c>
      <c r="S925" s="69">
        <f>IF($J925="","",IFERROR(INDEX(B!$K$2:$K$61,MATCH($J925,B!$E$2:$E$61,0))&amp;"",""))</f>
        <v/>
      </c>
      <c r="T925" s="69">
        <f>IF($J925="","",IFERROR(INDEX(B!$L$2:$L$61,MATCH($J925,B!$E$2:$E$61,0))&amp;"",""))</f>
        <v/>
      </c>
      <c r="U925" s="20" t="n"/>
      <c r="V925" s="70">
        <f>IF($J925="","",IFERROR(INDEX(B!$M$2:$M$61,MATCH($J925,B!$E$2:$E$61,0))&amp;"",""))</f>
        <v/>
      </c>
      <c r="W925" s="71">
        <f>IF(I925="","",IFERROR(MID(I925,FIND("/d/",I925)+3,FIND("/edit",I925)-FIND("/d/",I925)-3),I925))</f>
        <v/>
      </c>
      <c r="X925" s="71">
        <f>IF($J925="","",IFERROR(INDEX(B!$C$2:$C$61,MATCH($J925,B!$E$2:$E$61,0))&amp;"",""))</f>
        <v/>
      </c>
      <c r="Y925" s="20" t="n"/>
      <c r="Z925" s="72">
        <f>IF($J925="",FALSE,ISNUMBER(SEARCH("scout",$K925)))</f>
        <v/>
      </c>
      <c r="AA925" s="72">
        <f>IF($J925="",FALSE,IFERROR(INDEX(B!$N$2:$N$61,MATCH($J925,B!$E$2:$E$61,0))="Sim",FALSE))</f>
        <v/>
      </c>
      <c r="AB925" s="72">
        <f>IF($J925="",FALSE,LEFT($X925,2)="XX")</f>
        <v/>
      </c>
      <c r="AC925" s="72">
        <f>IF($J925="",FALSE,IFERROR(INDEX(B!$P$2:$P$61,MATCH($J925,B!$E$2:$E$61,0))="Sim",FALSE))</f>
        <v/>
      </c>
      <c r="AD925" s="20" t="n"/>
      <c r="AE925" s="52">
        <f>IF(H925="","",HOUR(H925))</f>
        <v/>
      </c>
      <c r="AF925" s="52" t="n"/>
    </row>
    <row r="926" ht="19.5" customHeight="1" s="58">
      <c r="A926" s="62">
        <f>IF(G926="","",IF(G926=G925,"",COUNTIF($G$3:$G$976,G926)))</f>
        <v/>
      </c>
      <c r="B926" s="20" t="n"/>
      <c r="C926" s="63">
        <f>IF(G926="","",DAY(G926))</f>
        <v/>
      </c>
      <c r="D926" s="63">
        <f>IF(G926="","",MONTH(G926))</f>
        <v/>
      </c>
      <c r="E926" s="63">
        <f>IF(G926="","",YEAR(G926))</f>
        <v/>
      </c>
      <c r="F926" s="33">
        <f>IF(G926="","",CHOOSE(MONTH(G926),"Janeiro","Fevereiro","Março","Abril","Maio","Junho","Julho","Agosto","Setembro","Outubro","Novembro","Dezembro"))</f>
        <v/>
      </c>
      <c r="G926" s="64" t="n"/>
      <c r="H926" s="65" t="n"/>
      <c r="I926" s="66" t="n"/>
      <c r="J926" s="67" t="n"/>
      <c r="K926" s="67" t="n"/>
      <c r="L926" s="68" t="b">
        <v>0</v>
      </c>
      <c r="M926" s="20" t="n"/>
      <c r="N926" s="69">
        <f>IF($J926="","",IFERROR(INDEX(B!$F$2:$F$61,MATCH($J926,B!$E$2:$E$61,0))&amp;"",""))</f>
        <v/>
      </c>
      <c r="O926" s="69">
        <f>IF($J926="","",IFERROR(INDEX(B!$G$2:$G$61,MATCH($J926,B!$E$2:$E$61,0))&amp;"",""))</f>
        <v/>
      </c>
      <c r="P926" s="69">
        <f>IF($J926="","",IFERROR(INDEX(B!$H$2:$H$61,MATCH($J926,B!$E$2:$E$61,0))&amp;"",""))</f>
        <v/>
      </c>
      <c r="Q926" s="69">
        <f>IF($J926="","",IFERROR(INDEX(B!$I$2:$I$61,MATCH($J926,B!$E$2:$E$61,0))&amp;"",""))</f>
        <v/>
      </c>
      <c r="R926" s="69">
        <f>IF($J926="","",IFERROR(INDEX(B!$J$2:$J$61,MATCH($J926,B!$E$2:$E$61,0))&amp;"",""))</f>
        <v/>
      </c>
      <c r="S926" s="69">
        <f>IF($J926="","",IFERROR(INDEX(B!$K$2:$K$61,MATCH($J926,B!$E$2:$E$61,0))&amp;"",""))</f>
        <v/>
      </c>
      <c r="T926" s="69">
        <f>IF($J926="","",IFERROR(INDEX(B!$L$2:$L$61,MATCH($J926,B!$E$2:$E$61,0))&amp;"",""))</f>
        <v/>
      </c>
      <c r="U926" s="20" t="n"/>
      <c r="V926" s="70">
        <f>IF($J926="","",IFERROR(INDEX(B!$M$2:$M$61,MATCH($J926,B!$E$2:$E$61,0))&amp;"",""))</f>
        <v/>
      </c>
      <c r="W926" s="71">
        <f>IF(I926="","",IFERROR(MID(I926,FIND("/d/",I926)+3,FIND("/edit",I926)-FIND("/d/",I926)-3),I926))</f>
        <v/>
      </c>
      <c r="X926" s="71">
        <f>IF($J926="","",IFERROR(INDEX(B!$C$2:$C$61,MATCH($J926,B!$E$2:$E$61,0))&amp;"",""))</f>
        <v/>
      </c>
      <c r="Y926" s="20" t="n"/>
      <c r="Z926" s="72">
        <f>IF($J926="",FALSE,ISNUMBER(SEARCH("scout",$K926)))</f>
        <v/>
      </c>
      <c r="AA926" s="72">
        <f>IF($J926="",FALSE,IFERROR(INDEX(B!$N$2:$N$61,MATCH($J926,B!$E$2:$E$61,0))="Sim",FALSE))</f>
        <v/>
      </c>
      <c r="AB926" s="72">
        <f>IF($J926="",FALSE,LEFT($X926,2)="XX")</f>
        <v/>
      </c>
      <c r="AC926" s="72">
        <f>IF($J926="",FALSE,IFERROR(INDEX(B!$P$2:$P$61,MATCH($J926,B!$E$2:$E$61,0))="Sim",FALSE))</f>
        <v/>
      </c>
      <c r="AD926" s="20" t="n"/>
      <c r="AE926" s="52">
        <f>IF(H926="","",HOUR(H926))</f>
        <v/>
      </c>
      <c r="AF926" s="52" t="n"/>
    </row>
    <row r="927" ht="19.5" customHeight="1" s="58">
      <c r="A927" s="62">
        <f>IF(G927="","",IF(G927=G926,"",COUNTIF($G$3:$G$976,G927)))</f>
        <v/>
      </c>
      <c r="B927" s="20" t="n"/>
      <c r="C927" s="63">
        <f>IF(G927="","",DAY(G927))</f>
        <v/>
      </c>
      <c r="D927" s="63">
        <f>IF(G927="","",MONTH(G927))</f>
        <v/>
      </c>
      <c r="E927" s="63">
        <f>IF(G927="","",YEAR(G927))</f>
        <v/>
      </c>
      <c r="F927" s="33">
        <f>IF(G927="","",CHOOSE(MONTH(G927),"Janeiro","Fevereiro","Março","Abril","Maio","Junho","Julho","Agosto","Setembro","Outubro","Novembro","Dezembro"))</f>
        <v/>
      </c>
      <c r="G927" s="64" t="n"/>
      <c r="H927" s="65" t="n"/>
      <c r="I927" s="66" t="n"/>
      <c r="J927" s="67" t="n"/>
      <c r="K927" s="67" t="n"/>
      <c r="L927" s="68" t="b">
        <v>0</v>
      </c>
      <c r="M927" s="20" t="n"/>
      <c r="N927" s="69">
        <f>IF($J927="","",IFERROR(INDEX(B!$F$2:$F$61,MATCH($J927,B!$E$2:$E$61,0))&amp;"",""))</f>
        <v/>
      </c>
      <c r="O927" s="69">
        <f>IF($J927="","",IFERROR(INDEX(B!$G$2:$G$61,MATCH($J927,B!$E$2:$E$61,0))&amp;"",""))</f>
        <v/>
      </c>
      <c r="P927" s="69">
        <f>IF($J927="","",IFERROR(INDEX(B!$H$2:$H$61,MATCH($J927,B!$E$2:$E$61,0))&amp;"",""))</f>
        <v/>
      </c>
      <c r="Q927" s="69">
        <f>IF($J927="","",IFERROR(INDEX(B!$I$2:$I$61,MATCH($J927,B!$E$2:$E$61,0))&amp;"",""))</f>
        <v/>
      </c>
      <c r="R927" s="69">
        <f>IF($J927="","",IFERROR(INDEX(B!$J$2:$J$61,MATCH($J927,B!$E$2:$E$61,0))&amp;"",""))</f>
        <v/>
      </c>
      <c r="S927" s="69">
        <f>IF($J927="","",IFERROR(INDEX(B!$K$2:$K$61,MATCH($J927,B!$E$2:$E$61,0))&amp;"",""))</f>
        <v/>
      </c>
      <c r="T927" s="69">
        <f>IF($J927="","",IFERROR(INDEX(B!$L$2:$L$61,MATCH($J927,B!$E$2:$E$61,0))&amp;"",""))</f>
        <v/>
      </c>
      <c r="U927" s="20" t="n"/>
      <c r="V927" s="70">
        <f>IF($J927="","",IFERROR(INDEX(B!$M$2:$M$61,MATCH($J927,B!$E$2:$E$61,0))&amp;"",""))</f>
        <v/>
      </c>
      <c r="W927" s="71">
        <f>IF(I927="","",IFERROR(MID(I927,FIND("/d/",I927)+3,FIND("/edit",I927)-FIND("/d/",I927)-3),I927))</f>
        <v/>
      </c>
      <c r="X927" s="71">
        <f>IF($J927="","",IFERROR(INDEX(B!$C$2:$C$61,MATCH($J927,B!$E$2:$E$61,0))&amp;"",""))</f>
        <v/>
      </c>
      <c r="Y927" s="20" t="n"/>
      <c r="Z927" s="72">
        <f>IF($J927="",FALSE,ISNUMBER(SEARCH("scout",$K927)))</f>
        <v/>
      </c>
      <c r="AA927" s="72">
        <f>IF($J927="",FALSE,IFERROR(INDEX(B!$N$2:$N$61,MATCH($J927,B!$E$2:$E$61,0))="Sim",FALSE))</f>
        <v/>
      </c>
      <c r="AB927" s="72">
        <f>IF($J927="",FALSE,LEFT($X927,2)="XX")</f>
        <v/>
      </c>
      <c r="AC927" s="72">
        <f>IF($J927="",FALSE,IFERROR(INDEX(B!$P$2:$P$61,MATCH($J927,B!$E$2:$E$61,0))="Sim",FALSE))</f>
        <v/>
      </c>
      <c r="AD927" s="20" t="n"/>
      <c r="AE927" s="52">
        <f>IF(H927="","",HOUR(H927))</f>
        <v/>
      </c>
      <c r="AF927" s="52" t="n"/>
    </row>
    <row r="928" ht="19.5" customHeight="1" s="58">
      <c r="A928" s="62">
        <f>IF(G928="","",IF(G928=G927,"",COUNTIF($G$3:$G$976,G928)))</f>
        <v/>
      </c>
      <c r="B928" s="20" t="n"/>
      <c r="C928" s="63">
        <f>IF(G928="","",DAY(G928))</f>
        <v/>
      </c>
      <c r="D928" s="63">
        <f>IF(G928="","",MONTH(G928))</f>
        <v/>
      </c>
      <c r="E928" s="63">
        <f>IF(G928="","",YEAR(G928))</f>
        <v/>
      </c>
      <c r="F928" s="33">
        <f>IF(G928="","",CHOOSE(MONTH(G928),"Janeiro","Fevereiro","Março","Abril","Maio","Junho","Julho","Agosto","Setembro","Outubro","Novembro","Dezembro"))</f>
        <v/>
      </c>
      <c r="G928" s="64" t="n"/>
      <c r="H928" s="65" t="n"/>
      <c r="I928" s="66" t="n"/>
      <c r="J928" s="67" t="n"/>
      <c r="K928" s="67" t="n"/>
      <c r="L928" s="68" t="b">
        <v>0</v>
      </c>
      <c r="M928" s="20" t="n"/>
      <c r="N928" s="69">
        <f>IF($J928="","",IFERROR(INDEX(B!$F$2:$F$61,MATCH($J928,B!$E$2:$E$61,0))&amp;"",""))</f>
        <v/>
      </c>
      <c r="O928" s="69">
        <f>IF($J928="","",IFERROR(INDEX(B!$G$2:$G$61,MATCH($J928,B!$E$2:$E$61,0))&amp;"",""))</f>
        <v/>
      </c>
      <c r="P928" s="69">
        <f>IF($J928="","",IFERROR(INDEX(B!$H$2:$H$61,MATCH($J928,B!$E$2:$E$61,0))&amp;"",""))</f>
        <v/>
      </c>
      <c r="Q928" s="69">
        <f>IF($J928="","",IFERROR(INDEX(B!$I$2:$I$61,MATCH($J928,B!$E$2:$E$61,0))&amp;"",""))</f>
        <v/>
      </c>
      <c r="R928" s="69">
        <f>IF($J928="","",IFERROR(INDEX(B!$J$2:$J$61,MATCH($J928,B!$E$2:$E$61,0))&amp;"",""))</f>
        <v/>
      </c>
      <c r="S928" s="69">
        <f>IF($J928="","",IFERROR(INDEX(B!$K$2:$K$61,MATCH($J928,B!$E$2:$E$61,0))&amp;"",""))</f>
        <v/>
      </c>
      <c r="T928" s="69">
        <f>IF($J928="","",IFERROR(INDEX(B!$L$2:$L$61,MATCH($J928,B!$E$2:$E$61,0))&amp;"",""))</f>
        <v/>
      </c>
      <c r="U928" s="20" t="n"/>
      <c r="V928" s="70">
        <f>IF($J928="","",IFERROR(INDEX(B!$M$2:$M$61,MATCH($J928,B!$E$2:$E$61,0))&amp;"",""))</f>
        <v/>
      </c>
      <c r="W928" s="71">
        <f>IF(I928="","",IFERROR(MID(I928,FIND("/d/",I928)+3,FIND("/edit",I928)-FIND("/d/",I928)-3),I928))</f>
        <v/>
      </c>
      <c r="X928" s="71">
        <f>IF($J928="","",IFERROR(INDEX(B!$C$2:$C$61,MATCH($J928,B!$E$2:$E$61,0))&amp;"",""))</f>
        <v/>
      </c>
      <c r="Y928" s="20" t="n"/>
      <c r="Z928" s="72">
        <f>IF($J928="",FALSE,ISNUMBER(SEARCH("scout",$K928)))</f>
        <v/>
      </c>
      <c r="AA928" s="72">
        <f>IF($J928="",FALSE,IFERROR(INDEX(B!$N$2:$N$61,MATCH($J928,B!$E$2:$E$61,0))="Sim",FALSE))</f>
        <v/>
      </c>
      <c r="AB928" s="72">
        <f>IF($J928="",FALSE,LEFT($X928,2)="XX")</f>
        <v/>
      </c>
      <c r="AC928" s="72">
        <f>IF($J928="",FALSE,IFERROR(INDEX(B!$P$2:$P$61,MATCH($J928,B!$E$2:$E$61,0))="Sim",FALSE))</f>
        <v/>
      </c>
      <c r="AD928" s="20" t="n"/>
      <c r="AE928" s="52">
        <f>IF(H928="","",HOUR(H928))</f>
        <v/>
      </c>
      <c r="AF928" s="52" t="n"/>
    </row>
    <row r="929" ht="19.5" customHeight="1" s="58">
      <c r="A929" s="62">
        <f>IF(G929="","",IF(G929=G928,"",COUNTIF($G$3:$G$976,G929)))</f>
        <v/>
      </c>
      <c r="B929" s="20" t="n"/>
      <c r="C929" s="63">
        <f>IF(G929="","",DAY(G929))</f>
        <v/>
      </c>
      <c r="D929" s="63">
        <f>IF(G929="","",MONTH(G929))</f>
        <v/>
      </c>
      <c r="E929" s="63">
        <f>IF(G929="","",YEAR(G929))</f>
        <v/>
      </c>
      <c r="F929" s="33">
        <f>IF(G929="","",CHOOSE(MONTH(G929),"Janeiro","Fevereiro","Março","Abril","Maio","Junho","Julho","Agosto","Setembro","Outubro","Novembro","Dezembro"))</f>
        <v/>
      </c>
      <c r="G929" s="64" t="n"/>
      <c r="H929" s="65" t="n"/>
      <c r="I929" s="66" t="n"/>
      <c r="J929" s="67" t="n"/>
      <c r="K929" s="67" t="n"/>
      <c r="L929" s="68" t="b">
        <v>0</v>
      </c>
      <c r="M929" s="20" t="n"/>
      <c r="N929" s="69">
        <f>IF($J929="","",IFERROR(INDEX(B!$F$2:$F$61,MATCH($J929,B!$E$2:$E$61,0))&amp;"",""))</f>
        <v/>
      </c>
      <c r="O929" s="69">
        <f>IF($J929="","",IFERROR(INDEX(B!$G$2:$G$61,MATCH($J929,B!$E$2:$E$61,0))&amp;"",""))</f>
        <v/>
      </c>
      <c r="P929" s="69">
        <f>IF($J929="","",IFERROR(INDEX(B!$H$2:$H$61,MATCH($J929,B!$E$2:$E$61,0))&amp;"",""))</f>
        <v/>
      </c>
      <c r="Q929" s="69">
        <f>IF($J929="","",IFERROR(INDEX(B!$I$2:$I$61,MATCH($J929,B!$E$2:$E$61,0))&amp;"",""))</f>
        <v/>
      </c>
      <c r="R929" s="69">
        <f>IF($J929="","",IFERROR(INDEX(B!$J$2:$J$61,MATCH($J929,B!$E$2:$E$61,0))&amp;"",""))</f>
        <v/>
      </c>
      <c r="S929" s="69">
        <f>IF($J929="","",IFERROR(INDEX(B!$K$2:$K$61,MATCH($J929,B!$E$2:$E$61,0))&amp;"",""))</f>
        <v/>
      </c>
      <c r="T929" s="69">
        <f>IF($J929="","",IFERROR(INDEX(B!$L$2:$L$61,MATCH($J929,B!$E$2:$E$61,0))&amp;"",""))</f>
        <v/>
      </c>
      <c r="U929" s="20" t="n"/>
      <c r="V929" s="70">
        <f>IF($J929="","",IFERROR(INDEX(B!$M$2:$M$61,MATCH($J929,B!$E$2:$E$61,0))&amp;"",""))</f>
        <v/>
      </c>
      <c r="W929" s="71">
        <f>IF(I929="","",IFERROR(MID(I929,FIND("/d/",I929)+3,FIND("/edit",I929)-FIND("/d/",I929)-3),I929))</f>
        <v/>
      </c>
      <c r="X929" s="71">
        <f>IF($J929="","",IFERROR(INDEX(B!$C$2:$C$61,MATCH($J929,B!$E$2:$E$61,0))&amp;"",""))</f>
        <v/>
      </c>
      <c r="Y929" s="20" t="n"/>
      <c r="Z929" s="72">
        <f>IF($J929="",FALSE,ISNUMBER(SEARCH("scout",$K929)))</f>
        <v/>
      </c>
      <c r="AA929" s="72">
        <f>IF($J929="",FALSE,IFERROR(INDEX(B!$N$2:$N$61,MATCH($J929,B!$E$2:$E$61,0))="Sim",FALSE))</f>
        <v/>
      </c>
      <c r="AB929" s="72">
        <f>IF($J929="",FALSE,LEFT($X929,2)="XX")</f>
        <v/>
      </c>
      <c r="AC929" s="72">
        <f>IF($J929="",FALSE,IFERROR(INDEX(B!$P$2:$P$61,MATCH($J929,B!$E$2:$E$61,0))="Sim",FALSE))</f>
        <v/>
      </c>
      <c r="AD929" s="20" t="n"/>
      <c r="AE929" s="52">
        <f>IF(H929="","",HOUR(H929))</f>
        <v/>
      </c>
      <c r="AF929" s="52" t="n"/>
    </row>
    <row r="930" ht="19.5" customHeight="1" s="58">
      <c r="A930" s="62">
        <f>IF(G930="","",IF(G930=G929,"",COUNTIF($G$3:$G$976,G930)))</f>
        <v/>
      </c>
      <c r="B930" s="20" t="n"/>
      <c r="C930" s="63">
        <f>IF(G930="","",DAY(G930))</f>
        <v/>
      </c>
      <c r="D930" s="63">
        <f>IF(G930="","",MONTH(G930))</f>
        <v/>
      </c>
      <c r="E930" s="63">
        <f>IF(G930="","",YEAR(G930))</f>
        <v/>
      </c>
      <c r="F930" s="33">
        <f>IF(G930="","",CHOOSE(MONTH(G930),"Janeiro","Fevereiro","Março","Abril","Maio","Junho","Julho","Agosto","Setembro","Outubro","Novembro","Dezembro"))</f>
        <v/>
      </c>
      <c r="G930" s="64" t="n"/>
      <c r="H930" s="65" t="n"/>
      <c r="I930" s="66" t="n"/>
      <c r="J930" s="67" t="n"/>
      <c r="K930" s="67" t="n"/>
      <c r="L930" s="68" t="b">
        <v>0</v>
      </c>
      <c r="M930" s="20" t="n"/>
      <c r="N930" s="69">
        <f>IF($J930="","",IFERROR(INDEX(B!$F$2:$F$61,MATCH($J930,B!$E$2:$E$61,0))&amp;"",""))</f>
        <v/>
      </c>
      <c r="O930" s="69">
        <f>IF($J930="","",IFERROR(INDEX(B!$G$2:$G$61,MATCH($J930,B!$E$2:$E$61,0))&amp;"",""))</f>
        <v/>
      </c>
      <c r="P930" s="69">
        <f>IF($J930="","",IFERROR(INDEX(B!$H$2:$H$61,MATCH($J930,B!$E$2:$E$61,0))&amp;"",""))</f>
        <v/>
      </c>
      <c r="Q930" s="69">
        <f>IF($J930="","",IFERROR(INDEX(B!$I$2:$I$61,MATCH($J930,B!$E$2:$E$61,0))&amp;"",""))</f>
        <v/>
      </c>
      <c r="R930" s="69">
        <f>IF($J930="","",IFERROR(INDEX(B!$J$2:$J$61,MATCH($J930,B!$E$2:$E$61,0))&amp;"",""))</f>
        <v/>
      </c>
      <c r="S930" s="69">
        <f>IF($J930="","",IFERROR(INDEX(B!$K$2:$K$61,MATCH($J930,B!$E$2:$E$61,0))&amp;"",""))</f>
        <v/>
      </c>
      <c r="T930" s="69">
        <f>IF($J930="","",IFERROR(INDEX(B!$L$2:$L$61,MATCH($J930,B!$E$2:$E$61,0))&amp;"",""))</f>
        <v/>
      </c>
      <c r="U930" s="20" t="n"/>
      <c r="V930" s="70">
        <f>IF($J930="","",IFERROR(INDEX(B!$M$2:$M$61,MATCH($J930,B!$E$2:$E$61,0))&amp;"",""))</f>
        <v/>
      </c>
      <c r="W930" s="71">
        <f>IF(I930="","",IFERROR(MID(I930,FIND("/d/",I930)+3,FIND("/edit",I930)-FIND("/d/",I930)-3),I930))</f>
        <v/>
      </c>
      <c r="X930" s="71">
        <f>IF($J930="","",IFERROR(INDEX(B!$C$2:$C$61,MATCH($J930,B!$E$2:$E$61,0))&amp;"",""))</f>
        <v/>
      </c>
      <c r="Y930" s="20" t="n"/>
      <c r="Z930" s="72">
        <f>IF($J930="",FALSE,ISNUMBER(SEARCH("scout",$K930)))</f>
        <v/>
      </c>
      <c r="AA930" s="72">
        <f>IF($J930="",FALSE,IFERROR(INDEX(B!$N$2:$N$61,MATCH($J930,B!$E$2:$E$61,0))="Sim",FALSE))</f>
        <v/>
      </c>
      <c r="AB930" s="72">
        <f>IF($J930="",FALSE,LEFT($X930,2)="XX")</f>
        <v/>
      </c>
      <c r="AC930" s="72">
        <f>IF($J930="",FALSE,IFERROR(INDEX(B!$P$2:$P$61,MATCH($J930,B!$E$2:$E$61,0))="Sim",FALSE))</f>
        <v/>
      </c>
      <c r="AD930" s="20" t="n"/>
      <c r="AE930" s="52">
        <f>IF(H930="","",HOUR(H930))</f>
        <v/>
      </c>
      <c r="AF930" s="52" t="n"/>
    </row>
    <row r="931" ht="19.5" customHeight="1" s="58">
      <c r="A931" s="62">
        <f>IF(G931="","",IF(G931=G930,"",COUNTIF($G$3:$G$976,G931)))</f>
        <v/>
      </c>
      <c r="B931" s="20" t="n"/>
      <c r="C931" s="63">
        <f>IF(G931="","",DAY(G931))</f>
        <v/>
      </c>
      <c r="D931" s="63">
        <f>IF(G931="","",MONTH(G931))</f>
        <v/>
      </c>
      <c r="E931" s="63">
        <f>IF(G931="","",YEAR(G931))</f>
        <v/>
      </c>
      <c r="F931" s="33">
        <f>IF(G931="","",CHOOSE(MONTH(G931),"Janeiro","Fevereiro","Março","Abril","Maio","Junho","Julho","Agosto","Setembro","Outubro","Novembro","Dezembro"))</f>
        <v/>
      </c>
      <c r="G931" s="64" t="n"/>
      <c r="H931" s="65" t="n"/>
      <c r="I931" s="66" t="n"/>
      <c r="J931" s="67" t="n"/>
      <c r="K931" s="67" t="n"/>
      <c r="L931" s="68" t="b">
        <v>0</v>
      </c>
      <c r="M931" s="20" t="n"/>
      <c r="N931" s="69">
        <f>IF($J931="","",IFERROR(INDEX(B!$F$2:$F$61,MATCH($J931,B!$E$2:$E$61,0))&amp;"",""))</f>
        <v/>
      </c>
      <c r="O931" s="69">
        <f>IF($J931="","",IFERROR(INDEX(B!$G$2:$G$61,MATCH($J931,B!$E$2:$E$61,0))&amp;"",""))</f>
        <v/>
      </c>
      <c r="P931" s="69">
        <f>IF($J931="","",IFERROR(INDEX(B!$H$2:$H$61,MATCH($J931,B!$E$2:$E$61,0))&amp;"",""))</f>
        <v/>
      </c>
      <c r="Q931" s="69">
        <f>IF($J931="","",IFERROR(INDEX(B!$I$2:$I$61,MATCH($J931,B!$E$2:$E$61,0))&amp;"",""))</f>
        <v/>
      </c>
      <c r="R931" s="69">
        <f>IF($J931="","",IFERROR(INDEX(B!$J$2:$J$61,MATCH($J931,B!$E$2:$E$61,0))&amp;"",""))</f>
        <v/>
      </c>
      <c r="S931" s="69">
        <f>IF($J931="","",IFERROR(INDEX(B!$K$2:$K$61,MATCH($J931,B!$E$2:$E$61,0))&amp;"",""))</f>
        <v/>
      </c>
      <c r="T931" s="69">
        <f>IF($J931="","",IFERROR(INDEX(B!$L$2:$L$61,MATCH($J931,B!$E$2:$E$61,0))&amp;"",""))</f>
        <v/>
      </c>
      <c r="U931" s="20" t="n"/>
      <c r="V931" s="70">
        <f>IF($J931="","",IFERROR(INDEX(B!$M$2:$M$61,MATCH($J931,B!$E$2:$E$61,0))&amp;"",""))</f>
        <v/>
      </c>
      <c r="W931" s="71">
        <f>IF(I931="","",IFERROR(MID(I931,FIND("/d/",I931)+3,FIND("/edit",I931)-FIND("/d/",I931)-3),I931))</f>
        <v/>
      </c>
      <c r="X931" s="71">
        <f>IF($J931="","",IFERROR(INDEX(B!$C$2:$C$61,MATCH($J931,B!$E$2:$E$61,0))&amp;"",""))</f>
        <v/>
      </c>
      <c r="Y931" s="20" t="n"/>
      <c r="Z931" s="72">
        <f>IF($J931="",FALSE,ISNUMBER(SEARCH("scout",$K931)))</f>
        <v/>
      </c>
      <c r="AA931" s="72">
        <f>IF($J931="",FALSE,IFERROR(INDEX(B!$N$2:$N$61,MATCH($J931,B!$E$2:$E$61,0))="Sim",FALSE))</f>
        <v/>
      </c>
      <c r="AB931" s="72">
        <f>IF($J931="",FALSE,LEFT($X931,2)="XX")</f>
        <v/>
      </c>
      <c r="AC931" s="72">
        <f>IF($J931="",FALSE,IFERROR(INDEX(B!$P$2:$P$61,MATCH($J931,B!$E$2:$E$61,0))="Sim",FALSE))</f>
        <v/>
      </c>
      <c r="AD931" s="20" t="n"/>
      <c r="AE931" s="52">
        <f>IF(H931="","",HOUR(H931))</f>
        <v/>
      </c>
      <c r="AF931" s="52" t="n"/>
    </row>
    <row r="932" ht="19.5" customHeight="1" s="58">
      <c r="A932" s="62">
        <f>IF(G932="","",IF(G932=G931,"",COUNTIF($G$3:$G$976,G932)))</f>
        <v/>
      </c>
      <c r="B932" s="20" t="n"/>
      <c r="C932" s="63">
        <f>IF(G932="","",DAY(G932))</f>
        <v/>
      </c>
      <c r="D932" s="63">
        <f>IF(G932="","",MONTH(G932))</f>
        <v/>
      </c>
      <c r="E932" s="63">
        <f>IF(G932="","",YEAR(G932))</f>
        <v/>
      </c>
      <c r="F932" s="33">
        <f>IF(G932="","",CHOOSE(MONTH(G932),"Janeiro","Fevereiro","Março","Abril","Maio","Junho","Julho","Agosto","Setembro","Outubro","Novembro","Dezembro"))</f>
        <v/>
      </c>
      <c r="G932" s="64" t="n"/>
      <c r="H932" s="65" t="n"/>
      <c r="I932" s="66" t="n"/>
      <c r="J932" s="67" t="n"/>
      <c r="K932" s="67" t="n"/>
      <c r="L932" s="68" t="b">
        <v>0</v>
      </c>
      <c r="M932" s="20" t="n"/>
      <c r="N932" s="69">
        <f>IF($J932="","",IFERROR(INDEX(B!$F$2:$F$61,MATCH($J932,B!$E$2:$E$61,0))&amp;"",""))</f>
        <v/>
      </c>
      <c r="O932" s="69">
        <f>IF($J932="","",IFERROR(INDEX(B!$G$2:$G$61,MATCH($J932,B!$E$2:$E$61,0))&amp;"",""))</f>
        <v/>
      </c>
      <c r="P932" s="69">
        <f>IF($J932="","",IFERROR(INDEX(B!$H$2:$H$61,MATCH($J932,B!$E$2:$E$61,0))&amp;"",""))</f>
        <v/>
      </c>
      <c r="Q932" s="69">
        <f>IF($J932="","",IFERROR(INDEX(B!$I$2:$I$61,MATCH($J932,B!$E$2:$E$61,0))&amp;"",""))</f>
        <v/>
      </c>
      <c r="R932" s="69">
        <f>IF($J932="","",IFERROR(INDEX(B!$J$2:$J$61,MATCH($J932,B!$E$2:$E$61,0))&amp;"",""))</f>
        <v/>
      </c>
      <c r="S932" s="69">
        <f>IF($J932="","",IFERROR(INDEX(B!$K$2:$K$61,MATCH($J932,B!$E$2:$E$61,0))&amp;"",""))</f>
        <v/>
      </c>
      <c r="T932" s="69">
        <f>IF($J932="","",IFERROR(INDEX(B!$L$2:$L$61,MATCH($J932,B!$E$2:$E$61,0))&amp;"",""))</f>
        <v/>
      </c>
      <c r="U932" s="20" t="n"/>
      <c r="V932" s="70">
        <f>IF($J932="","",IFERROR(INDEX(B!$M$2:$M$61,MATCH($J932,B!$E$2:$E$61,0))&amp;"",""))</f>
        <v/>
      </c>
      <c r="W932" s="71">
        <f>IF(I932="","",IFERROR(MID(I932,FIND("/d/",I932)+3,FIND("/edit",I932)-FIND("/d/",I932)-3),I932))</f>
        <v/>
      </c>
      <c r="X932" s="71">
        <f>IF($J932="","",IFERROR(INDEX(B!$C$2:$C$61,MATCH($J932,B!$E$2:$E$61,0))&amp;"",""))</f>
        <v/>
      </c>
      <c r="Y932" s="20" t="n"/>
      <c r="Z932" s="72">
        <f>IF($J932="",FALSE,ISNUMBER(SEARCH("scout",$K932)))</f>
        <v/>
      </c>
      <c r="AA932" s="72">
        <f>IF($J932="",FALSE,IFERROR(INDEX(B!$N$2:$N$61,MATCH($J932,B!$E$2:$E$61,0))="Sim",FALSE))</f>
        <v/>
      </c>
      <c r="AB932" s="72">
        <f>IF($J932="",FALSE,LEFT($X932,2)="XX")</f>
        <v/>
      </c>
      <c r="AC932" s="72">
        <f>IF($J932="",FALSE,IFERROR(INDEX(B!$P$2:$P$61,MATCH($J932,B!$E$2:$E$61,0))="Sim",FALSE))</f>
        <v/>
      </c>
      <c r="AD932" s="20" t="n"/>
      <c r="AE932" s="52">
        <f>IF(H932="","",HOUR(H932))</f>
        <v/>
      </c>
      <c r="AF932" s="52" t="n"/>
    </row>
    <row r="933" ht="19.5" customHeight="1" s="58">
      <c r="A933" s="62">
        <f>IF(G933="","",IF(G933=G932,"",COUNTIF($G$3:$G$976,G933)))</f>
        <v/>
      </c>
      <c r="B933" s="20" t="n"/>
      <c r="C933" s="63">
        <f>IF(G933="","",DAY(G933))</f>
        <v/>
      </c>
      <c r="D933" s="63">
        <f>IF(G933="","",MONTH(G933))</f>
        <v/>
      </c>
      <c r="E933" s="63">
        <f>IF(G933="","",YEAR(G933))</f>
        <v/>
      </c>
      <c r="F933" s="33">
        <f>IF(G933="","",CHOOSE(MONTH(G933),"Janeiro","Fevereiro","Março","Abril","Maio","Junho","Julho","Agosto","Setembro","Outubro","Novembro","Dezembro"))</f>
        <v/>
      </c>
      <c r="G933" s="64" t="n"/>
      <c r="H933" s="65" t="n"/>
      <c r="I933" s="66" t="n"/>
      <c r="J933" s="67" t="n"/>
      <c r="K933" s="67" t="n"/>
      <c r="L933" s="68" t="b">
        <v>0</v>
      </c>
      <c r="M933" s="20" t="n"/>
      <c r="N933" s="69">
        <f>IF($J933="","",IFERROR(INDEX(B!$F$2:$F$61,MATCH($J933,B!$E$2:$E$61,0))&amp;"",""))</f>
        <v/>
      </c>
      <c r="O933" s="69">
        <f>IF($J933="","",IFERROR(INDEX(B!$G$2:$G$61,MATCH($J933,B!$E$2:$E$61,0))&amp;"",""))</f>
        <v/>
      </c>
      <c r="P933" s="69">
        <f>IF($J933="","",IFERROR(INDEX(B!$H$2:$H$61,MATCH($J933,B!$E$2:$E$61,0))&amp;"",""))</f>
        <v/>
      </c>
      <c r="Q933" s="69">
        <f>IF($J933="","",IFERROR(INDEX(B!$I$2:$I$61,MATCH($J933,B!$E$2:$E$61,0))&amp;"",""))</f>
        <v/>
      </c>
      <c r="R933" s="69">
        <f>IF($J933="","",IFERROR(INDEX(B!$J$2:$J$61,MATCH($J933,B!$E$2:$E$61,0))&amp;"",""))</f>
        <v/>
      </c>
      <c r="S933" s="69">
        <f>IF($J933="","",IFERROR(INDEX(B!$K$2:$K$61,MATCH($J933,B!$E$2:$E$61,0))&amp;"",""))</f>
        <v/>
      </c>
      <c r="T933" s="69">
        <f>IF($J933="","",IFERROR(INDEX(B!$L$2:$L$61,MATCH($J933,B!$E$2:$E$61,0))&amp;"",""))</f>
        <v/>
      </c>
      <c r="U933" s="20" t="n"/>
      <c r="V933" s="70">
        <f>IF($J933="","",IFERROR(INDEX(B!$M$2:$M$61,MATCH($J933,B!$E$2:$E$61,0))&amp;"",""))</f>
        <v/>
      </c>
      <c r="W933" s="71">
        <f>IF(I933="","",IFERROR(MID(I933,FIND("/d/",I933)+3,FIND("/edit",I933)-FIND("/d/",I933)-3),I933))</f>
        <v/>
      </c>
      <c r="X933" s="71">
        <f>IF($J933="","",IFERROR(INDEX(B!$C$2:$C$61,MATCH($J933,B!$E$2:$E$61,0))&amp;"",""))</f>
        <v/>
      </c>
      <c r="Y933" s="20" t="n"/>
      <c r="Z933" s="72">
        <f>IF($J933="",FALSE,ISNUMBER(SEARCH("scout",$K933)))</f>
        <v/>
      </c>
      <c r="AA933" s="72">
        <f>IF($J933="",FALSE,IFERROR(INDEX(B!$N$2:$N$61,MATCH($J933,B!$E$2:$E$61,0))="Sim",FALSE))</f>
        <v/>
      </c>
      <c r="AB933" s="72">
        <f>IF($J933="",FALSE,LEFT($X933,2)="XX")</f>
        <v/>
      </c>
      <c r="AC933" s="72">
        <f>IF($J933="",FALSE,IFERROR(INDEX(B!$P$2:$P$61,MATCH($J933,B!$E$2:$E$61,0))="Sim",FALSE))</f>
        <v/>
      </c>
      <c r="AD933" s="20" t="n"/>
      <c r="AE933" s="52">
        <f>IF(H933="","",HOUR(H933))</f>
        <v/>
      </c>
      <c r="AF933" s="52" t="n"/>
    </row>
    <row r="934" ht="19.5" customHeight="1" s="58">
      <c r="A934" s="62">
        <f>IF(G934="","",IF(G934=G933,"",COUNTIF($G$3:$G$976,G934)))</f>
        <v/>
      </c>
      <c r="B934" s="20" t="n"/>
      <c r="C934" s="63">
        <f>IF(G934="","",DAY(G934))</f>
        <v/>
      </c>
      <c r="D934" s="63">
        <f>IF(G934="","",MONTH(G934))</f>
        <v/>
      </c>
      <c r="E934" s="63">
        <f>IF(G934="","",YEAR(G934))</f>
        <v/>
      </c>
      <c r="F934" s="33">
        <f>IF(G934="","",CHOOSE(MONTH(G934),"Janeiro","Fevereiro","Março","Abril","Maio","Junho","Julho","Agosto","Setembro","Outubro","Novembro","Dezembro"))</f>
        <v/>
      </c>
      <c r="G934" s="64" t="n"/>
      <c r="H934" s="65" t="n"/>
      <c r="I934" s="66" t="n"/>
      <c r="J934" s="67" t="n"/>
      <c r="K934" s="67" t="n"/>
      <c r="L934" s="68" t="b">
        <v>0</v>
      </c>
      <c r="M934" s="20" t="n"/>
      <c r="N934" s="69">
        <f>IF($J934="","",IFERROR(INDEX(B!$F$2:$F$61,MATCH($J934,B!$E$2:$E$61,0))&amp;"",""))</f>
        <v/>
      </c>
      <c r="O934" s="69">
        <f>IF($J934="","",IFERROR(INDEX(B!$G$2:$G$61,MATCH($J934,B!$E$2:$E$61,0))&amp;"",""))</f>
        <v/>
      </c>
      <c r="P934" s="69">
        <f>IF($J934="","",IFERROR(INDEX(B!$H$2:$H$61,MATCH($J934,B!$E$2:$E$61,0))&amp;"",""))</f>
        <v/>
      </c>
      <c r="Q934" s="69">
        <f>IF($J934="","",IFERROR(INDEX(B!$I$2:$I$61,MATCH($J934,B!$E$2:$E$61,0))&amp;"",""))</f>
        <v/>
      </c>
      <c r="R934" s="69">
        <f>IF($J934="","",IFERROR(INDEX(B!$J$2:$J$61,MATCH($J934,B!$E$2:$E$61,0))&amp;"",""))</f>
        <v/>
      </c>
      <c r="S934" s="69">
        <f>IF($J934="","",IFERROR(INDEX(B!$K$2:$K$61,MATCH($J934,B!$E$2:$E$61,0))&amp;"",""))</f>
        <v/>
      </c>
      <c r="T934" s="69">
        <f>IF($J934="","",IFERROR(INDEX(B!$L$2:$L$61,MATCH($J934,B!$E$2:$E$61,0))&amp;"",""))</f>
        <v/>
      </c>
      <c r="U934" s="20" t="n"/>
      <c r="V934" s="70">
        <f>IF($J934="","",IFERROR(INDEX(B!$M$2:$M$61,MATCH($J934,B!$E$2:$E$61,0))&amp;"",""))</f>
        <v/>
      </c>
      <c r="W934" s="71">
        <f>IF(I934="","",IFERROR(MID(I934,FIND("/d/",I934)+3,FIND("/edit",I934)-FIND("/d/",I934)-3),I934))</f>
        <v/>
      </c>
      <c r="X934" s="71">
        <f>IF($J934="","",IFERROR(INDEX(B!$C$2:$C$61,MATCH($J934,B!$E$2:$E$61,0))&amp;"",""))</f>
        <v/>
      </c>
      <c r="Y934" s="20" t="n"/>
      <c r="Z934" s="72">
        <f>IF($J934="",FALSE,ISNUMBER(SEARCH("scout",$K934)))</f>
        <v/>
      </c>
      <c r="AA934" s="72">
        <f>IF($J934="",FALSE,IFERROR(INDEX(B!$N$2:$N$61,MATCH($J934,B!$E$2:$E$61,0))="Sim",FALSE))</f>
        <v/>
      </c>
      <c r="AB934" s="72">
        <f>IF($J934="",FALSE,LEFT($X934,2)="XX")</f>
        <v/>
      </c>
      <c r="AC934" s="72">
        <f>IF($J934="",FALSE,IFERROR(INDEX(B!$P$2:$P$61,MATCH($J934,B!$E$2:$E$61,0))="Sim",FALSE))</f>
        <v/>
      </c>
      <c r="AD934" s="20" t="n"/>
      <c r="AE934" s="52">
        <f>IF(H934="","",HOUR(H934))</f>
        <v/>
      </c>
      <c r="AF934" s="52" t="n"/>
    </row>
    <row r="935" ht="19.5" customHeight="1" s="58">
      <c r="A935" s="62">
        <f>IF(G935="","",IF(G935=G934,"",COUNTIF($G$3:$G$976,G935)))</f>
        <v/>
      </c>
      <c r="B935" s="20" t="n"/>
      <c r="C935" s="63">
        <f>IF(G935="","",DAY(G935))</f>
        <v/>
      </c>
      <c r="D935" s="63">
        <f>IF(G935="","",MONTH(G935))</f>
        <v/>
      </c>
      <c r="E935" s="63">
        <f>IF(G935="","",YEAR(G935))</f>
        <v/>
      </c>
      <c r="F935" s="33">
        <f>IF(G935="","",CHOOSE(MONTH(G935),"Janeiro","Fevereiro","Março","Abril","Maio","Junho","Julho","Agosto","Setembro","Outubro","Novembro","Dezembro"))</f>
        <v/>
      </c>
      <c r="G935" s="64" t="n"/>
      <c r="H935" s="65" t="n"/>
      <c r="I935" s="66" t="n"/>
      <c r="J935" s="67" t="n"/>
      <c r="K935" s="67" t="n"/>
      <c r="L935" s="68" t="b">
        <v>0</v>
      </c>
      <c r="M935" s="20" t="n"/>
      <c r="N935" s="69">
        <f>IF($J935="","",IFERROR(INDEX(B!$F$2:$F$61,MATCH($J935,B!$E$2:$E$61,0))&amp;"",""))</f>
        <v/>
      </c>
      <c r="O935" s="69">
        <f>IF($J935="","",IFERROR(INDEX(B!$G$2:$G$61,MATCH($J935,B!$E$2:$E$61,0))&amp;"",""))</f>
        <v/>
      </c>
      <c r="P935" s="69">
        <f>IF($J935="","",IFERROR(INDEX(B!$H$2:$H$61,MATCH($J935,B!$E$2:$E$61,0))&amp;"",""))</f>
        <v/>
      </c>
      <c r="Q935" s="69">
        <f>IF($J935="","",IFERROR(INDEX(B!$I$2:$I$61,MATCH($J935,B!$E$2:$E$61,0))&amp;"",""))</f>
        <v/>
      </c>
      <c r="R935" s="69">
        <f>IF($J935="","",IFERROR(INDEX(B!$J$2:$J$61,MATCH($J935,B!$E$2:$E$61,0))&amp;"",""))</f>
        <v/>
      </c>
      <c r="S935" s="69">
        <f>IF($J935="","",IFERROR(INDEX(B!$K$2:$K$61,MATCH($J935,B!$E$2:$E$61,0))&amp;"",""))</f>
        <v/>
      </c>
      <c r="T935" s="69">
        <f>IF($J935="","",IFERROR(INDEX(B!$L$2:$L$61,MATCH($J935,B!$E$2:$E$61,0))&amp;"",""))</f>
        <v/>
      </c>
      <c r="U935" s="20" t="n"/>
      <c r="V935" s="70">
        <f>IF($J935="","",IFERROR(INDEX(B!$M$2:$M$61,MATCH($J935,B!$E$2:$E$61,0))&amp;"",""))</f>
        <v/>
      </c>
      <c r="W935" s="71">
        <f>IF(I935="","",IFERROR(MID(I935,FIND("/d/",I935)+3,FIND("/edit",I935)-FIND("/d/",I935)-3),I935))</f>
        <v/>
      </c>
      <c r="X935" s="71">
        <f>IF($J935="","",IFERROR(INDEX(B!$C$2:$C$61,MATCH($J935,B!$E$2:$E$61,0))&amp;"",""))</f>
        <v/>
      </c>
      <c r="Y935" s="20" t="n"/>
      <c r="Z935" s="72">
        <f>IF($J935="",FALSE,ISNUMBER(SEARCH("scout",$K935)))</f>
        <v/>
      </c>
      <c r="AA935" s="72">
        <f>IF($J935="",FALSE,IFERROR(INDEX(B!$N$2:$N$61,MATCH($J935,B!$E$2:$E$61,0))="Sim",FALSE))</f>
        <v/>
      </c>
      <c r="AB935" s="72">
        <f>IF($J935="",FALSE,LEFT($X935,2)="XX")</f>
        <v/>
      </c>
      <c r="AC935" s="72">
        <f>IF($J935="",FALSE,IFERROR(INDEX(B!$P$2:$P$61,MATCH($J935,B!$E$2:$E$61,0))="Sim",FALSE))</f>
        <v/>
      </c>
      <c r="AD935" s="20" t="n"/>
      <c r="AE935" s="52">
        <f>IF(H935="","",HOUR(H935))</f>
        <v/>
      </c>
      <c r="AF935" s="52" t="n"/>
    </row>
    <row r="936" ht="19.5" customHeight="1" s="58">
      <c r="A936" s="62">
        <f>IF(G936="","",IF(G936=G935,"",COUNTIF($G$3:$G$976,G936)))</f>
        <v/>
      </c>
      <c r="B936" s="20" t="n"/>
      <c r="C936" s="63">
        <f>IF(G936="","",DAY(G936))</f>
        <v/>
      </c>
      <c r="D936" s="63">
        <f>IF(G936="","",MONTH(G936))</f>
        <v/>
      </c>
      <c r="E936" s="63">
        <f>IF(G936="","",YEAR(G936))</f>
        <v/>
      </c>
      <c r="F936" s="33">
        <f>IF(G936="","",CHOOSE(MONTH(G936),"Janeiro","Fevereiro","Março","Abril","Maio","Junho","Julho","Agosto","Setembro","Outubro","Novembro","Dezembro"))</f>
        <v/>
      </c>
      <c r="G936" s="64" t="n"/>
      <c r="H936" s="65" t="n"/>
      <c r="I936" s="66" t="n"/>
      <c r="J936" s="67" t="n"/>
      <c r="K936" s="67" t="n"/>
      <c r="L936" s="68" t="b">
        <v>0</v>
      </c>
      <c r="M936" s="20" t="n"/>
      <c r="N936" s="69">
        <f>IF($J936="","",IFERROR(INDEX(B!$F$2:$F$61,MATCH($J936,B!$E$2:$E$61,0))&amp;"",""))</f>
        <v/>
      </c>
      <c r="O936" s="69">
        <f>IF($J936="","",IFERROR(INDEX(B!$G$2:$G$61,MATCH($J936,B!$E$2:$E$61,0))&amp;"",""))</f>
        <v/>
      </c>
      <c r="P936" s="69">
        <f>IF($J936="","",IFERROR(INDEX(B!$H$2:$H$61,MATCH($J936,B!$E$2:$E$61,0))&amp;"",""))</f>
        <v/>
      </c>
      <c r="Q936" s="69">
        <f>IF($J936="","",IFERROR(INDEX(B!$I$2:$I$61,MATCH($J936,B!$E$2:$E$61,0))&amp;"",""))</f>
        <v/>
      </c>
      <c r="R936" s="69">
        <f>IF($J936="","",IFERROR(INDEX(B!$J$2:$J$61,MATCH($J936,B!$E$2:$E$61,0))&amp;"",""))</f>
        <v/>
      </c>
      <c r="S936" s="69">
        <f>IF($J936="","",IFERROR(INDEX(B!$K$2:$K$61,MATCH($J936,B!$E$2:$E$61,0))&amp;"",""))</f>
        <v/>
      </c>
      <c r="T936" s="69">
        <f>IF($J936="","",IFERROR(INDEX(B!$L$2:$L$61,MATCH($J936,B!$E$2:$E$61,0))&amp;"",""))</f>
        <v/>
      </c>
      <c r="U936" s="20" t="n"/>
      <c r="V936" s="70">
        <f>IF($J936="","",IFERROR(INDEX(B!$M$2:$M$61,MATCH($J936,B!$E$2:$E$61,0))&amp;"",""))</f>
        <v/>
      </c>
      <c r="W936" s="71">
        <f>IF(I936="","",IFERROR(MID(I936,FIND("/d/",I936)+3,FIND("/edit",I936)-FIND("/d/",I936)-3),I936))</f>
        <v/>
      </c>
      <c r="X936" s="71">
        <f>IF($J936="","",IFERROR(INDEX(B!$C$2:$C$61,MATCH($J936,B!$E$2:$E$61,0))&amp;"",""))</f>
        <v/>
      </c>
      <c r="Y936" s="20" t="n"/>
      <c r="Z936" s="72">
        <f>IF($J936="",FALSE,ISNUMBER(SEARCH("scout",$K936)))</f>
        <v/>
      </c>
      <c r="AA936" s="72">
        <f>IF($J936="",FALSE,IFERROR(INDEX(B!$N$2:$N$61,MATCH($J936,B!$E$2:$E$61,0))="Sim",FALSE))</f>
        <v/>
      </c>
      <c r="AB936" s="72">
        <f>IF($J936="",FALSE,LEFT($X936,2)="XX")</f>
        <v/>
      </c>
      <c r="AC936" s="72">
        <f>IF($J936="",FALSE,IFERROR(INDEX(B!$P$2:$P$61,MATCH($J936,B!$E$2:$E$61,0))="Sim",FALSE))</f>
        <v/>
      </c>
      <c r="AD936" s="20" t="n"/>
      <c r="AE936" s="52">
        <f>IF(H936="","",HOUR(H936))</f>
        <v/>
      </c>
      <c r="AF936" s="52" t="n"/>
    </row>
    <row r="937" ht="19.5" customHeight="1" s="58">
      <c r="A937" s="62">
        <f>IF(G937="","",IF(G937=G936,"",COUNTIF($G$3:$G$976,G937)))</f>
        <v/>
      </c>
      <c r="B937" s="20" t="n"/>
      <c r="C937" s="63">
        <f>IF(G937="","",DAY(G937))</f>
        <v/>
      </c>
      <c r="D937" s="63">
        <f>IF(G937="","",MONTH(G937))</f>
        <v/>
      </c>
      <c r="E937" s="63">
        <f>IF(G937="","",YEAR(G937))</f>
        <v/>
      </c>
      <c r="F937" s="33">
        <f>IF(G937="","",CHOOSE(MONTH(G937),"Janeiro","Fevereiro","Março","Abril","Maio","Junho","Julho","Agosto","Setembro","Outubro","Novembro","Dezembro"))</f>
        <v/>
      </c>
      <c r="G937" s="64" t="n"/>
      <c r="H937" s="65" t="n"/>
      <c r="I937" s="66" t="n"/>
      <c r="J937" s="67" t="n"/>
      <c r="K937" s="67" t="n"/>
      <c r="L937" s="68" t="b">
        <v>0</v>
      </c>
      <c r="M937" s="20" t="n"/>
      <c r="N937" s="69">
        <f>IF($J937="","",IFERROR(INDEX(B!$F$2:$F$61,MATCH($J937,B!$E$2:$E$61,0))&amp;"",""))</f>
        <v/>
      </c>
      <c r="O937" s="69">
        <f>IF($J937="","",IFERROR(INDEX(B!$G$2:$G$61,MATCH($J937,B!$E$2:$E$61,0))&amp;"",""))</f>
        <v/>
      </c>
      <c r="P937" s="69">
        <f>IF($J937="","",IFERROR(INDEX(B!$H$2:$H$61,MATCH($J937,B!$E$2:$E$61,0))&amp;"",""))</f>
        <v/>
      </c>
      <c r="Q937" s="69">
        <f>IF($J937="","",IFERROR(INDEX(B!$I$2:$I$61,MATCH($J937,B!$E$2:$E$61,0))&amp;"",""))</f>
        <v/>
      </c>
      <c r="R937" s="69">
        <f>IF($J937="","",IFERROR(INDEX(B!$J$2:$J$61,MATCH($J937,B!$E$2:$E$61,0))&amp;"",""))</f>
        <v/>
      </c>
      <c r="S937" s="69">
        <f>IF($J937="","",IFERROR(INDEX(B!$K$2:$K$61,MATCH($J937,B!$E$2:$E$61,0))&amp;"",""))</f>
        <v/>
      </c>
      <c r="T937" s="69">
        <f>IF($J937="","",IFERROR(INDEX(B!$L$2:$L$61,MATCH($J937,B!$E$2:$E$61,0))&amp;"",""))</f>
        <v/>
      </c>
      <c r="U937" s="20" t="n"/>
      <c r="V937" s="70">
        <f>IF($J937="","",IFERROR(INDEX(B!$M$2:$M$61,MATCH($J937,B!$E$2:$E$61,0))&amp;"",""))</f>
        <v/>
      </c>
      <c r="W937" s="71">
        <f>IF(I937="","",IFERROR(MID(I937,FIND("/d/",I937)+3,FIND("/edit",I937)-FIND("/d/",I937)-3),I937))</f>
        <v/>
      </c>
      <c r="X937" s="71">
        <f>IF($J937="","",IFERROR(INDEX(B!$C$2:$C$61,MATCH($J937,B!$E$2:$E$61,0))&amp;"",""))</f>
        <v/>
      </c>
      <c r="Y937" s="20" t="n"/>
      <c r="Z937" s="72">
        <f>IF($J937="",FALSE,ISNUMBER(SEARCH("scout",$K937)))</f>
        <v/>
      </c>
      <c r="AA937" s="72">
        <f>IF($J937="",FALSE,IFERROR(INDEX(B!$N$2:$N$61,MATCH($J937,B!$E$2:$E$61,0))="Sim",FALSE))</f>
        <v/>
      </c>
      <c r="AB937" s="72">
        <f>IF($J937="",FALSE,LEFT($X937,2)="XX")</f>
        <v/>
      </c>
      <c r="AC937" s="72">
        <f>IF($J937="",FALSE,IFERROR(INDEX(B!$P$2:$P$61,MATCH($J937,B!$E$2:$E$61,0))="Sim",FALSE))</f>
        <v/>
      </c>
      <c r="AD937" s="20" t="n"/>
      <c r="AE937" s="52">
        <f>IF(H937="","",HOUR(H937))</f>
        <v/>
      </c>
      <c r="AF937" s="52" t="n"/>
    </row>
    <row r="938" ht="19.5" customHeight="1" s="58">
      <c r="A938" s="62">
        <f>IF(G938="","",IF(G938=G937,"",COUNTIF($G$3:$G$976,G938)))</f>
        <v/>
      </c>
      <c r="B938" s="20" t="n"/>
      <c r="C938" s="63">
        <f>IF(G938="","",DAY(G938))</f>
        <v/>
      </c>
      <c r="D938" s="63">
        <f>IF(G938="","",MONTH(G938))</f>
        <v/>
      </c>
      <c r="E938" s="63">
        <f>IF(G938="","",YEAR(G938))</f>
        <v/>
      </c>
      <c r="F938" s="33">
        <f>IF(G938="","",CHOOSE(MONTH(G938),"Janeiro","Fevereiro","Março","Abril","Maio","Junho","Julho","Agosto","Setembro","Outubro","Novembro","Dezembro"))</f>
        <v/>
      </c>
      <c r="G938" s="64" t="n"/>
      <c r="H938" s="65" t="n"/>
      <c r="I938" s="66" t="n"/>
      <c r="J938" s="67" t="n"/>
      <c r="K938" s="67" t="n"/>
      <c r="L938" s="68" t="b">
        <v>0</v>
      </c>
      <c r="M938" s="20" t="n"/>
      <c r="N938" s="69">
        <f>IF($J938="","",IFERROR(INDEX(B!$F$2:$F$61,MATCH($J938,B!$E$2:$E$61,0))&amp;"",""))</f>
        <v/>
      </c>
      <c r="O938" s="69">
        <f>IF($J938="","",IFERROR(INDEX(B!$G$2:$G$61,MATCH($J938,B!$E$2:$E$61,0))&amp;"",""))</f>
        <v/>
      </c>
      <c r="P938" s="69">
        <f>IF($J938="","",IFERROR(INDEX(B!$H$2:$H$61,MATCH($J938,B!$E$2:$E$61,0))&amp;"",""))</f>
        <v/>
      </c>
      <c r="Q938" s="69">
        <f>IF($J938="","",IFERROR(INDEX(B!$I$2:$I$61,MATCH($J938,B!$E$2:$E$61,0))&amp;"",""))</f>
        <v/>
      </c>
      <c r="R938" s="69">
        <f>IF($J938="","",IFERROR(INDEX(B!$J$2:$J$61,MATCH($J938,B!$E$2:$E$61,0))&amp;"",""))</f>
        <v/>
      </c>
      <c r="S938" s="69">
        <f>IF($J938="","",IFERROR(INDEX(B!$K$2:$K$61,MATCH($J938,B!$E$2:$E$61,0))&amp;"",""))</f>
        <v/>
      </c>
      <c r="T938" s="69">
        <f>IF($J938="","",IFERROR(INDEX(B!$L$2:$L$61,MATCH($J938,B!$E$2:$E$61,0))&amp;"",""))</f>
        <v/>
      </c>
      <c r="U938" s="20" t="n"/>
      <c r="V938" s="70">
        <f>IF($J938="","",IFERROR(INDEX(B!$M$2:$M$61,MATCH($J938,B!$E$2:$E$61,0))&amp;"",""))</f>
        <v/>
      </c>
      <c r="W938" s="71">
        <f>IF(I938="","",IFERROR(MID(I938,FIND("/d/",I938)+3,FIND("/edit",I938)-FIND("/d/",I938)-3),I938))</f>
        <v/>
      </c>
      <c r="X938" s="71">
        <f>IF($J938="","",IFERROR(INDEX(B!$C$2:$C$61,MATCH($J938,B!$E$2:$E$61,0))&amp;"",""))</f>
        <v/>
      </c>
      <c r="Y938" s="20" t="n"/>
      <c r="Z938" s="72">
        <f>IF($J938="",FALSE,ISNUMBER(SEARCH("scout",$K938)))</f>
        <v/>
      </c>
      <c r="AA938" s="72">
        <f>IF($J938="",FALSE,IFERROR(INDEX(B!$N$2:$N$61,MATCH($J938,B!$E$2:$E$61,0))="Sim",FALSE))</f>
        <v/>
      </c>
      <c r="AB938" s="72">
        <f>IF($J938="",FALSE,LEFT($X938,2)="XX")</f>
        <v/>
      </c>
      <c r="AC938" s="72">
        <f>IF($J938="",FALSE,IFERROR(INDEX(B!$P$2:$P$61,MATCH($J938,B!$E$2:$E$61,0))="Sim",FALSE))</f>
        <v/>
      </c>
      <c r="AD938" s="20" t="n"/>
      <c r="AE938" s="52">
        <f>IF(H938="","",HOUR(H938))</f>
        <v/>
      </c>
      <c r="AF938" s="52" t="n"/>
    </row>
    <row r="939" ht="19.5" customHeight="1" s="58">
      <c r="A939" s="62">
        <f>IF(G939="","",IF(G939=G938,"",COUNTIF($G$3:$G$976,G939)))</f>
        <v/>
      </c>
      <c r="B939" s="20" t="n"/>
      <c r="C939" s="63">
        <f>IF(G939="","",DAY(G939))</f>
        <v/>
      </c>
      <c r="D939" s="63">
        <f>IF(G939="","",MONTH(G939))</f>
        <v/>
      </c>
      <c r="E939" s="63">
        <f>IF(G939="","",YEAR(G939))</f>
        <v/>
      </c>
      <c r="F939" s="33">
        <f>IF(G939="","",CHOOSE(MONTH(G939),"Janeiro","Fevereiro","Março","Abril","Maio","Junho","Julho","Agosto","Setembro","Outubro","Novembro","Dezembro"))</f>
        <v/>
      </c>
      <c r="G939" s="64" t="n"/>
      <c r="H939" s="65" t="n"/>
      <c r="I939" s="66" t="n"/>
      <c r="J939" s="67" t="n"/>
      <c r="K939" s="67" t="n"/>
      <c r="L939" s="68" t="b">
        <v>0</v>
      </c>
      <c r="M939" s="20" t="n"/>
      <c r="N939" s="69">
        <f>IF($J939="","",IFERROR(INDEX(B!$F$2:$F$61,MATCH($J939,B!$E$2:$E$61,0))&amp;"",""))</f>
        <v/>
      </c>
      <c r="O939" s="69">
        <f>IF($J939="","",IFERROR(INDEX(B!$G$2:$G$61,MATCH($J939,B!$E$2:$E$61,0))&amp;"",""))</f>
        <v/>
      </c>
      <c r="P939" s="69">
        <f>IF($J939="","",IFERROR(INDEX(B!$H$2:$H$61,MATCH($J939,B!$E$2:$E$61,0))&amp;"",""))</f>
        <v/>
      </c>
      <c r="Q939" s="69">
        <f>IF($J939="","",IFERROR(INDEX(B!$I$2:$I$61,MATCH($J939,B!$E$2:$E$61,0))&amp;"",""))</f>
        <v/>
      </c>
      <c r="R939" s="69">
        <f>IF($J939="","",IFERROR(INDEX(B!$J$2:$J$61,MATCH($J939,B!$E$2:$E$61,0))&amp;"",""))</f>
        <v/>
      </c>
      <c r="S939" s="69">
        <f>IF($J939="","",IFERROR(INDEX(B!$K$2:$K$61,MATCH($J939,B!$E$2:$E$61,0))&amp;"",""))</f>
        <v/>
      </c>
      <c r="T939" s="69">
        <f>IF($J939="","",IFERROR(INDEX(B!$L$2:$L$61,MATCH($J939,B!$E$2:$E$61,0))&amp;"",""))</f>
        <v/>
      </c>
      <c r="U939" s="20" t="n"/>
      <c r="V939" s="70">
        <f>IF($J939="","",IFERROR(INDEX(B!$M$2:$M$61,MATCH($J939,B!$E$2:$E$61,0))&amp;"",""))</f>
        <v/>
      </c>
      <c r="W939" s="71">
        <f>IF(I939="","",IFERROR(MID(I939,FIND("/d/",I939)+3,FIND("/edit",I939)-FIND("/d/",I939)-3),I939))</f>
        <v/>
      </c>
      <c r="X939" s="71">
        <f>IF($J939="","",IFERROR(INDEX(B!$C$2:$C$61,MATCH($J939,B!$E$2:$E$61,0))&amp;"",""))</f>
        <v/>
      </c>
      <c r="Y939" s="20" t="n"/>
      <c r="Z939" s="72">
        <f>IF($J939="",FALSE,ISNUMBER(SEARCH("scout",$K939)))</f>
        <v/>
      </c>
      <c r="AA939" s="72">
        <f>IF($J939="",FALSE,IFERROR(INDEX(B!$N$2:$N$61,MATCH($J939,B!$E$2:$E$61,0))="Sim",FALSE))</f>
        <v/>
      </c>
      <c r="AB939" s="72">
        <f>IF($J939="",FALSE,LEFT($X939,2)="XX")</f>
        <v/>
      </c>
      <c r="AC939" s="72">
        <f>IF($J939="",FALSE,IFERROR(INDEX(B!$P$2:$P$61,MATCH($J939,B!$E$2:$E$61,0))="Sim",FALSE))</f>
        <v/>
      </c>
      <c r="AD939" s="20" t="n"/>
      <c r="AE939" s="52">
        <f>IF(H939="","",HOUR(H939))</f>
        <v/>
      </c>
      <c r="AF939" s="52" t="n"/>
    </row>
    <row r="940" ht="19.5" customHeight="1" s="58">
      <c r="A940" s="62">
        <f>IF(G940="","",IF(G940=G939,"",COUNTIF($G$3:$G$976,G940)))</f>
        <v/>
      </c>
      <c r="B940" s="20" t="n"/>
      <c r="C940" s="63">
        <f>IF(G940="","",DAY(G940))</f>
        <v/>
      </c>
      <c r="D940" s="63">
        <f>IF(G940="","",MONTH(G940))</f>
        <v/>
      </c>
      <c r="E940" s="63">
        <f>IF(G940="","",YEAR(G940))</f>
        <v/>
      </c>
      <c r="F940" s="33">
        <f>IF(G940="","",CHOOSE(MONTH(G940),"Janeiro","Fevereiro","Março","Abril","Maio","Junho","Julho","Agosto","Setembro","Outubro","Novembro","Dezembro"))</f>
        <v/>
      </c>
      <c r="G940" s="64" t="n"/>
      <c r="H940" s="65" t="n"/>
      <c r="I940" s="66" t="n"/>
      <c r="J940" s="67" t="n"/>
      <c r="K940" s="67" t="n"/>
      <c r="L940" s="68" t="b">
        <v>0</v>
      </c>
      <c r="M940" s="20" t="n"/>
      <c r="N940" s="69">
        <f>IF($J940="","",IFERROR(INDEX(B!$F$2:$F$61,MATCH($J940,B!$E$2:$E$61,0))&amp;"",""))</f>
        <v/>
      </c>
      <c r="O940" s="69">
        <f>IF($J940="","",IFERROR(INDEX(B!$G$2:$G$61,MATCH($J940,B!$E$2:$E$61,0))&amp;"",""))</f>
        <v/>
      </c>
      <c r="P940" s="69">
        <f>IF($J940="","",IFERROR(INDEX(B!$H$2:$H$61,MATCH($J940,B!$E$2:$E$61,0))&amp;"",""))</f>
        <v/>
      </c>
      <c r="Q940" s="69">
        <f>IF($J940="","",IFERROR(INDEX(B!$I$2:$I$61,MATCH($J940,B!$E$2:$E$61,0))&amp;"",""))</f>
        <v/>
      </c>
      <c r="R940" s="69">
        <f>IF($J940="","",IFERROR(INDEX(B!$J$2:$J$61,MATCH($J940,B!$E$2:$E$61,0))&amp;"",""))</f>
        <v/>
      </c>
      <c r="S940" s="69">
        <f>IF($J940="","",IFERROR(INDEX(B!$K$2:$K$61,MATCH($J940,B!$E$2:$E$61,0))&amp;"",""))</f>
        <v/>
      </c>
      <c r="T940" s="69">
        <f>IF($J940="","",IFERROR(INDEX(B!$L$2:$L$61,MATCH($J940,B!$E$2:$E$61,0))&amp;"",""))</f>
        <v/>
      </c>
      <c r="U940" s="20" t="n"/>
      <c r="V940" s="70">
        <f>IF($J940="","",IFERROR(INDEX(B!$M$2:$M$61,MATCH($J940,B!$E$2:$E$61,0))&amp;"",""))</f>
        <v/>
      </c>
      <c r="W940" s="71">
        <f>IF(I940="","",IFERROR(MID(I940,FIND("/d/",I940)+3,FIND("/edit",I940)-FIND("/d/",I940)-3),I940))</f>
        <v/>
      </c>
      <c r="X940" s="71">
        <f>IF($J940="","",IFERROR(INDEX(B!$C$2:$C$61,MATCH($J940,B!$E$2:$E$61,0))&amp;"",""))</f>
        <v/>
      </c>
      <c r="Y940" s="20" t="n"/>
      <c r="Z940" s="72">
        <f>IF($J940="",FALSE,ISNUMBER(SEARCH("scout",$K940)))</f>
        <v/>
      </c>
      <c r="AA940" s="72">
        <f>IF($J940="",FALSE,IFERROR(INDEX(B!$N$2:$N$61,MATCH($J940,B!$E$2:$E$61,0))="Sim",FALSE))</f>
        <v/>
      </c>
      <c r="AB940" s="72">
        <f>IF($J940="",FALSE,LEFT($X940,2)="XX")</f>
        <v/>
      </c>
      <c r="AC940" s="72">
        <f>IF($J940="",FALSE,IFERROR(INDEX(B!$P$2:$P$61,MATCH($J940,B!$E$2:$E$61,0))="Sim",FALSE))</f>
        <v/>
      </c>
      <c r="AD940" s="20" t="n"/>
      <c r="AE940" s="52">
        <f>IF(H940="","",HOUR(H940))</f>
        <v/>
      </c>
      <c r="AF940" s="52" t="n"/>
    </row>
    <row r="941" ht="19.5" customHeight="1" s="58">
      <c r="A941" s="62">
        <f>IF(G941="","",IF(G941=G940,"",COUNTIF($G$3:$G$976,G941)))</f>
        <v/>
      </c>
      <c r="B941" s="20" t="n"/>
      <c r="C941" s="63">
        <f>IF(G941="","",DAY(G941))</f>
        <v/>
      </c>
      <c r="D941" s="63">
        <f>IF(G941="","",MONTH(G941))</f>
        <v/>
      </c>
      <c r="E941" s="63">
        <f>IF(G941="","",YEAR(G941))</f>
        <v/>
      </c>
      <c r="F941" s="33">
        <f>IF(G941="","",CHOOSE(MONTH(G941),"Janeiro","Fevereiro","Março","Abril","Maio","Junho","Julho","Agosto","Setembro","Outubro","Novembro","Dezembro"))</f>
        <v/>
      </c>
      <c r="G941" s="64" t="n"/>
      <c r="H941" s="65" t="n"/>
      <c r="I941" s="66" t="n"/>
      <c r="J941" s="67" t="n"/>
      <c r="K941" s="67" t="n"/>
      <c r="L941" s="68" t="b">
        <v>0</v>
      </c>
      <c r="M941" s="20" t="n"/>
      <c r="N941" s="69">
        <f>IF($J941="","",IFERROR(INDEX(B!$F$2:$F$61,MATCH($J941,B!$E$2:$E$61,0))&amp;"",""))</f>
        <v/>
      </c>
      <c r="O941" s="69">
        <f>IF($J941="","",IFERROR(INDEX(B!$G$2:$G$61,MATCH($J941,B!$E$2:$E$61,0))&amp;"",""))</f>
        <v/>
      </c>
      <c r="P941" s="69">
        <f>IF($J941="","",IFERROR(INDEX(B!$H$2:$H$61,MATCH($J941,B!$E$2:$E$61,0))&amp;"",""))</f>
        <v/>
      </c>
      <c r="Q941" s="69">
        <f>IF($J941="","",IFERROR(INDEX(B!$I$2:$I$61,MATCH($J941,B!$E$2:$E$61,0))&amp;"",""))</f>
        <v/>
      </c>
      <c r="R941" s="69">
        <f>IF($J941="","",IFERROR(INDEX(B!$J$2:$J$61,MATCH($J941,B!$E$2:$E$61,0))&amp;"",""))</f>
        <v/>
      </c>
      <c r="S941" s="69">
        <f>IF($J941="","",IFERROR(INDEX(B!$K$2:$K$61,MATCH($J941,B!$E$2:$E$61,0))&amp;"",""))</f>
        <v/>
      </c>
      <c r="T941" s="69">
        <f>IF($J941="","",IFERROR(INDEX(B!$L$2:$L$61,MATCH($J941,B!$E$2:$E$61,0))&amp;"",""))</f>
        <v/>
      </c>
      <c r="U941" s="20" t="n"/>
      <c r="V941" s="70">
        <f>IF($J941="","",IFERROR(INDEX(B!$M$2:$M$61,MATCH($J941,B!$E$2:$E$61,0))&amp;"",""))</f>
        <v/>
      </c>
      <c r="W941" s="71">
        <f>IF(I941="","",IFERROR(MID(I941,FIND("/d/",I941)+3,FIND("/edit",I941)-FIND("/d/",I941)-3),I941))</f>
        <v/>
      </c>
      <c r="X941" s="71">
        <f>IF($J941="","",IFERROR(INDEX(B!$C$2:$C$61,MATCH($J941,B!$E$2:$E$61,0))&amp;"",""))</f>
        <v/>
      </c>
      <c r="Y941" s="20" t="n"/>
      <c r="Z941" s="72">
        <f>IF($J941="",FALSE,ISNUMBER(SEARCH("scout",$K941)))</f>
        <v/>
      </c>
      <c r="AA941" s="72">
        <f>IF($J941="",FALSE,IFERROR(INDEX(B!$N$2:$N$61,MATCH($J941,B!$E$2:$E$61,0))="Sim",FALSE))</f>
        <v/>
      </c>
      <c r="AB941" s="72">
        <f>IF($J941="",FALSE,LEFT($X941,2)="XX")</f>
        <v/>
      </c>
      <c r="AC941" s="72">
        <f>IF($J941="",FALSE,IFERROR(INDEX(B!$P$2:$P$61,MATCH($J941,B!$E$2:$E$61,0))="Sim",FALSE))</f>
        <v/>
      </c>
      <c r="AD941" s="20" t="n"/>
      <c r="AE941" s="52">
        <f>IF(H941="","",HOUR(H941))</f>
        <v/>
      </c>
      <c r="AF941" s="52" t="n"/>
    </row>
    <row r="942" ht="19.5" customHeight="1" s="58">
      <c r="A942" s="62">
        <f>IF(G942="","",IF(G942=G941,"",COUNTIF($G$3:$G$976,G942)))</f>
        <v/>
      </c>
      <c r="B942" s="20" t="n"/>
      <c r="C942" s="63">
        <f>IF(G942="","",DAY(G942))</f>
        <v/>
      </c>
      <c r="D942" s="63">
        <f>IF(G942="","",MONTH(G942))</f>
        <v/>
      </c>
      <c r="E942" s="63">
        <f>IF(G942="","",YEAR(G942))</f>
        <v/>
      </c>
      <c r="F942" s="33">
        <f>IF(G942="","",CHOOSE(MONTH(G942),"Janeiro","Fevereiro","Março","Abril","Maio","Junho","Julho","Agosto","Setembro","Outubro","Novembro","Dezembro"))</f>
        <v/>
      </c>
      <c r="G942" s="64" t="n"/>
      <c r="H942" s="65" t="n"/>
      <c r="I942" s="66" t="n"/>
      <c r="J942" s="67" t="n"/>
      <c r="K942" s="67" t="n"/>
      <c r="L942" s="68" t="b">
        <v>0</v>
      </c>
      <c r="M942" s="20" t="n"/>
      <c r="N942" s="69">
        <f>IF($J942="","",IFERROR(INDEX(B!$F$2:$F$61,MATCH($J942,B!$E$2:$E$61,0))&amp;"",""))</f>
        <v/>
      </c>
      <c r="O942" s="69">
        <f>IF($J942="","",IFERROR(INDEX(B!$G$2:$G$61,MATCH($J942,B!$E$2:$E$61,0))&amp;"",""))</f>
        <v/>
      </c>
      <c r="P942" s="69">
        <f>IF($J942="","",IFERROR(INDEX(B!$H$2:$H$61,MATCH($J942,B!$E$2:$E$61,0))&amp;"",""))</f>
        <v/>
      </c>
      <c r="Q942" s="69">
        <f>IF($J942="","",IFERROR(INDEX(B!$I$2:$I$61,MATCH($J942,B!$E$2:$E$61,0))&amp;"",""))</f>
        <v/>
      </c>
      <c r="R942" s="69">
        <f>IF($J942="","",IFERROR(INDEX(B!$J$2:$J$61,MATCH($J942,B!$E$2:$E$61,0))&amp;"",""))</f>
        <v/>
      </c>
      <c r="S942" s="69">
        <f>IF($J942="","",IFERROR(INDEX(B!$K$2:$K$61,MATCH($J942,B!$E$2:$E$61,0))&amp;"",""))</f>
        <v/>
      </c>
      <c r="T942" s="69">
        <f>IF($J942="","",IFERROR(INDEX(B!$L$2:$L$61,MATCH($J942,B!$E$2:$E$61,0))&amp;"",""))</f>
        <v/>
      </c>
      <c r="U942" s="20" t="n"/>
      <c r="V942" s="70">
        <f>IF($J942="","",IFERROR(INDEX(B!$M$2:$M$61,MATCH($J942,B!$E$2:$E$61,0))&amp;"",""))</f>
        <v/>
      </c>
      <c r="W942" s="71">
        <f>IF(I942="","",IFERROR(MID(I942,FIND("/d/",I942)+3,FIND("/edit",I942)-FIND("/d/",I942)-3),I942))</f>
        <v/>
      </c>
      <c r="X942" s="71">
        <f>IF($J942="","",IFERROR(INDEX(B!$C$2:$C$61,MATCH($J942,B!$E$2:$E$61,0))&amp;"",""))</f>
        <v/>
      </c>
      <c r="Y942" s="20" t="n"/>
      <c r="Z942" s="72">
        <f>IF($J942="",FALSE,ISNUMBER(SEARCH("scout",$K942)))</f>
        <v/>
      </c>
      <c r="AA942" s="72">
        <f>IF($J942="",FALSE,IFERROR(INDEX(B!$N$2:$N$61,MATCH($J942,B!$E$2:$E$61,0))="Sim",FALSE))</f>
        <v/>
      </c>
      <c r="AB942" s="72">
        <f>IF($J942="",FALSE,LEFT($X942,2)="XX")</f>
        <v/>
      </c>
      <c r="AC942" s="72">
        <f>IF($J942="",FALSE,IFERROR(INDEX(B!$P$2:$P$61,MATCH($J942,B!$E$2:$E$61,0))="Sim",FALSE))</f>
        <v/>
      </c>
      <c r="AD942" s="20" t="n"/>
      <c r="AE942" s="52">
        <f>IF(H942="","",HOUR(H942))</f>
        <v/>
      </c>
      <c r="AF942" s="52" t="n"/>
    </row>
    <row r="943" ht="19.5" customHeight="1" s="58">
      <c r="A943" s="62">
        <f>IF(G943="","",IF(G943=G942,"",COUNTIF($G$3:$G$976,G943)))</f>
        <v/>
      </c>
      <c r="B943" s="20" t="n"/>
      <c r="C943" s="63">
        <f>IF(G943="","",DAY(G943))</f>
        <v/>
      </c>
      <c r="D943" s="63">
        <f>IF(G943="","",MONTH(G943))</f>
        <v/>
      </c>
      <c r="E943" s="63">
        <f>IF(G943="","",YEAR(G943))</f>
        <v/>
      </c>
      <c r="F943" s="33">
        <f>IF(G943="","",CHOOSE(MONTH(G943),"Janeiro","Fevereiro","Março","Abril","Maio","Junho","Julho","Agosto","Setembro","Outubro","Novembro","Dezembro"))</f>
        <v/>
      </c>
      <c r="G943" s="64" t="n"/>
      <c r="H943" s="65" t="n"/>
      <c r="I943" s="66" t="n"/>
      <c r="J943" s="67" t="n"/>
      <c r="K943" s="67" t="n"/>
      <c r="L943" s="68" t="b">
        <v>0</v>
      </c>
      <c r="M943" s="20" t="n"/>
      <c r="N943" s="69">
        <f>IF($J943="","",IFERROR(INDEX(B!$F$2:$F$61,MATCH($J943,B!$E$2:$E$61,0))&amp;"",""))</f>
        <v/>
      </c>
      <c r="O943" s="69">
        <f>IF($J943="","",IFERROR(INDEX(B!$G$2:$G$61,MATCH($J943,B!$E$2:$E$61,0))&amp;"",""))</f>
        <v/>
      </c>
      <c r="P943" s="69">
        <f>IF($J943="","",IFERROR(INDEX(B!$H$2:$H$61,MATCH($J943,B!$E$2:$E$61,0))&amp;"",""))</f>
        <v/>
      </c>
      <c r="Q943" s="69">
        <f>IF($J943="","",IFERROR(INDEX(B!$I$2:$I$61,MATCH($J943,B!$E$2:$E$61,0))&amp;"",""))</f>
        <v/>
      </c>
      <c r="R943" s="69">
        <f>IF($J943="","",IFERROR(INDEX(B!$J$2:$J$61,MATCH($J943,B!$E$2:$E$61,0))&amp;"",""))</f>
        <v/>
      </c>
      <c r="S943" s="69">
        <f>IF($J943="","",IFERROR(INDEX(B!$K$2:$K$61,MATCH($J943,B!$E$2:$E$61,0))&amp;"",""))</f>
        <v/>
      </c>
      <c r="T943" s="69">
        <f>IF($J943="","",IFERROR(INDEX(B!$L$2:$L$61,MATCH($J943,B!$E$2:$E$61,0))&amp;"",""))</f>
        <v/>
      </c>
      <c r="U943" s="20" t="n"/>
      <c r="V943" s="70">
        <f>IF($J943="","",IFERROR(INDEX(B!$M$2:$M$61,MATCH($J943,B!$E$2:$E$61,0))&amp;"",""))</f>
        <v/>
      </c>
      <c r="W943" s="71">
        <f>IF(I943="","",IFERROR(MID(I943,FIND("/d/",I943)+3,FIND("/edit",I943)-FIND("/d/",I943)-3),I943))</f>
        <v/>
      </c>
      <c r="X943" s="71">
        <f>IF($J943="","",IFERROR(INDEX(B!$C$2:$C$61,MATCH($J943,B!$E$2:$E$61,0))&amp;"",""))</f>
        <v/>
      </c>
      <c r="Y943" s="20" t="n"/>
      <c r="Z943" s="72">
        <f>IF($J943="",FALSE,ISNUMBER(SEARCH("scout",$K943)))</f>
        <v/>
      </c>
      <c r="AA943" s="72">
        <f>IF($J943="",FALSE,IFERROR(INDEX(B!$N$2:$N$61,MATCH($J943,B!$E$2:$E$61,0))="Sim",FALSE))</f>
        <v/>
      </c>
      <c r="AB943" s="72">
        <f>IF($J943="",FALSE,LEFT($X943,2)="XX")</f>
        <v/>
      </c>
      <c r="AC943" s="72">
        <f>IF($J943="",FALSE,IFERROR(INDEX(B!$P$2:$P$61,MATCH($J943,B!$E$2:$E$61,0))="Sim",FALSE))</f>
        <v/>
      </c>
      <c r="AD943" s="20" t="n"/>
      <c r="AE943" s="52">
        <f>IF(H943="","",HOUR(H943))</f>
        <v/>
      </c>
      <c r="AF943" s="52" t="n"/>
    </row>
    <row r="944" ht="19.5" customHeight="1" s="58">
      <c r="A944" s="62">
        <f>IF(G944="","",IF(G944=G943,"",COUNTIF($G$3:$G$976,G944)))</f>
        <v/>
      </c>
      <c r="B944" s="20" t="n"/>
      <c r="C944" s="63">
        <f>IF(G944="","",DAY(G944))</f>
        <v/>
      </c>
      <c r="D944" s="63">
        <f>IF(G944="","",MONTH(G944))</f>
        <v/>
      </c>
      <c r="E944" s="63">
        <f>IF(G944="","",YEAR(G944))</f>
        <v/>
      </c>
      <c r="F944" s="33">
        <f>IF(G944="","",CHOOSE(MONTH(G944),"Janeiro","Fevereiro","Março","Abril","Maio","Junho","Julho","Agosto","Setembro","Outubro","Novembro","Dezembro"))</f>
        <v/>
      </c>
      <c r="G944" s="64" t="n"/>
      <c r="H944" s="65" t="n"/>
      <c r="I944" s="66" t="n"/>
      <c r="J944" s="67" t="n"/>
      <c r="K944" s="67" t="n"/>
      <c r="L944" s="68" t="b">
        <v>0</v>
      </c>
      <c r="M944" s="20" t="n"/>
      <c r="N944" s="69">
        <f>IF($J944="","",IFERROR(INDEX(B!$F$2:$F$61,MATCH($J944,B!$E$2:$E$61,0))&amp;"",""))</f>
        <v/>
      </c>
      <c r="O944" s="69">
        <f>IF($J944="","",IFERROR(INDEX(B!$G$2:$G$61,MATCH($J944,B!$E$2:$E$61,0))&amp;"",""))</f>
        <v/>
      </c>
      <c r="P944" s="69">
        <f>IF($J944="","",IFERROR(INDEX(B!$H$2:$H$61,MATCH($J944,B!$E$2:$E$61,0))&amp;"",""))</f>
        <v/>
      </c>
      <c r="Q944" s="69">
        <f>IF($J944="","",IFERROR(INDEX(B!$I$2:$I$61,MATCH($J944,B!$E$2:$E$61,0))&amp;"",""))</f>
        <v/>
      </c>
      <c r="R944" s="69">
        <f>IF($J944="","",IFERROR(INDEX(B!$J$2:$J$61,MATCH($J944,B!$E$2:$E$61,0))&amp;"",""))</f>
        <v/>
      </c>
      <c r="S944" s="69">
        <f>IF($J944="","",IFERROR(INDEX(B!$K$2:$K$61,MATCH($J944,B!$E$2:$E$61,0))&amp;"",""))</f>
        <v/>
      </c>
      <c r="T944" s="69">
        <f>IF($J944="","",IFERROR(INDEX(B!$L$2:$L$61,MATCH($J944,B!$E$2:$E$61,0))&amp;"",""))</f>
        <v/>
      </c>
      <c r="U944" s="20" t="n"/>
      <c r="V944" s="70">
        <f>IF($J944="","",IFERROR(INDEX(B!$M$2:$M$61,MATCH($J944,B!$E$2:$E$61,0))&amp;"",""))</f>
        <v/>
      </c>
      <c r="W944" s="71">
        <f>IF(I944="","",IFERROR(MID(I944,FIND("/d/",I944)+3,FIND("/edit",I944)-FIND("/d/",I944)-3),I944))</f>
        <v/>
      </c>
      <c r="X944" s="71">
        <f>IF($J944="","",IFERROR(INDEX(B!$C$2:$C$61,MATCH($J944,B!$E$2:$E$61,0))&amp;"",""))</f>
        <v/>
      </c>
      <c r="Y944" s="20" t="n"/>
      <c r="Z944" s="72">
        <f>IF($J944="",FALSE,ISNUMBER(SEARCH("scout",$K944)))</f>
        <v/>
      </c>
      <c r="AA944" s="72">
        <f>IF($J944="",FALSE,IFERROR(INDEX(B!$N$2:$N$61,MATCH($J944,B!$E$2:$E$61,0))="Sim",FALSE))</f>
        <v/>
      </c>
      <c r="AB944" s="72">
        <f>IF($J944="",FALSE,LEFT($X944,2)="XX")</f>
        <v/>
      </c>
      <c r="AC944" s="72">
        <f>IF($J944="",FALSE,IFERROR(INDEX(B!$P$2:$P$61,MATCH($J944,B!$E$2:$E$61,0))="Sim",FALSE))</f>
        <v/>
      </c>
      <c r="AD944" s="20" t="n"/>
      <c r="AE944" s="52">
        <f>IF(H944="","",HOUR(H944))</f>
        <v/>
      </c>
      <c r="AF944" s="52" t="n"/>
    </row>
    <row r="945" ht="19.5" customHeight="1" s="58">
      <c r="A945" s="62">
        <f>IF(G945="","",IF(G945=G944,"",COUNTIF($G$3:$G$976,G945)))</f>
        <v/>
      </c>
      <c r="B945" s="20" t="n"/>
      <c r="C945" s="63">
        <f>IF(G945="","",DAY(G945))</f>
        <v/>
      </c>
      <c r="D945" s="63">
        <f>IF(G945="","",MONTH(G945))</f>
        <v/>
      </c>
      <c r="E945" s="63">
        <f>IF(G945="","",YEAR(G945))</f>
        <v/>
      </c>
      <c r="F945" s="33">
        <f>IF(G945="","",CHOOSE(MONTH(G945),"Janeiro","Fevereiro","Março","Abril","Maio","Junho","Julho","Agosto","Setembro","Outubro","Novembro","Dezembro"))</f>
        <v/>
      </c>
      <c r="G945" s="64" t="n"/>
      <c r="H945" s="65" t="n"/>
      <c r="I945" s="66" t="n"/>
      <c r="J945" s="67" t="n"/>
      <c r="K945" s="67" t="n"/>
      <c r="L945" s="68" t="b">
        <v>0</v>
      </c>
      <c r="M945" s="20" t="n"/>
      <c r="N945" s="69">
        <f>IF($J945="","",IFERROR(INDEX(B!$F$2:$F$61,MATCH($J945,B!$E$2:$E$61,0))&amp;"",""))</f>
        <v/>
      </c>
      <c r="O945" s="69">
        <f>IF($J945="","",IFERROR(INDEX(B!$G$2:$G$61,MATCH($J945,B!$E$2:$E$61,0))&amp;"",""))</f>
        <v/>
      </c>
      <c r="P945" s="69">
        <f>IF($J945="","",IFERROR(INDEX(B!$H$2:$H$61,MATCH($J945,B!$E$2:$E$61,0))&amp;"",""))</f>
        <v/>
      </c>
      <c r="Q945" s="69">
        <f>IF($J945="","",IFERROR(INDEX(B!$I$2:$I$61,MATCH($J945,B!$E$2:$E$61,0))&amp;"",""))</f>
        <v/>
      </c>
      <c r="R945" s="69">
        <f>IF($J945="","",IFERROR(INDEX(B!$J$2:$J$61,MATCH($J945,B!$E$2:$E$61,0))&amp;"",""))</f>
        <v/>
      </c>
      <c r="S945" s="69">
        <f>IF($J945="","",IFERROR(INDEX(B!$K$2:$K$61,MATCH($J945,B!$E$2:$E$61,0))&amp;"",""))</f>
        <v/>
      </c>
      <c r="T945" s="69">
        <f>IF($J945="","",IFERROR(INDEX(B!$L$2:$L$61,MATCH($J945,B!$E$2:$E$61,0))&amp;"",""))</f>
        <v/>
      </c>
      <c r="U945" s="20" t="n"/>
      <c r="V945" s="70">
        <f>IF($J945="","",IFERROR(INDEX(B!$M$2:$M$61,MATCH($J945,B!$E$2:$E$61,0))&amp;"",""))</f>
        <v/>
      </c>
      <c r="W945" s="71">
        <f>IF(I945="","",IFERROR(MID(I945,FIND("/d/",I945)+3,FIND("/edit",I945)-FIND("/d/",I945)-3),I945))</f>
        <v/>
      </c>
      <c r="X945" s="71">
        <f>IF($J945="","",IFERROR(INDEX(B!$C$2:$C$61,MATCH($J945,B!$E$2:$E$61,0))&amp;"",""))</f>
        <v/>
      </c>
      <c r="Y945" s="20" t="n"/>
      <c r="Z945" s="72">
        <f>IF($J945="",FALSE,ISNUMBER(SEARCH("scout",$K945)))</f>
        <v/>
      </c>
      <c r="AA945" s="72">
        <f>IF($J945="",FALSE,IFERROR(INDEX(B!$N$2:$N$61,MATCH($J945,B!$E$2:$E$61,0))="Sim",FALSE))</f>
        <v/>
      </c>
      <c r="AB945" s="72">
        <f>IF($J945="",FALSE,LEFT($X945,2)="XX")</f>
        <v/>
      </c>
      <c r="AC945" s="72">
        <f>IF($J945="",FALSE,IFERROR(INDEX(B!$P$2:$P$61,MATCH($J945,B!$E$2:$E$61,0))="Sim",FALSE))</f>
        <v/>
      </c>
      <c r="AD945" s="20" t="n"/>
      <c r="AE945" s="52">
        <f>IF(H945="","",HOUR(H945))</f>
        <v/>
      </c>
      <c r="AF945" s="52" t="n"/>
    </row>
    <row r="946" ht="19.5" customHeight="1" s="58">
      <c r="A946" s="62">
        <f>IF(G946="","",IF(G946=G945,"",COUNTIF($G$3:$G$976,G946)))</f>
        <v/>
      </c>
      <c r="B946" s="20" t="n"/>
      <c r="C946" s="63">
        <f>IF(G946="","",DAY(G946))</f>
        <v/>
      </c>
      <c r="D946" s="63">
        <f>IF(G946="","",MONTH(G946))</f>
        <v/>
      </c>
      <c r="E946" s="63">
        <f>IF(G946="","",YEAR(G946))</f>
        <v/>
      </c>
      <c r="F946" s="33">
        <f>IF(G946="","",CHOOSE(MONTH(G946),"Janeiro","Fevereiro","Março","Abril","Maio","Junho","Julho","Agosto","Setembro","Outubro","Novembro","Dezembro"))</f>
        <v/>
      </c>
      <c r="G946" s="64" t="n"/>
      <c r="H946" s="65" t="n"/>
      <c r="I946" s="66" t="n"/>
      <c r="J946" s="67" t="n"/>
      <c r="K946" s="67" t="n"/>
      <c r="L946" s="68" t="b">
        <v>0</v>
      </c>
      <c r="M946" s="20" t="n"/>
      <c r="N946" s="69">
        <f>IF($J946="","",IFERROR(INDEX(B!$F$2:$F$61,MATCH($J946,B!$E$2:$E$61,0))&amp;"",""))</f>
        <v/>
      </c>
      <c r="O946" s="69">
        <f>IF($J946="","",IFERROR(INDEX(B!$G$2:$G$61,MATCH($J946,B!$E$2:$E$61,0))&amp;"",""))</f>
        <v/>
      </c>
      <c r="P946" s="69">
        <f>IF($J946="","",IFERROR(INDEX(B!$H$2:$H$61,MATCH($J946,B!$E$2:$E$61,0))&amp;"",""))</f>
        <v/>
      </c>
      <c r="Q946" s="69">
        <f>IF($J946="","",IFERROR(INDEX(B!$I$2:$I$61,MATCH($J946,B!$E$2:$E$61,0))&amp;"",""))</f>
        <v/>
      </c>
      <c r="R946" s="69">
        <f>IF($J946="","",IFERROR(INDEX(B!$J$2:$J$61,MATCH($J946,B!$E$2:$E$61,0))&amp;"",""))</f>
        <v/>
      </c>
      <c r="S946" s="69">
        <f>IF($J946="","",IFERROR(INDEX(B!$K$2:$K$61,MATCH($J946,B!$E$2:$E$61,0))&amp;"",""))</f>
        <v/>
      </c>
      <c r="T946" s="69">
        <f>IF($J946="","",IFERROR(INDEX(B!$L$2:$L$61,MATCH($J946,B!$E$2:$E$61,0))&amp;"",""))</f>
        <v/>
      </c>
      <c r="U946" s="20" t="n"/>
      <c r="V946" s="70">
        <f>IF($J946="","",IFERROR(INDEX(B!$M$2:$M$61,MATCH($J946,B!$E$2:$E$61,0))&amp;"",""))</f>
        <v/>
      </c>
      <c r="W946" s="71">
        <f>IF(I946="","",IFERROR(MID(I946,FIND("/d/",I946)+3,FIND("/edit",I946)-FIND("/d/",I946)-3),I946))</f>
        <v/>
      </c>
      <c r="X946" s="71">
        <f>IF($J946="","",IFERROR(INDEX(B!$C$2:$C$61,MATCH($J946,B!$E$2:$E$61,0))&amp;"",""))</f>
        <v/>
      </c>
      <c r="Y946" s="20" t="n"/>
      <c r="Z946" s="72">
        <f>IF($J946="",FALSE,ISNUMBER(SEARCH("scout",$K946)))</f>
        <v/>
      </c>
      <c r="AA946" s="72">
        <f>IF($J946="",FALSE,IFERROR(INDEX(B!$N$2:$N$61,MATCH($J946,B!$E$2:$E$61,0))="Sim",FALSE))</f>
        <v/>
      </c>
      <c r="AB946" s="72">
        <f>IF($J946="",FALSE,LEFT($X946,2)="XX")</f>
        <v/>
      </c>
      <c r="AC946" s="72">
        <f>IF($J946="",FALSE,IFERROR(INDEX(B!$P$2:$P$61,MATCH($J946,B!$E$2:$E$61,0))="Sim",FALSE))</f>
        <v/>
      </c>
      <c r="AD946" s="20" t="n"/>
      <c r="AE946" s="52">
        <f>IF(H946="","",HOUR(H946))</f>
        <v/>
      </c>
      <c r="AF946" s="52" t="n"/>
    </row>
    <row r="947" ht="19.5" customHeight="1" s="58">
      <c r="A947" s="62">
        <f>IF(G947="","",IF(G947=G946,"",COUNTIF($G$3:$G$976,G947)))</f>
        <v/>
      </c>
      <c r="B947" s="20" t="n"/>
      <c r="C947" s="63">
        <f>IF(G947="","",DAY(G947))</f>
        <v/>
      </c>
      <c r="D947" s="63">
        <f>IF(G947="","",MONTH(G947))</f>
        <v/>
      </c>
      <c r="E947" s="63">
        <f>IF(G947="","",YEAR(G947))</f>
        <v/>
      </c>
      <c r="F947" s="33">
        <f>IF(G947="","",CHOOSE(MONTH(G947),"Janeiro","Fevereiro","Março","Abril","Maio","Junho","Julho","Agosto","Setembro","Outubro","Novembro","Dezembro"))</f>
        <v/>
      </c>
      <c r="G947" s="64" t="n"/>
      <c r="H947" s="65" t="n"/>
      <c r="I947" s="66" t="n"/>
      <c r="J947" s="67" t="n"/>
      <c r="K947" s="67" t="n"/>
      <c r="L947" s="68" t="b">
        <v>0</v>
      </c>
      <c r="M947" s="20" t="n"/>
      <c r="N947" s="69">
        <f>IF($J947="","",IFERROR(INDEX(B!$F$2:$F$61,MATCH($J947,B!$E$2:$E$61,0))&amp;"",""))</f>
        <v/>
      </c>
      <c r="O947" s="69">
        <f>IF($J947="","",IFERROR(INDEX(B!$G$2:$G$61,MATCH($J947,B!$E$2:$E$61,0))&amp;"",""))</f>
        <v/>
      </c>
      <c r="P947" s="69">
        <f>IF($J947="","",IFERROR(INDEX(B!$H$2:$H$61,MATCH($J947,B!$E$2:$E$61,0))&amp;"",""))</f>
        <v/>
      </c>
      <c r="Q947" s="69">
        <f>IF($J947="","",IFERROR(INDEX(B!$I$2:$I$61,MATCH($J947,B!$E$2:$E$61,0))&amp;"",""))</f>
        <v/>
      </c>
      <c r="R947" s="69">
        <f>IF($J947="","",IFERROR(INDEX(B!$J$2:$J$61,MATCH($J947,B!$E$2:$E$61,0))&amp;"",""))</f>
        <v/>
      </c>
      <c r="S947" s="69">
        <f>IF($J947="","",IFERROR(INDEX(B!$K$2:$K$61,MATCH($J947,B!$E$2:$E$61,0))&amp;"",""))</f>
        <v/>
      </c>
      <c r="T947" s="69">
        <f>IF($J947="","",IFERROR(INDEX(B!$L$2:$L$61,MATCH($J947,B!$E$2:$E$61,0))&amp;"",""))</f>
        <v/>
      </c>
      <c r="U947" s="20" t="n"/>
      <c r="V947" s="70">
        <f>IF($J947="","",IFERROR(INDEX(B!$M$2:$M$61,MATCH($J947,B!$E$2:$E$61,0))&amp;"",""))</f>
        <v/>
      </c>
      <c r="W947" s="71">
        <f>IF(I947="","",IFERROR(MID(I947,FIND("/d/",I947)+3,FIND("/edit",I947)-FIND("/d/",I947)-3),I947))</f>
        <v/>
      </c>
      <c r="X947" s="71">
        <f>IF($J947="","",IFERROR(INDEX(B!$C$2:$C$61,MATCH($J947,B!$E$2:$E$61,0))&amp;"",""))</f>
        <v/>
      </c>
      <c r="Y947" s="20" t="n"/>
      <c r="Z947" s="72">
        <f>IF($J947="",FALSE,ISNUMBER(SEARCH("scout",$K947)))</f>
        <v/>
      </c>
      <c r="AA947" s="72">
        <f>IF($J947="",FALSE,IFERROR(INDEX(B!$N$2:$N$61,MATCH($J947,B!$E$2:$E$61,0))="Sim",FALSE))</f>
        <v/>
      </c>
      <c r="AB947" s="72">
        <f>IF($J947="",FALSE,LEFT($X947,2)="XX")</f>
        <v/>
      </c>
      <c r="AC947" s="72">
        <f>IF($J947="",FALSE,IFERROR(INDEX(B!$P$2:$P$61,MATCH($J947,B!$E$2:$E$61,0))="Sim",FALSE))</f>
        <v/>
      </c>
      <c r="AD947" s="20" t="n"/>
      <c r="AE947" s="52">
        <f>IF(H947="","",HOUR(H947))</f>
        <v/>
      </c>
      <c r="AF947" s="52" t="n"/>
    </row>
    <row r="948" ht="19.5" customHeight="1" s="58">
      <c r="A948" s="62">
        <f>IF(G948="","",IF(G948=G947,"",COUNTIF($G$3:$G$976,G948)))</f>
        <v/>
      </c>
      <c r="B948" s="20" t="n"/>
      <c r="C948" s="63">
        <f>IF(G948="","",DAY(G948))</f>
        <v/>
      </c>
      <c r="D948" s="63">
        <f>IF(G948="","",MONTH(G948))</f>
        <v/>
      </c>
      <c r="E948" s="63">
        <f>IF(G948="","",YEAR(G948))</f>
        <v/>
      </c>
      <c r="F948" s="33">
        <f>IF(G948="","",CHOOSE(MONTH(G948),"Janeiro","Fevereiro","Março","Abril","Maio","Junho","Julho","Agosto","Setembro","Outubro","Novembro","Dezembro"))</f>
        <v/>
      </c>
      <c r="G948" s="64" t="n"/>
      <c r="H948" s="65" t="n"/>
      <c r="I948" s="66" t="n"/>
      <c r="J948" s="67" t="n"/>
      <c r="K948" s="67" t="n"/>
      <c r="L948" s="68" t="b">
        <v>0</v>
      </c>
      <c r="M948" s="20" t="n"/>
      <c r="N948" s="69">
        <f>IF($J948="","",IFERROR(INDEX(B!$F$2:$F$61,MATCH($J948,B!$E$2:$E$61,0))&amp;"",""))</f>
        <v/>
      </c>
      <c r="O948" s="69">
        <f>IF($J948="","",IFERROR(INDEX(B!$G$2:$G$61,MATCH($J948,B!$E$2:$E$61,0))&amp;"",""))</f>
        <v/>
      </c>
      <c r="P948" s="69">
        <f>IF($J948="","",IFERROR(INDEX(B!$H$2:$H$61,MATCH($J948,B!$E$2:$E$61,0))&amp;"",""))</f>
        <v/>
      </c>
      <c r="Q948" s="69">
        <f>IF($J948="","",IFERROR(INDEX(B!$I$2:$I$61,MATCH($J948,B!$E$2:$E$61,0))&amp;"",""))</f>
        <v/>
      </c>
      <c r="R948" s="69">
        <f>IF($J948="","",IFERROR(INDEX(B!$J$2:$J$61,MATCH($J948,B!$E$2:$E$61,0))&amp;"",""))</f>
        <v/>
      </c>
      <c r="S948" s="69">
        <f>IF($J948="","",IFERROR(INDEX(B!$K$2:$K$61,MATCH($J948,B!$E$2:$E$61,0))&amp;"",""))</f>
        <v/>
      </c>
      <c r="T948" s="69">
        <f>IF($J948="","",IFERROR(INDEX(B!$L$2:$L$61,MATCH($J948,B!$E$2:$E$61,0))&amp;"",""))</f>
        <v/>
      </c>
      <c r="U948" s="20" t="n"/>
      <c r="V948" s="70">
        <f>IF($J948="","",IFERROR(INDEX(B!$M$2:$M$61,MATCH($J948,B!$E$2:$E$61,0))&amp;"",""))</f>
        <v/>
      </c>
      <c r="W948" s="71">
        <f>IF(I948="","",IFERROR(MID(I948,FIND("/d/",I948)+3,FIND("/edit",I948)-FIND("/d/",I948)-3),I948))</f>
        <v/>
      </c>
      <c r="X948" s="71">
        <f>IF($J948="","",IFERROR(INDEX(B!$C$2:$C$61,MATCH($J948,B!$E$2:$E$61,0))&amp;"",""))</f>
        <v/>
      </c>
      <c r="Y948" s="20" t="n"/>
      <c r="Z948" s="72">
        <f>IF($J948="",FALSE,ISNUMBER(SEARCH("scout",$K948)))</f>
        <v/>
      </c>
      <c r="AA948" s="72">
        <f>IF($J948="",FALSE,IFERROR(INDEX(B!$N$2:$N$61,MATCH($J948,B!$E$2:$E$61,0))="Sim",FALSE))</f>
        <v/>
      </c>
      <c r="AB948" s="72">
        <f>IF($J948="",FALSE,LEFT($X948,2)="XX")</f>
        <v/>
      </c>
      <c r="AC948" s="72">
        <f>IF($J948="",FALSE,IFERROR(INDEX(B!$P$2:$P$61,MATCH($J948,B!$E$2:$E$61,0))="Sim",FALSE))</f>
        <v/>
      </c>
      <c r="AD948" s="20" t="n"/>
      <c r="AE948" s="52">
        <f>IF(H948="","",HOUR(H948))</f>
        <v/>
      </c>
      <c r="AF948" s="52" t="n"/>
    </row>
    <row r="949" ht="19.5" customHeight="1" s="58">
      <c r="A949" s="62">
        <f>IF(G949="","",IF(G949=G948,"",COUNTIF($G$3:$G$976,G949)))</f>
        <v/>
      </c>
      <c r="B949" s="20" t="n"/>
      <c r="C949" s="63">
        <f>IF(G949="","",DAY(G949))</f>
        <v/>
      </c>
      <c r="D949" s="63">
        <f>IF(G949="","",MONTH(G949))</f>
        <v/>
      </c>
      <c r="E949" s="63">
        <f>IF(G949="","",YEAR(G949))</f>
        <v/>
      </c>
      <c r="F949" s="33">
        <f>IF(G949="","",CHOOSE(MONTH(G949),"Janeiro","Fevereiro","Março","Abril","Maio","Junho","Julho","Agosto","Setembro","Outubro","Novembro","Dezembro"))</f>
        <v/>
      </c>
      <c r="G949" s="64" t="n"/>
      <c r="H949" s="65" t="n"/>
      <c r="I949" s="66" t="n"/>
      <c r="J949" s="67" t="n"/>
      <c r="K949" s="67" t="n"/>
      <c r="L949" s="68" t="b">
        <v>0</v>
      </c>
      <c r="M949" s="20" t="n"/>
      <c r="N949" s="69">
        <f>IF($J949="","",IFERROR(INDEX(B!$F$2:$F$61,MATCH($J949,B!$E$2:$E$61,0))&amp;"",""))</f>
        <v/>
      </c>
      <c r="O949" s="69">
        <f>IF($J949="","",IFERROR(INDEX(B!$G$2:$G$61,MATCH($J949,B!$E$2:$E$61,0))&amp;"",""))</f>
        <v/>
      </c>
      <c r="P949" s="69">
        <f>IF($J949="","",IFERROR(INDEX(B!$H$2:$H$61,MATCH($J949,B!$E$2:$E$61,0))&amp;"",""))</f>
        <v/>
      </c>
      <c r="Q949" s="69">
        <f>IF($J949="","",IFERROR(INDEX(B!$I$2:$I$61,MATCH($J949,B!$E$2:$E$61,0))&amp;"",""))</f>
        <v/>
      </c>
      <c r="R949" s="69">
        <f>IF($J949="","",IFERROR(INDEX(B!$J$2:$J$61,MATCH($J949,B!$E$2:$E$61,0))&amp;"",""))</f>
        <v/>
      </c>
      <c r="S949" s="69">
        <f>IF($J949="","",IFERROR(INDEX(B!$K$2:$K$61,MATCH($J949,B!$E$2:$E$61,0))&amp;"",""))</f>
        <v/>
      </c>
      <c r="T949" s="69">
        <f>IF($J949="","",IFERROR(INDEX(B!$L$2:$L$61,MATCH($J949,B!$E$2:$E$61,0))&amp;"",""))</f>
        <v/>
      </c>
      <c r="U949" s="20" t="n"/>
      <c r="V949" s="70">
        <f>IF($J949="","",IFERROR(INDEX(B!$M$2:$M$61,MATCH($J949,B!$E$2:$E$61,0))&amp;"",""))</f>
        <v/>
      </c>
      <c r="W949" s="71">
        <f>IF(I949="","",IFERROR(MID(I949,FIND("/d/",I949)+3,FIND("/edit",I949)-FIND("/d/",I949)-3),I949))</f>
        <v/>
      </c>
      <c r="X949" s="71">
        <f>IF($J949="","",IFERROR(INDEX(B!$C$2:$C$61,MATCH($J949,B!$E$2:$E$61,0))&amp;"",""))</f>
        <v/>
      </c>
      <c r="Y949" s="20" t="n"/>
      <c r="Z949" s="72">
        <f>IF($J949="",FALSE,ISNUMBER(SEARCH("scout",$K949)))</f>
        <v/>
      </c>
      <c r="AA949" s="72">
        <f>IF($J949="",FALSE,IFERROR(INDEX(B!$N$2:$N$61,MATCH($J949,B!$E$2:$E$61,0))="Sim",FALSE))</f>
        <v/>
      </c>
      <c r="AB949" s="72">
        <f>IF($J949="",FALSE,LEFT($X949,2)="XX")</f>
        <v/>
      </c>
      <c r="AC949" s="72">
        <f>IF($J949="",FALSE,IFERROR(INDEX(B!$P$2:$P$61,MATCH($J949,B!$E$2:$E$61,0))="Sim",FALSE))</f>
        <v/>
      </c>
      <c r="AD949" s="20" t="n"/>
      <c r="AE949" s="52">
        <f>IF(H949="","",HOUR(H949))</f>
        <v/>
      </c>
      <c r="AF949" s="52" t="n"/>
    </row>
    <row r="950" ht="19.5" customHeight="1" s="58">
      <c r="A950" s="62">
        <f>IF(G950="","",IF(G950=G949,"",COUNTIF($G$3:$G$976,G950)))</f>
        <v/>
      </c>
      <c r="B950" s="20" t="n"/>
      <c r="C950" s="63">
        <f>IF(G950="","",DAY(G950))</f>
        <v/>
      </c>
      <c r="D950" s="63">
        <f>IF(G950="","",MONTH(G950))</f>
        <v/>
      </c>
      <c r="E950" s="63">
        <f>IF(G950="","",YEAR(G950))</f>
        <v/>
      </c>
      <c r="F950" s="33">
        <f>IF(G950="","",CHOOSE(MONTH(G950),"Janeiro","Fevereiro","Março","Abril","Maio","Junho","Julho","Agosto","Setembro","Outubro","Novembro","Dezembro"))</f>
        <v/>
      </c>
      <c r="G950" s="64" t="n"/>
      <c r="H950" s="65" t="n"/>
      <c r="I950" s="66" t="n"/>
      <c r="J950" s="67" t="n"/>
      <c r="K950" s="67" t="n"/>
      <c r="L950" s="68" t="b">
        <v>0</v>
      </c>
      <c r="M950" s="20" t="n"/>
      <c r="N950" s="69">
        <f>IF($J950="","",IFERROR(INDEX(B!$F$2:$F$61,MATCH($J950,B!$E$2:$E$61,0))&amp;"",""))</f>
        <v/>
      </c>
      <c r="O950" s="69">
        <f>IF($J950="","",IFERROR(INDEX(B!$G$2:$G$61,MATCH($J950,B!$E$2:$E$61,0))&amp;"",""))</f>
        <v/>
      </c>
      <c r="P950" s="69">
        <f>IF($J950="","",IFERROR(INDEX(B!$H$2:$H$61,MATCH($J950,B!$E$2:$E$61,0))&amp;"",""))</f>
        <v/>
      </c>
      <c r="Q950" s="69">
        <f>IF($J950="","",IFERROR(INDEX(B!$I$2:$I$61,MATCH($J950,B!$E$2:$E$61,0))&amp;"",""))</f>
        <v/>
      </c>
      <c r="R950" s="69">
        <f>IF($J950="","",IFERROR(INDEX(B!$J$2:$J$61,MATCH($J950,B!$E$2:$E$61,0))&amp;"",""))</f>
        <v/>
      </c>
      <c r="S950" s="69">
        <f>IF($J950="","",IFERROR(INDEX(B!$K$2:$K$61,MATCH($J950,B!$E$2:$E$61,0))&amp;"",""))</f>
        <v/>
      </c>
      <c r="T950" s="69">
        <f>IF($J950="","",IFERROR(INDEX(B!$L$2:$L$61,MATCH($J950,B!$E$2:$E$61,0))&amp;"",""))</f>
        <v/>
      </c>
      <c r="U950" s="20" t="n"/>
      <c r="V950" s="70">
        <f>IF($J950="","",IFERROR(INDEX(B!$M$2:$M$61,MATCH($J950,B!$E$2:$E$61,0))&amp;"",""))</f>
        <v/>
      </c>
      <c r="W950" s="71">
        <f>IF(I950="","",IFERROR(MID(I950,FIND("/d/",I950)+3,FIND("/edit",I950)-FIND("/d/",I950)-3),I950))</f>
        <v/>
      </c>
      <c r="X950" s="71">
        <f>IF($J950="","",IFERROR(INDEX(B!$C$2:$C$61,MATCH($J950,B!$E$2:$E$61,0))&amp;"",""))</f>
        <v/>
      </c>
      <c r="Y950" s="20" t="n"/>
      <c r="Z950" s="72">
        <f>IF($J950="",FALSE,ISNUMBER(SEARCH("scout",$K950)))</f>
        <v/>
      </c>
      <c r="AA950" s="72">
        <f>IF($J950="",FALSE,IFERROR(INDEX(B!$N$2:$N$61,MATCH($J950,B!$E$2:$E$61,0))="Sim",FALSE))</f>
        <v/>
      </c>
      <c r="AB950" s="72">
        <f>IF($J950="",FALSE,LEFT($X950,2)="XX")</f>
        <v/>
      </c>
      <c r="AC950" s="72">
        <f>IF($J950="",FALSE,IFERROR(INDEX(B!$P$2:$P$61,MATCH($J950,B!$E$2:$E$61,0))="Sim",FALSE))</f>
        <v/>
      </c>
      <c r="AD950" s="20" t="n"/>
      <c r="AE950" s="52">
        <f>IF(H950="","",HOUR(H950))</f>
        <v/>
      </c>
      <c r="AF950" s="52" t="n"/>
    </row>
    <row r="951" ht="19.5" customHeight="1" s="58">
      <c r="A951" s="62">
        <f>IF(G951="","",IF(G951=G950,"",COUNTIF($G$3:$G$976,G951)))</f>
        <v/>
      </c>
      <c r="B951" s="20" t="n"/>
      <c r="C951" s="63">
        <f>IF(G951="","",DAY(G951))</f>
        <v/>
      </c>
      <c r="D951" s="63">
        <f>IF(G951="","",MONTH(G951))</f>
        <v/>
      </c>
      <c r="E951" s="63">
        <f>IF(G951="","",YEAR(G951))</f>
        <v/>
      </c>
      <c r="F951" s="33">
        <f>IF(G951="","",CHOOSE(MONTH(G951),"Janeiro","Fevereiro","Março","Abril","Maio","Junho","Julho","Agosto","Setembro","Outubro","Novembro","Dezembro"))</f>
        <v/>
      </c>
      <c r="G951" s="64" t="n"/>
      <c r="H951" s="65" t="n"/>
      <c r="I951" s="66" t="n"/>
      <c r="J951" s="67" t="n"/>
      <c r="K951" s="67" t="n"/>
      <c r="L951" s="68" t="b">
        <v>0</v>
      </c>
      <c r="M951" s="20" t="n"/>
      <c r="N951" s="69">
        <f>IF($J951="","",IFERROR(INDEX(B!$F$2:$F$61,MATCH($J951,B!$E$2:$E$61,0))&amp;"",""))</f>
        <v/>
      </c>
      <c r="O951" s="69">
        <f>IF($J951="","",IFERROR(INDEX(B!$G$2:$G$61,MATCH($J951,B!$E$2:$E$61,0))&amp;"",""))</f>
        <v/>
      </c>
      <c r="P951" s="69">
        <f>IF($J951="","",IFERROR(INDEX(B!$H$2:$H$61,MATCH($J951,B!$E$2:$E$61,0))&amp;"",""))</f>
        <v/>
      </c>
      <c r="Q951" s="69">
        <f>IF($J951="","",IFERROR(INDEX(B!$I$2:$I$61,MATCH($J951,B!$E$2:$E$61,0))&amp;"",""))</f>
        <v/>
      </c>
      <c r="R951" s="69">
        <f>IF($J951="","",IFERROR(INDEX(B!$J$2:$J$61,MATCH($J951,B!$E$2:$E$61,0))&amp;"",""))</f>
        <v/>
      </c>
      <c r="S951" s="69">
        <f>IF($J951="","",IFERROR(INDEX(B!$K$2:$K$61,MATCH($J951,B!$E$2:$E$61,0))&amp;"",""))</f>
        <v/>
      </c>
      <c r="T951" s="69">
        <f>IF($J951="","",IFERROR(INDEX(B!$L$2:$L$61,MATCH($J951,B!$E$2:$E$61,0))&amp;"",""))</f>
        <v/>
      </c>
      <c r="U951" s="20" t="n"/>
      <c r="V951" s="70">
        <f>IF($J951="","",IFERROR(INDEX(B!$M$2:$M$61,MATCH($J951,B!$E$2:$E$61,0))&amp;"",""))</f>
        <v/>
      </c>
      <c r="W951" s="71">
        <f>IF(I951="","",IFERROR(MID(I951,FIND("/d/",I951)+3,FIND("/edit",I951)-FIND("/d/",I951)-3),I951))</f>
        <v/>
      </c>
      <c r="X951" s="71">
        <f>IF($J951="","",IFERROR(INDEX(B!$C$2:$C$61,MATCH($J951,B!$E$2:$E$61,0))&amp;"",""))</f>
        <v/>
      </c>
      <c r="Y951" s="20" t="n"/>
      <c r="Z951" s="72">
        <f>IF($J951="",FALSE,ISNUMBER(SEARCH("scout",$K951)))</f>
        <v/>
      </c>
      <c r="AA951" s="72">
        <f>IF($J951="",FALSE,IFERROR(INDEX(B!$N$2:$N$61,MATCH($J951,B!$E$2:$E$61,0))="Sim",FALSE))</f>
        <v/>
      </c>
      <c r="AB951" s="72">
        <f>IF($J951="",FALSE,LEFT($X951,2)="XX")</f>
        <v/>
      </c>
      <c r="AC951" s="72">
        <f>IF($J951="",FALSE,IFERROR(INDEX(B!$P$2:$P$61,MATCH($J951,B!$E$2:$E$61,0))="Sim",FALSE))</f>
        <v/>
      </c>
      <c r="AD951" s="20" t="n"/>
      <c r="AE951" s="52">
        <f>IF(H951="","",HOUR(H951))</f>
        <v/>
      </c>
      <c r="AF951" s="52" t="n"/>
    </row>
    <row r="952" ht="19.5" customHeight="1" s="58">
      <c r="A952" s="62">
        <f>IF(G952="","",IF(G952=G951,"",COUNTIF($G$3:$G$976,G952)))</f>
        <v/>
      </c>
      <c r="B952" s="20" t="n"/>
      <c r="C952" s="63">
        <f>IF(G952="","",DAY(G952))</f>
        <v/>
      </c>
      <c r="D952" s="63">
        <f>IF(G952="","",MONTH(G952))</f>
        <v/>
      </c>
      <c r="E952" s="63">
        <f>IF(G952="","",YEAR(G952))</f>
        <v/>
      </c>
      <c r="F952" s="33">
        <f>IF(G952="","",CHOOSE(MONTH(G952),"Janeiro","Fevereiro","Março","Abril","Maio","Junho","Julho","Agosto","Setembro","Outubro","Novembro","Dezembro"))</f>
        <v/>
      </c>
      <c r="G952" s="64" t="n"/>
      <c r="H952" s="65" t="n"/>
      <c r="I952" s="66" t="n"/>
      <c r="J952" s="67" t="n"/>
      <c r="K952" s="67" t="n"/>
      <c r="L952" s="68" t="b">
        <v>0</v>
      </c>
      <c r="M952" s="20" t="n"/>
      <c r="N952" s="69">
        <f>IF($J952="","",IFERROR(INDEX(B!$F$2:$F$61,MATCH($J952,B!$E$2:$E$61,0))&amp;"",""))</f>
        <v/>
      </c>
      <c r="O952" s="69">
        <f>IF($J952="","",IFERROR(INDEX(B!$G$2:$G$61,MATCH($J952,B!$E$2:$E$61,0))&amp;"",""))</f>
        <v/>
      </c>
      <c r="P952" s="69">
        <f>IF($J952="","",IFERROR(INDEX(B!$H$2:$H$61,MATCH($J952,B!$E$2:$E$61,0))&amp;"",""))</f>
        <v/>
      </c>
      <c r="Q952" s="69">
        <f>IF($J952="","",IFERROR(INDEX(B!$I$2:$I$61,MATCH($J952,B!$E$2:$E$61,0))&amp;"",""))</f>
        <v/>
      </c>
      <c r="R952" s="69">
        <f>IF($J952="","",IFERROR(INDEX(B!$J$2:$J$61,MATCH($J952,B!$E$2:$E$61,0))&amp;"",""))</f>
        <v/>
      </c>
      <c r="S952" s="69">
        <f>IF($J952="","",IFERROR(INDEX(B!$K$2:$K$61,MATCH($J952,B!$E$2:$E$61,0))&amp;"",""))</f>
        <v/>
      </c>
      <c r="T952" s="69">
        <f>IF($J952="","",IFERROR(INDEX(B!$L$2:$L$61,MATCH($J952,B!$E$2:$E$61,0))&amp;"",""))</f>
        <v/>
      </c>
      <c r="U952" s="20" t="n"/>
      <c r="V952" s="70">
        <f>IF($J952="","",IFERROR(INDEX(B!$M$2:$M$61,MATCH($J952,B!$E$2:$E$61,0))&amp;"",""))</f>
        <v/>
      </c>
      <c r="W952" s="71">
        <f>IF(I952="","",IFERROR(MID(I952,FIND("/d/",I952)+3,FIND("/edit",I952)-FIND("/d/",I952)-3),I952))</f>
        <v/>
      </c>
      <c r="X952" s="71">
        <f>IF($J952="","",IFERROR(INDEX(B!$C$2:$C$61,MATCH($J952,B!$E$2:$E$61,0))&amp;"",""))</f>
        <v/>
      </c>
      <c r="Y952" s="20" t="n"/>
      <c r="Z952" s="72">
        <f>IF($J952="",FALSE,ISNUMBER(SEARCH("scout",$K952)))</f>
        <v/>
      </c>
      <c r="AA952" s="72">
        <f>IF($J952="",FALSE,IFERROR(INDEX(B!$N$2:$N$61,MATCH($J952,B!$E$2:$E$61,0))="Sim",FALSE))</f>
        <v/>
      </c>
      <c r="AB952" s="72">
        <f>IF($J952="",FALSE,LEFT($X952,2)="XX")</f>
        <v/>
      </c>
      <c r="AC952" s="72">
        <f>IF($J952="",FALSE,IFERROR(INDEX(B!$P$2:$P$61,MATCH($J952,B!$E$2:$E$61,0))="Sim",FALSE))</f>
        <v/>
      </c>
      <c r="AD952" s="20" t="n"/>
      <c r="AE952" s="52">
        <f>IF(H952="","",HOUR(H952))</f>
        <v/>
      </c>
      <c r="AF952" s="52" t="n"/>
    </row>
    <row r="953" ht="19.5" customHeight="1" s="58">
      <c r="A953" s="62">
        <f>IF(G953="","",IF(G953=G952,"",COUNTIF($G$3:$G$976,G953)))</f>
        <v/>
      </c>
      <c r="B953" s="20" t="n"/>
      <c r="C953" s="63">
        <f>IF(G953="","",DAY(G953))</f>
        <v/>
      </c>
      <c r="D953" s="63">
        <f>IF(G953="","",MONTH(G953))</f>
        <v/>
      </c>
      <c r="E953" s="63">
        <f>IF(G953="","",YEAR(G953))</f>
        <v/>
      </c>
      <c r="F953" s="33">
        <f>IF(G953="","",CHOOSE(MONTH(G953),"Janeiro","Fevereiro","Março","Abril","Maio","Junho","Julho","Agosto","Setembro","Outubro","Novembro","Dezembro"))</f>
        <v/>
      </c>
      <c r="G953" s="64" t="n"/>
      <c r="H953" s="65" t="n"/>
      <c r="I953" s="66" t="n"/>
      <c r="J953" s="67" t="n"/>
      <c r="K953" s="67" t="n"/>
      <c r="L953" s="68" t="b">
        <v>0</v>
      </c>
      <c r="M953" s="20" t="n"/>
      <c r="N953" s="69">
        <f>IF($J953="","",IFERROR(INDEX(B!$F$2:$F$61,MATCH($J953,B!$E$2:$E$61,0))&amp;"",""))</f>
        <v/>
      </c>
      <c r="O953" s="69">
        <f>IF($J953="","",IFERROR(INDEX(B!$G$2:$G$61,MATCH($J953,B!$E$2:$E$61,0))&amp;"",""))</f>
        <v/>
      </c>
      <c r="P953" s="69">
        <f>IF($J953="","",IFERROR(INDEX(B!$H$2:$H$61,MATCH($J953,B!$E$2:$E$61,0))&amp;"",""))</f>
        <v/>
      </c>
      <c r="Q953" s="69">
        <f>IF($J953="","",IFERROR(INDEX(B!$I$2:$I$61,MATCH($J953,B!$E$2:$E$61,0))&amp;"",""))</f>
        <v/>
      </c>
      <c r="R953" s="69">
        <f>IF($J953="","",IFERROR(INDEX(B!$J$2:$J$61,MATCH($J953,B!$E$2:$E$61,0))&amp;"",""))</f>
        <v/>
      </c>
      <c r="S953" s="69">
        <f>IF($J953="","",IFERROR(INDEX(B!$K$2:$K$61,MATCH($J953,B!$E$2:$E$61,0))&amp;"",""))</f>
        <v/>
      </c>
      <c r="T953" s="69">
        <f>IF($J953="","",IFERROR(INDEX(B!$L$2:$L$61,MATCH($J953,B!$E$2:$E$61,0))&amp;"",""))</f>
        <v/>
      </c>
      <c r="U953" s="20" t="n"/>
      <c r="V953" s="70">
        <f>IF($J953="","",IFERROR(INDEX(B!$M$2:$M$61,MATCH($J953,B!$E$2:$E$61,0))&amp;"",""))</f>
        <v/>
      </c>
      <c r="W953" s="71">
        <f>IF(I953="","",IFERROR(MID(I953,FIND("/d/",I953)+3,FIND("/edit",I953)-FIND("/d/",I953)-3),I953))</f>
        <v/>
      </c>
      <c r="X953" s="71">
        <f>IF($J953="","",IFERROR(INDEX(B!$C$2:$C$61,MATCH($J953,B!$E$2:$E$61,0))&amp;"",""))</f>
        <v/>
      </c>
      <c r="Y953" s="20" t="n"/>
      <c r="Z953" s="72">
        <f>IF($J953="",FALSE,ISNUMBER(SEARCH("scout",$K953)))</f>
        <v/>
      </c>
      <c r="AA953" s="72">
        <f>IF($J953="",FALSE,IFERROR(INDEX(B!$N$2:$N$61,MATCH($J953,B!$E$2:$E$61,0))="Sim",FALSE))</f>
        <v/>
      </c>
      <c r="AB953" s="72">
        <f>IF($J953="",FALSE,LEFT($X953,2)="XX")</f>
        <v/>
      </c>
      <c r="AC953" s="72">
        <f>IF($J953="",FALSE,IFERROR(INDEX(B!$P$2:$P$61,MATCH($J953,B!$E$2:$E$61,0))="Sim",FALSE))</f>
        <v/>
      </c>
      <c r="AD953" s="20" t="n"/>
      <c r="AE953" s="52">
        <f>IF(H953="","",HOUR(H953))</f>
        <v/>
      </c>
      <c r="AF953" s="52" t="n"/>
    </row>
    <row r="954" ht="19.5" customHeight="1" s="58">
      <c r="A954" s="62">
        <f>IF(G954="","",IF(G954=G953,"",COUNTIF($G$3:$G$976,G954)))</f>
        <v/>
      </c>
      <c r="B954" s="20" t="n"/>
      <c r="C954" s="63">
        <f>IF(G954="","",DAY(G954))</f>
        <v/>
      </c>
      <c r="D954" s="63">
        <f>IF(G954="","",MONTH(G954))</f>
        <v/>
      </c>
      <c r="E954" s="63">
        <f>IF(G954="","",YEAR(G954))</f>
        <v/>
      </c>
      <c r="F954" s="33">
        <f>IF(G954="","",CHOOSE(MONTH(G954),"Janeiro","Fevereiro","Março","Abril","Maio","Junho","Julho","Agosto","Setembro","Outubro","Novembro","Dezembro"))</f>
        <v/>
      </c>
      <c r="G954" s="64" t="n"/>
      <c r="H954" s="65" t="n"/>
      <c r="I954" s="66" t="n"/>
      <c r="J954" s="67" t="n"/>
      <c r="K954" s="67" t="n"/>
      <c r="L954" s="68" t="b">
        <v>0</v>
      </c>
      <c r="M954" s="20" t="n"/>
      <c r="N954" s="69">
        <f>IF($J954="","",IFERROR(INDEX(B!$F$2:$F$61,MATCH($J954,B!$E$2:$E$61,0))&amp;"",""))</f>
        <v/>
      </c>
      <c r="O954" s="69">
        <f>IF($J954="","",IFERROR(INDEX(B!$G$2:$G$61,MATCH($J954,B!$E$2:$E$61,0))&amp;"",""))</f>
        <v/>
      </c>
      <c r="P954" s="69">
        <f>IF($J954="","",IFERROR(INDEX(B!$H$2:$H$61,MATCH($J954,B!$E$2:$E$61,0))&amp;"",""))</f>
        <v/>
      </c>
      <c r="Q954" s="69">
        <f>IF($J954="","",IFERROR(INDEX(B!$I$2:$I$61,MATCH($J954,B!$E$2:$E$61,0))&amp;"",""))</f>
        <v/>
      </c>
      <c r="R954" s="69">
        <f>IF($J954="","",IFERROR(INDEX(B!$J$2:$J$61,MATCH($J954,B!$E$2:$E$61,0))&amp;"",""))</f>
        <v/>
      </c>
      <c r="S954" s="69">
        <f>IF($J954="","",IFERROR(INDEX(B!$K$2:$K$61,MATCH($J954,B!$E$2:$E$61,0))&amp;"",""))</f>
        <v/>
      </c>
      <c r="T954" s="69">
        <f>IF($J954="","",IFERROR(INDEX(B!$L$2:$L$61,MATCH($J954,B!$E$2:$E$61,0))&amp;"",""))</f>
        <v/>
      </c>
      <c r="U954" s="20" t="n"/>
      <c r="V954" s="70">
        <f>IF($J954="","",IFERROR(INDEX(B!$M$2:$M$61,MATCH($J954,B!$E$2:$E$61,0))&amp;"",""))</f>
        <v/>
      </c>
      <c r="W954" s="71">
        <f>IF(I954="","",IFERROR(MID(I954,FIND("/d/",I954)+3,FIND("/edit",I954)-FIND("/d/",I954)-3),I954))</f>
        <v/>
      </c>
      <c r="X954" s="71">
        <f>IF($J954="","",IFERROR(INDEX(B!$C$2:$C$61,MATCH($J954,B!$E$2:$E$61,0))&amp;"",""))</f>
        <v/>
      </c>
      <c r="Y954" s="20" t="n"/>
      <c r="Z954" s="72">
        <f>IF($J954="",FALSE,ISNUMBER(SEARCH("scout",$K954)))</f>
        <v/>
      </c>
      <c r="AA954" s="72">
        <f>IF($J954="",FALSE,IFERROR(INDEX(B!$N$2:$N$61,MATCH($J954,B!$E$2:$E$61,0))="Sim",FALSE))</f>
        <v/>
      </c>
      <c r="AB954" s="72">
        <f>IF($J954="",FALSE,LEFT($X954,2)="XX")</f>
        <v/>
      </c>
      <c r="AC954" s="72">
        <f>IF($J954="",FALSE,IFERROR(INDEX(B!$P$2:$P$61,MATCH($J954,B!$E$2:$E$61,0))="Sim",FALSE))</f>
        <v/>
      </c>
      <c r="AD954" s="20" t="n"/>
      <c r="AE954" s="52">
        <f>IF(H954="","",HOUR(H954))</f>
        <v/>
      </c>
      <c r="AF954" s="52" t="n"/>
    </row>
    <row r="955" ht="19.5" customHeight="1" s="58">
      <c r="A955" s="62">
        <f>IF(G955="","",IF(G955=G954,"",COUNTIF($G$3:$G$976,G955)))</f>
        <v/>
      </c>
      <c r="B955" s="20" t="n"/>
      <c r="C955" s="63">
        <f>IF(G955="","",DAY(G955))</f>
        <v/>
      </c>
      <c r="D955" s="63">
        <f>IF(G955="","",MONTH(G955))</f>
        <v/>
      </c>
      <c r="E955" s="63">
        <f>IF(G955="","",YEAR(G955))</f>
        <v/>
      </c>
      <c r="F955" s="33">
        <f>IF(G955="","",CHOOSE(MONTH(G955),"Janeiro","Fevereiro","Março","Abril","Maio","Junho","Julho","Agosto","Setembro","Outubro","Novembro","Dezembro"))</f>
        <v/>
      </c>
      <c r="G955" s="64" t="n"/>
      <c r="H955" s="65" t="n"/>
      <c r="I955" s="66" t="n"/>
      <c r="J955" s="67" t="n"/>
      <c r="K955" s="67" t="n"/>
      <c r="L955" s="68" t="b">
        <v>0</v>
      </c>
      <c r="M955" s="20" t="n"/>
      <c r="N955" s="69">
        <f>IF($J955="","",IFERROR(INDEX(B!$F$2:$F$61,MATCH($J955,B!$E$2:$E$61,0))&amp;"",""))</f>
        <v/>
      </c>
      <c r="O955" s="69">
        <f>IF($J955="","",IFERROR(INDEX(B!$G$2:$G$61,MATCH($J955,B!$E$2:$E$61,0))&amp;"",""))</f>
        <v/>
      </c>
      <c r="P955" s="69">
        <f>IF($J955="","",IFERROR(INDEX(B!$H$2:$H$61,MATCH($J955,B!$E$2:$E$61,0))&amp;"",""))</f>
        <v/>
      </c>
      <c r="Q955" s="69">
        <f>IF($J955="","",IFERROR(INDEX(B!$I$2:$I$61,MATCH($J955,B!$E$2:$E$61,0))&amp;"",""))</f>
        <v/>
      </c>
      <c r="R955" s="69">
        <f>IF($J955="","",IFERROR(INDEX(B!$J$2:$J$61,MATCH($J955,B!$E$2:$E$61,0))&amp;"",""))</f>
        <v/>
      </c>
      <c r="S955" s="69">
        <f>IF($J955="","",IFERROR(INDEX(B!$K$2:$K$61,MATCH($J955,B!$E$2:$E$61,0))&amp;"",""))</f>
        <v/>
      </c>
      <c r="T955" s="69">
        <f>IF($J955="","",IFERROR(INDEX(B!$L$2:$L$61,MATCH($J955,B!$E$2:$E$61,0))&amp;"",""))</f>
        <v/>
      </c>
      <c r="U955" s="20" t="n"/>
      <c r="V955" s="70">
        <f>IF($J955="","",IFERROR(INDEX(B!$M$2:$M$61,MATCH($J955,B!$E$2:$E$61,0))&amp;"",""))</f>
        <v/>
      </c>
      <c r="W955" s="71">
        <f>IF(I955="","",IFERROR(MID(I955,FIND("/d/",I955)+3,FIND("/edit",I955)-FIND("/d/",I955)-3),I955))</f>
        <v/>
      </c>
      <c r="X955" s="71">
        <f>IF($J955="","",IFERROR(INDEX(B!$C$2:$C$61,MATCH($J955,B!$E$2:$E$61,0))&amp;"",""))</f>
        <v/>
      </c>
      <c r="Y955" s="20" t="n"/>
      <c r="Z955" s="72">
        <f>IF($J955="",FALSE,ISNUMBER(SEARCH("scout",$K955)))</f>
        <v/>
      </c>
      <c r="AA955" s="72">
        <f>IF($J955="",FALSE,IFERROR(INDEX(B!$N$2:$N$61,MATCH($J955,B!$E$2:$E$61,0))="Sim",FALSE))</f>
        <v/>
      </c>
      <c r="AB955" s="72">
        <f>IF($J955="",FALSE,LEFT($X955,2)="XX")</f>
        <v/>
      </c>
      <c r="AC955" s="72">
        <f>IF($J955="",FALSE,IFERROR(INDEX(B!$P$2:$P$61,MATCH($J955,B!$E$2:$E$61,0))="Sim",FALSE))</f>
        <v/>
      </c>
      <c r="AD955" s="20" t="n"/>
      <c r="AE955" s="52">
        <f>IF(H955="","",HOUR(H955))</f>
        <v/>
      </c>
      <c r="AF955" s="52" t="n"/>
    </row>
    <row r="956" ht="19.5" customHeight="1" s="58">
      <c r="A956" s="62">
        <f>IF(G956="","",IF(G956=G955,"",COUNTIF($G$3:$G$976,G956)))</f>
        <v/>
      </c>
      <c r="B956" s="20" t="n"/>
      <c r="C956" s="63">
        <f>IF(G956="","",DAY(G956))</f>
        <v/>
      </c>
      <c r="D956" s="63">
        <f>IF(G956="","",MONTH(G956))</f>
        <v/>
      </c>
      <c r="E956" s="63">
        <f>IF(G956="","",YEAR(G956))</f>
        <v/>
      </c>
      <c r="F956" s="33">
        <f>IF(G956="","",CHOOSE(MONTH(G956),"Janeiro","Fevereiro","Março","Abril","Maio","Junho","Julho","Agosto","Setembro","Outubro","Novembro","Dezembro"))</f>
        <v/>
      </c>
      <c r="G956" s="64" t="n"/>
      <c r="H956" s="65" t="n"/>
      <c r="I956" s="66" t="n"/>
      <c r="J956" s="67" t="n"/>
      <c r="K956" s="67" t="n"/>
      <c r="L956" s="68" t="b">
        <v>0</v>
      </c>
      <c r="M956" s="20" t="n"/>
      <c r="N956" s="69">
        <f>IF($J956="","",IFERROR(INDEX(B!$F$2:$F$61,MATCH($J956,B!$E$2:$E$61,0))&amp;"",""))</f>
        <v/>
      </c>
      <c r="O956" s="69">
        <f>IF($J956="","",IFERROR(INDEX(B!$G$2:$G$61,MATCH($J956,B!$E$2:$E$61,0))&amp;"",""))</f>
        <v/>
      </c>
      <c r="P956" s="69">
        <f>IF($J956="","",IFERROR(INDEX(B!$H$2:$H$61,MATCH($J956,B!$E$2:$E$61,0))&amp;"",""))</f>
        <v/>
      </c>
      <c r="Q956" s="69">
        <f>IF($J956="","",IFERROR(INDEX(B!$I$2:$I$61,MATCH($J956,B!$E$2:$E$61,0))&amp;"",""))</f>
        <v/>
      </c>
      <c r="R956" s="69">
        <f>IF($J956="","",IFERROR(INDEX(B!$J$2:$J$61,MATCH($J956,B!$E$2:$E$61,0))&amp;"",""))</f>
        <v/>
      </c>
      <c r="S956" s="69">
        <f>IF($J956="","",IFERROR(INDEX(B!$K$2:$K$61,MATCH($J956,B!$E$2:$E$61,0))&amp;"",""))</f>
        <v/>
      </c>
      <c r="T956" s="69">
        <f>IF($J956="","",IFERROR(INDEX(B!$L$2:$L$61,MATCH($J956,B!$E$2:$E$61,0))&amp;"",""))</f>
        <v/>
      </c>
      <c r="U956" s="20" t="n"/>
      <c r="V956" s="70">
        <f>IF($J956="","",IFERROR(INDEX(B!$M$2:$M$61,MATCH($J956,B!$E$2:$E$61,0))&amp;"",""))</f>
        <v/>
      </c>
      <c r="W956" s="71">
        <f>IF(I956="","",IFERROR(MID(I956,FIND("/d/",I956)+3,FIND("/edit",I956)-FIND("/d/",I956)-3),I956))</f>
        <v/>
      </c>
      <c r="X956" s="71">
        <f>IF($J956="","",IFERROR(INDEX(B!$C$2:$C$61,MATCH($J956,B!$E$2:$E$61,0))&amp;"",""))</f>
        <v/>
      </c>
      <c r="Y956" s="20" t="n"/>
      <c r="Z956" s="72">
        <f>IF($J956="",FALSE,ISNUMBER(SEARCH("scout",$K956)))</f>
        <v/>
      </c>
      <c r="AA956" s="72">
        <f>IF($J956="",FALSE,IFERROR(INDEX(B!$N$2:$N$61,MATCH($J956,B!$E$2:$E$61,0))="Sim",FALSE))</f>
        <v/>
      </c>
      <c r="AB956" s="72">
        <f>IF($J956="",FALSE,LEFT($X956,2)="XX")</f>
        <v/>
      </c>
      <c r="AC956" s="72">
        <f>IF($J956="",FALSE,IFERROR(INDEX(B!$P$2:$P$61,MATCH($J956,B!$E$2:$E$61,0))="Sim",FALSE))</f>
        <v/>
      </c>
      <c r="AD956" s="20" t="n"/>
      <c r="AE956" s="52">
        <f>IF(H956="","",HOUR(H956))</f>
        <v/>
      </c>
      <c r="AF956" s="52" t="n"/>
    </row>
    <row r="957" ht="19.5" customHeight="1" s="58">
      <c r="A957" s="62">
        <f>IF(G957="","",IF(G957=G956,"",COUNTIF($G$3:$G$976,G957)))</f>
        <v/>
      </c>
      <c r="B957" s="20" t="n"/>
      <c r="C957" s="63">
        <f>IF(G957="","",DAY(G957))</f>
        <v/>
      </c>
      <c r="D957" s="63">
        <f>IF(G957="","",MONTH(G957))</f>
        <v/>
      </c>
      <c r="E957" s="63">
        <f>IF(G957="","",YEAR(G957))</f>
        <v/>
      </c>
      <c r="F957" s="33">
        <f>IF(G957="","",CHOOSE(MONTH(G957),"Janeiro","Fevereiro","Março","Abril","Maio","Junho","Julho","Agosto","Setembro","Outubro","Novembro","Dezembro"))</f>
        <v/>
      </c>
      <c r="G957" s="64" t="n"/>
      <c r="H957" s="65" t="n"/>
      <c r="I957" s="66" t="n"/>
      <c r="J957" s="67" t="n"/>
      <c r="K957" s="67" t="n"/>
      <c r="L957" s="68" t="b">
        <v>0</v>
      </c>
      <c r="M957" s="20" t="n"/>
      <c r="N957" s="69">
        <f>IF($J957="","",IFERROR(INDEX(B!$F$2:$F$61,MATCH($J957,B!$E$2:$E$61,0))&amp;"",""))</f>
        <v/>
      </c>
      <c r="O957" s="69">
        <f>IF($J957="","",IFERROR(INDEX(B!$G$2:$G$61,MATCH($J957,B!$E$2:$E$61,0))&amp;"",""))</f>
        <v/>
      </c>
      <c r="P957" s="69">
        <f>IF($J957="","",IFERROR(INDEX(B!$H$2:$H$61,MATCH($J957,B!$E$2:$E$61,0))&amp;"",""))</f>
        <v/>
      </c>
      <c r="Q957" s="69">
        <f>IF($J957="","",IFERROR(INDEX(B!$I$2:$I$61,MATCH($J957,B!$E$2:$E$61,0))&amp;"",""))</f>
        <v/>
      </c>
      <c r="R957" s="69">
        <f>IF($J957="","",IFERROR(INDEX(B!$J$2:$J$61,MATCH($J957,B!$E$2:$E$61,0))&amp;"",""))</f>
        <v/>
      </c>
      <c r="S957" s="69">
        <f>IF($J957="","",IFERROR(INDEX(B!$K$2:$K$61,MATCH($J957,B!$E$2:$E$61,0))&amp;"",""))</f>
        <v/>
      </c>
      <c r="T957" s="69">
        <f>IF($J957="","",IFERROR(INDEX(B!$L$2:$L$61,MATCH($J957,B!$E$2:$E$61,0))&amp;"",""))</f>
        <v/>
      </c>
      <c r="U957" s="20" t="n"/>
      <c r="V957" s="70">
        <f>IF($J957="","",IFERROR(INDEX(B!$M$2:$M$61,MATCH($J957,B!$E$2:$E$61,0))&amp;"",""))</f>
        <v/>
      </c>
      <c r="W957" s="71">
        <f>IF(I957="","",IFERROR(MID(I957,FIND("/d/",I957)+3,FIND("/edit",I957)-FIND("/d/",I957)-3),I957))</f>
        <v/>
      </c>
      <c r="X957" s="71">
        <f>IF($J957="","",IFERROR(INDEX(B!$C$2:$C$61,MATCH($J957,B!$E$2:$E$61,0))&amp;"",""))</f>
        <v/>
      </c>
      <c r="Y957" s="20" t="n"/>
      <c r="Z957" s="72">
        <f>IF($J957="",FALSE,ISNUMBER(SEARCH("scout",$K957)))</f>
        <v/>
      </c>
      <c r="AA957" s="72">
        <f>IF($J957="",FALSE,IFERROR(INDEX(B!$N$2:$N$61,MATCH($J957,B!$E$2:$E$61,0))="Sim",FALSE))</f>
        <v/>
      </c>
      <c r="AB957" s="72">
        <f>IF($J957="",FALSE,LEFT($X957,2)="XX")</f>
        <v/>
      </c>
      <c r="AC957" s="72">
        <f>IF($J957="",FALSE,IFERROR(INDEX(B!$P$2:$P$61,MATCH($J957,B!$E$2:$E$61,0))="Sim",FALSE))</f>
        <v/>
      </c>
      <c r="AD957" s="20" t="n"/>
      <c r="AE957" s="52">
        <f>IF(H957="","",HOUR(H957))</f>
        <v/>
      </c>
      <c r="AF957" s="52" t="n"/>
    </row>
    <row r="958" ht="19.5" customHeight="1" s="58">
      <c r="A958" s="62">
        <f>IF(G958="","",IF(G958=G957,"",COUNTIF($G$3:$G$976,G958)))</f>
        <v/>
      </c>
      <c r="B958" s="20" t="n"/>
      <c r="C958" s="63">
        <f>IF(G958="","",DAY(G958))</f>
        <v/>
      </c>
      <c r="D958" s="63">
        <f>IF(G958="","",MONTH(G958))</f>
        <v/>
      </c>
      <c r="E958" s="63">
        <f>IF(G958="","",YEAR(G958))</f>
        <v/>
      </c>
      <c r="F958" s="33">
        <f>IF(G958="","",CHOOSE(MONTH(G958),"Janeiro","Fevereiro","Março","Abril","Maio","Junho","Julho","Agosto","Setembro","Outubro","Novembro","Dezembro"))</f>
        <v/>
      </c>
      <c r="G958" s="64" t="n"/>
      <c r="H958" s="65" t="n"/>
      <c r="I958" s="66" t="n"/>
      <c r="J958" s="67" t="n"/>
      <c r="K958" s="67" t="n"/>
      <c r="L958" s="68" t="b">
        <v>0</v>
      </c>
      <c r="M958" s="20" t="n"/>
      <c r="N958" s="69">
        <f>IF($J958="","",IFERROR(INDEX(B!$F$2:$F$61,MATCH($J958,B!$E$2:$E$61,0))&amp;"",""))</f>
        <v/>
      </c>
      <c r="O958" s="69">
        <f>IF($J958="","",IFERROR(INDEX(B!$G$2:$G$61,MATCH($J958,B!$E$2:$E$61,0))&amp;"",""))</f>
        <v/>
      </c>
      <c r="P958" s="69">
        <f>IF($J958="","",IFERROR(INDEX(B!$H$2:$H$61,MATCH($J958,B!$E$2:$E$61,0))&amp;"",""))</f>
        <v/>
      </c>
      <c r="Q958" s="69">
        <f>IF($J958="","",IFERROR(INDEX(B!$I$2:$I$61,MATCH($J958,B!$E$2:$E$61,0))&amp;"",""))</f>
        <v/>
      </c>
      <c r="R958" s="69">
        <f>IF($J958="","",IFERROR(INDEX(B!$J$2:$J$61,MATCH($J958,B!$E$2:$E$61,0))&amp;"",""))</f>
        <v/>
      </c>
      <c r="S958" s="69">
        <f>IF($J958="","",IFERROR(INDEX(B!$K$2:$K$61,MATCH($J958,B!$E$2:$E$61,0))&amp;"",""))</f>
        <v/>
      </c>
      <c r="T958" s="69">
        <f>IF($J958="","",IFERROR(INDEX(B!$L$2:$L$61,MATCH($J958,B!$E$2:$E$61,0))&amp;"",""))</f>
        <v/>
      </c>
      <c r="U958" s="20" t="n"/>
      <c r="V958" s="70">
        <f>IF($J958="","",IFERROR(INDEX(B!$M$2:$M$61,MATCH($J958,B!$E$2:$E$61,0))&amp;"",""))</f>
        <v/>
      </c>
      <c r="W958" s="71">
        <f>IF(I958="","",IFERROR(MID(I958,FIND("/d/",I958)+3,FIND("/edit",I958)-FIND("/d/",I958)-3),I958))</f>
        <v/>
      </c>
      <c r="X958" s="71">
        <f>IF($J958="","",IFERROR(INDEX(B!$C$2:$C$61,MATCH($J958,B!$E$2:$E$61,0))&amp;"",""))</f>
        <v/>
      </c>
      <c r="Y958" s="20" t="n"/>
      <c r="Z958" s="72">
        <f>IF($J958="",FALSE,ISNUMBER(SEARCH("scout",$K958)))</f>
        <v/>
      </c>
      <c r="AA958" s="72">
        <f>IF($J958="",FALSE,IFERROR(INDEX(B!$N$2:$N$61,MATCH($J958,B!$E$2:$E$61,0))="Sim",FALSE))</f>
        <v/>
      </c>
      <c r="AB958" s="72">
        <f>IF($J958="",FALSE,LEFT($X958,2)="XX")</f>
        <v/>
      </c>
      <c r="AC958" s="72">
        <f>IF($J958="",FALSE,IFERROR(INDEX(B!$P$2:$P$61,MATCH($J958,B!$E$2:$E$61,0))="Sim",FALSE))</f>
        <v/>
      </c>
      <c r="AD958" s="20" t="n"/>
      <c r="AE958" s="52">
        <f>IF(H958="","",HOUR(H958))</f>
        <v/>
      </c>
      <c r="AF958" s="52" t="n"/>
    </row>
    <row r="959" ht="19.5" customHeight="1" s="58">
      <c r="A959" s="62">
        <f>IF(G959="","",IF(G959=G958,"",COUNTIF($G$3:$G$976,G959)))</f>
        <v/>
      </c>
      <c r="B959" s="20" t="n"/>
      <c r="C959" s="63">
        <f>IF(G959="","",DAY(G959))</f>
        <v/>
      </c>
      <c r="D959" s="63">
        <f>IF(G959="","",MONTH(G959))</f>
        <v/>
      </c>
      <c r="E959" s="63">
        <f>IF(G959="","",YEAR(G959))</f>
        <v/>
      </c>
      <c r="F959" s="33">
        <f>IF(G959="","",CHOOSE(MONTH(G959),"Janeiro","Fevereiro","Março","Abril","Maio","Junho","Julho","Agosto","Setembro","Outubro","Novembro","Dezembro"))</f>
        <v/>
      </c>
      <c r="G959" s="64" t="n"/>
      <c r="H959" s="65" t="n"/>
      <c r="I959" s="66" t="n"/>
      <c r="J959" s="67" t="n"/>
      <c r="K959" s="67" t="n"/>
      <c r="L959" s="68" t="b">
        <v>0</v>
      </c>
      <c r="M959" s="20" t="n"/>
      <c r="N959" s="69">
        <f>IF($J959="","",IFERROR(INDEX(B!$F$2:$F$61,MATCH($J959,B!$E$2:$E$61,0))&amp;"",""))</f>
        <v/>
      </c>
      <c r="O959" s="69">
        <f>IF($J959="","",IFERROR(INDEX(B!$G$2:$G$61,MATCH($J959,B!$E$2:$E$61,0))&amp;"",""))</f>
        <v/>
      </c>
      <c r="P959" s="69">
        <f>IF($J959="","",IFERROR(INDEX(B!$H$2:$H$61,MATCH($J959,B!$E$2:$E$61,0))&amp;"",""))</f>
        <v/>
      </c>
      <c r="Q959" s="69">
        <f>IF($J959="","",IFERROR(INDEX(B!$I$2:$I$61,MATCH($J959,B!$E$2:$E$61,0))&amp;"",""))</f>
        <v/>
      </c>
      <c r="R959" s="69">
        <f>IF($J959="","",IFERROR(INDEX(B!$J$2:$J$61,MATCH($J959,B!$E$2:$E$61,0))&amp;"",""))</f>
        <v/>
      </c>
      <c r="S959" s="69">
        <f>IF($J959="","",IFERROR(INDEX(B!$K$2:$K$61,MATCH($J959,B!$E$2:$E$61,0))&amp;"",""))</f>
        <v/>
      </c>
      <c r="T959" s="69">
        <f>IF($J959="","",IFERROR(INDEX(B!$L$2:$L$61,MATCH($J959,B!$E$2:$E$61,0))&amp;"",""))</f>
        <v/>
      </c>
      <c r="U959" s="20" t="n"/>
      <c r="V959" s="70">
        <f>IF($J959="","",IFERROR(INDEX(B!$M$2:$M$61,MATCH($J959,B!$E$2:$E$61,0))&amp;"",""))</f>
        <v/>
      </c>
      <c r="W959" s="71">
        <f>IF(I959="","",IFERROR(MID(I959,FIND("/d/",I959)+3,FIND("/edit",I959)-FIND("/d/",I959)-3),I959))</f>
        <v/>
      </c>
      <c r="X959" s="71">
        <f>IF($J959="","",IFERROR(INDEX(B!$C$2:$C$61,MATCH($J959,B!$E$2:$E$61,0))&amp;"",""))</f>
        <v/>
      </c>
      <c r="Y959" s="20" t="n"/>
      <c r="Z959" s="72">
        <f>IF($J959="",FALSE,ISNUMBER(SEARCH("scout",$K959)))</f>
        <v/>
      </c>
      <c r="AA959" s="72">
        <f>IF($J959="",FALSE,IFERROR(INDEX(B!$N$2:$N$61,MATCH($J959,B!$E$2:$E$61,0))="Sim",FALSE))</f>
        <v/>
      </c>
      <c r="AB959" s="72">
        <f>IF($J959="",FALSE,LEFT($X959,2)="XX")</f>
        <v/>
      </c>
      <c r="AC959" s="72">
        <f>IF($J959="",FALSE,IFERROR(INDEX(B!$P$2:$P$61,MATCH($J959,B!$E$2:$E$61,0))="Sim",FALSE))</f>
        <v/>
      </c>
      <c r="AD959" s="20" t="n"/>
      <c r="AE959" s="52">
        <f>IF(H959="","",HOUR(H959))</f>
        <v/>
      </c>
      <c r="AF959" s="52" t="n"/>
    </row>
    <row r="960" ht="19.5" customHeight="1" s="58">
      <c r="A960" s="62">
        <f>IF(G960="","",IF(G960=G959,"",COUNTIF($G$3:$G$976,G960)))</f>
        <v/>
      </c>
      <c r="B960" s="20" t="n"/>
      <c r="C960" s="63">
        <f>IF(G960="","",DAY(G960))</f>
        <v/>
      </c>
      <c r="D960" s="63">
        <f>IF(G960="","",MONTH(G960))</f>
        <v/>
      </c>
      <c r="E960" s="63">
        <f>IF(G960="","",YEAR(G960))</f>
        <v/>
      </c>
      <c r="F960" s="33">
        <f>IF(G960="","",CHOOSE(MONTH(G960),"Janeiro","Fevereiro","Março","Abril","Maio","Junho","Julho","Agosto","Setembro","Outubro","Novembro","Dezembro"))</f>
        <v/>
      </c>
      <c r="G960" s="64" t="n"/>
      <c r="H960" s="65" t="n"/>
      <c r="I960" s="66" t="n"/>
      <c r="J960" s="67" t="n"/>
      <c r="K960" s="67" t="n"/>
      <c r="L960" s="68" t="b">
        <v>0</v>
      </c>
      <c r="M960" s="20" t="n"/>
      <c r="N960" s="69">
        <f>IF($J960="","",IFERROR(INDEX(B!$F$2:$F$61,MATCH($J960,B!$E$2:$E$61,0))&amp;"",""))</f>
        <v/>
      </c>
      <c r="O960" s="69">
        <f>IF($J960="","",IFERROR(INDEX(B!$G$2:$G$61,MATCH($J960,B!$E$2:$E$61,0))&amp;"",""))</f>
        <v/>
      </c>
      <c r="P960" s="69">
        <f>IF($J960="","",IFERROR(INDEX(B!$H$2:$H$61,MATCH($J960,B!$E$2:$E$61,0))&amp;"",""))</f>
        <v/>
      </c>
      <c r="Q960" s="69">
        <f>IF($J960="","",IFERROR(INDEX(B!$I$2:$I$61,MATCH($J960,B!$E$2:$E$61,0))&amp;"",""))</f>
        <v/>
      </c>
      <c r="R960" s="69">
        <f>IF($J960="","",IFERROR(INDEX(B!$J$2:$J$61,MATCH($J960,B!$E$2:$E$61,0))&amp;"",""))</f>
        <v/>
      </c>
      <c r="S960" s="69">
        <f>IF($J960="","",IFERROR(INDEX(B!$K$2:$K$61,MATCH($J960,B!$E$2:$E$61,0))&amp;"",""))</f>
        <v/>
      </c>
      <c r="T960" s="69">
        <f>IF($J960="","",IFERROR(INDEX(B!$L$2:$L$61,MATCH($J960,B!$E$2:$E$61,0))&amp;"",""))</f>
        <v/>
      </c>
      <c r="U960" s="20" t="n"/>
      <c r="V960" s="70">
        <f>IF($J960="","",IFERROR(INDEX(B!$M$2:$M$61,MATCH($J960,B!$E$2:$E$61,0))&amp;"",""))</f>
        <v/>
      </c>
      <c r="W960" s="71">
        <f>IF(I960="","",IFERROR(MID(I960,FIND("/d/",I960)+3,FIND("/edit",I960)-FIND("/d/",I960)-3),I960))</f>
        <v/>
      </c>
      <c r="X960" s="71">
        <f>IF($J960="","",IFERROR(INDEX(B!$C$2:$C$61,MATCH($J960,B!$E$2:$E$61,0))&amp;"",""))</f>
        <v/>
      </c>
      <c r="Y960" s="20" t="n"/>
      <c r="Z960" s="72">
        <f>IF($J960="",FALSE,ISNUMBER(SEARCH("scout",$K960)))</f>
        <v/>
      </c>
      <c r="AA960" s="72">
        <f>IF($J960="",FALSE,IFERROR(INDEX(B!$N$2:$N$61,MATCH($J960,B!$E$2:$E$61,0))="Sim",FALSE))</f>
        <v/>
      </c>
      <c r="AB960" s="72">
        <f>IF($J960="",FALSE,LEFT($X960,2)="XX")</f>
        <v/>
      </c>
      <c r="AC960" s="72">
        <f>IF($J960="",FALSE,IFERROR(INDEX(B!$P$2:$P$61,MATCH($J960,B!$E$2:$E$61,0))="Sim",FALSE))</f>
        <v/>
      </c>
      <c r="AD960" s="20" t="n"/>
      <c r="AE960" s="52">
        <f>IF(H960="","",HOUR(H960))</f>
        <v/>
      </c>
      <c r="AF960" s="52" t="n"/>
    </row>
    <row r="961" ht="19.5" customHeight="1" s="58">
      <c r="A961" s="62">
        <f>IF(G961="","",IF(G961=G960,"",COUNTIF($G$3:$G$976,G961)))</f>
        <v/>
      </c>
      <c r="B961" s="20" t="n"/>
      <c r="C961" s="63">
        <f>IF(G961="","",DAY(G961))</f>
        <v/>
      </c>
      <c r="D961" s="63">
        <f>IF(G961="","",MONTH(G961))</f>
        <v/>
      </c>
      <c r="E961" s="63">
        <f>IF(G961="","",YEAR(G961))</f>
        <v/>
      </c>
      <c r="F961" s="33">
        <f>IF(G961="","",CHOOSE(MONTH(G961),"Janeiro","Fevereiro","Março","Abril","Maio","Junho","Julho","Agosto","Setembro","Outubro","Novembro","Dezembro"))</f>
        <v/>
      </c>
      <c r="G961" s="64" t="n"/>
      <c r="H961" s="65" t="n"/>
      <c r="I961" s="66" t="n"/>
      <c r="J961" s="67" t="n"/>
      <c r="K961" s="67" t="n"/>
      <c r="L961" s="68" t="b">
        <v>0</v>
      </c>
      <c r="M961" s="20" t="n"/>
      <c r="N961" s="69">
        <f>IF($J961="","",IFERROR(INDEX(B!$F$2:$F$61,MATCH($J961,B!$E$2:$E$61,0))&amp;"",""))</f>
        <v/>
      </c>
      <c r="O961" s="69">
        <f>IF($J961="","",IFERROR(INDEX(B!$G$2:$G$61,MATCH($J961,B!$E$2:$E$61,0))&amp;"",""))</f>
        <v/>
      </c>
      <c r="P961" s="69">
        <f>IF($J961="","",IFERROR(INDEX(B!$H$2:$H$61,MATCH($J961,B!$E$2:$E$61,0))&amp;"",""))</f>
        <v/>
      </c>
      <c r="Q961" s="69">
        <f>IF($J961="","",IFERROR(INDEX(B!$I$2:$I$61,MATCH($J961,B!$E$2:$E$61,0))&amp;"",""))</f>
        <v/>
      </c>
      <c r="R961" s="69">
        <f>IF($J961="","",IFERROR(INDEX(B!$J$2:$J$61,MATCH($J961,B!$E$2:$E$61,0))&amp;"",""))</f>
        <v/>
      </c>
      <c r="S961" s="69">
        <f>IF($J961="","",IFERROR(INDEX(B!$K$2:$K$61,MATCH($J961,B!$E$2:$E$61,0))&amp;"",""))</f>
        <v/>
      </c>
      <c r="T961" s="69">
        <f>IF($J961="","",IFERROR(INDEX(B!$L$2:$L$61,MATCH($J961,B!$E$2:$E$61,0))&amp;"",""))</f>
        <v/>
      </c>
      <c r="U961" s="20" t="n"/>
      <c r="V961" s="70">
        <f>IF($J961="","",IFERROR(INDEX(B!$M$2:$M$61,MATCH($J961,B!$E$2:$E$61,0))&amp;"",""))</f>
        <v/>
      </c>
      <c r="W961" s="71">
        <f>IF(I961="","",IFERROR(MID(I961,FIND("/d/",I961)+3,FIND("/edit",I961)-FIND("/d/",I961)-3),I961))</f>
        <v/>
      </c>
      <c r="X961" s="71">
        <f>IF($J961="","",IFERROR(INDEX(B!$C$2:$C$61,MATCH($J961,B!$E$2:$E$61,0))&amp;"",""))</f>
        <v/>
      </c>
      <c r="Y961" s="20" t="n"/>
      <c r="Z961" s="72">
        <f>IF($J961="",FALSE,ISNUMBER(SEARCH("scout",$K961)))</f>
        <v/>
      </c>
      <c r="AA961" s="72">
        <f>IF($J961="",FALSE,IFERROR(INDEX(B!$N$2:$N$61,MATCH($J961,B!$E$2:$E$61,0))="Sim",FALSE))</f>
        <v/>
      </c>
      <c r="AB961" s="72">
        <f>IF($J961="",FALSE,LEFT($X961,2)="XX")</f>
        <v/>
      </c>
      <c r="AC961" s="72">
        <f>IF($J961="",FALSE,IFERROR(INDEX(B!$P$2:$P$61,MATCH($J961,B!$E$2:$E$61,0))="Sim",FALSE))</f>
        <v/>
      </c>
      <c r="AD961" s="20" t="n"/>
      <c r="AE961" s="52">
        <f>IF(H961="","",HOUR(H961))</f>
        <v/>
      </c>
      <c r="AF961" s="52" t="n"/>
    </row>
    <row r="962" ht="19.5" customHeight="1" s="58">
      <c r="A962" s="62">
        <f>IF(G962="","",IF(G962=G961,"",COUNTIF($G$3:$G$976,G962)))</f>
        <v/>
      </c>
      <c r="B962" s="20" t="n"/>
      <c r="C962" s="63">
        <f>IF(G962="","",DAY(G962))</f>
        <v/>
      </c>
      <c r="D962" s="63">
        <f>IF(G962="","",MONTH(G962))</f>
        <v/>
      </c>
      <c r="E962" s="63">
        <f>IF(G962="","",YEAR(G962))</f>
        <v/>
      </c>
      <c r="F962" s="33">
        <f>IF(G962="","",CHOOSE(MONTH(G962),"Janeiro","Fevereiro","Março","Abril","Maio","Junho","Julho","Agosto","Setembro","Outubro","Novembro","Dezembro"))</f>
        <v/>
      </c>
      <c r="G962" s="64" t="n"/>
      <c r="H962" s="65" t="n"/>
      <c r="I962" s="66" t="n"/>
      <c r="J962" s="67" t="n"/>
      <c r="K962" s="67" t="n"/>
      <c r="L962" s="68" t="b">
        <v>0</v>
      </c>
      <c r="M962" s="20" t="n"/>
      <c r="N962" s="69">
        <f>IF($J962="","",IFERROR(INDEX(B!$F$2:$F$61,MATCH($J962,B!$E$2:$E$61,0))&amp;"",""))</f>
        <v/>
      </c>
      <c r="O962" s="69">
        <f>IF($J962="","",IFERROR(INDEX(B!$G$2:$G$61,MATCH($J962,B!$E$2:$E$61,0))&amp;"",""))</f>
        <v/>
      </c>
      <c r="P962" s="69">
        <f>IF($J962="","",IFERROR(INDEX(B!$H$2:$H$61,MATCH($J962,B!$E$2:$E$61,0))&amp;"",""))</f>
        <v/>
      </c>
      <c r="Q962" s="69">
        <f>IF($J962="","",IFERROR(INDEX(B!$I$2:$I$61,MATCH($J962,B!$E$2:$E$61,0))&amp;"",""))</f>
        <v/>
      </c>
      <c r="R962" s="69">
        <f>IF($J962="","",IFERROR(INDEX(B!$J$2:$J$61,MATCH($J962,B!$E$2:$E$61,0))&amp;"",""))</f>
        <v/>
      </c>
      <c r="S962" s="69">
        <f>IF($J962="","",IFERROR(INDEX(B!$K$2:$K$61,MATCH($J962,B!$E$2:$E$61,0))&amp;"",""))</f>
        <v/>
      </c>
      <c r="T962" s="69">
        <f>IF($J962="","",IFERROR(INDEX(B!$L$2:$L$61,MATCH($J962,B!$E$2:$E$61,0))&amp;"",""))</f>
        <v/>
      </c>
      <c r="U962" s="20" t="n"/>
      <c r="V962" s="70">
        <f>IF($J962="","",IFERROR(INDEX(B!$M$2:$M$61,MATCH($J962,B!$E$2:$E$61,0))&amp;"",""))</f>
        <v/>
      </c>
      <c r="W962" s="71">
        <f>IF(I962="","",IFERROR(MID(I962,FIND("/d/",I962)+3,FIND("/edit",I962)-FIND("/d/",I962)-3),I962))</f>
        <v/>
      </c>
      <c r="X962" s="71">
        <f>IF($J962="","",IFERROR(INDEX(B!$C$2:$C$61,MATCH($J962,B!$E$2:$E$61,0))&amp;"",""))</f>
        <v/>
      </c>
      <c r="Y962" s="20" t="n"/>
      <c r="Z962" s="72">
        <f>IF($J962="",FALSE,ISNUMBER(SEARCH("scout",$K962)))</f>
        <v/>
      </c>
      <c r="AA962" s="72">
        <f>IF($J962="",FALSE,IFERROR(INDEX(B!$N$2:$N$61,MATCH($J962,B!$E$2:$E$61,0))="Sim",FALSE))</f>
        <v/>
      </c>
      <c r="AB962" s="72">
        <f>IF($J962="",FALSE,LEFT($X962,2)="XX")</f>
        <v/>
      </c>
      <c r="AC962" s="72">
        <f>IF($J962="",FALSE,IFERROR(INDEX(B!$P$2:$P$61,MATCH($J962,B!$E$2:$E$61,0))="Sim",FALSE))</f>
        <v/>
      </c>
      <c r="AD962" s="20" t="n"/>
      <c r="AE962" s="52">
        <f>IF(H962="","",HOUR(H962))</f>
        <v/>
      </c>
      <c r="AF962" s="52" t="n"/>
    </row>
    <row r="963" ht="19.5" customHeight="1" s="58">
      <c r="A963" s="62">
        <f>IF(G963="","",IF(G963=G962,"",COUNTIF($G$3:$G$976,G963)))</f>
        <v/>
      </c>
      <c r="B963" s="20" t="n"/>
      <c r="C963" s="63">
        <f>IF(G963="","",DAY(G963))</f>
        <v/>
      </c>
      <c r="D963" s="63">
        <f>IF(G963="","",MONTH(G963))</f>
        <v/>
      </c>
      <c r="E963" s="63">
        <f>IF(G963="","",YEAR(G963))</f>
        <v/>
      </c>
      <c r="F963" s="33">
        <f>IF(G963="","",CHOOSE(MONTH(G963),"Janeiro","Fevereiro","Março","Abril","Maio","Junho","Julho","Agosto","Setembro","Outubro","Novembro","Dezembro"))</f>
        <v/>
      </c>
      <c r="G963" s="64" t="n"/>
      <c r="H963" s="65" t="n"/>
      <c r="I963" s="66" t="n"/>
      <c r="J963" s="67" t="n"/>
      <c r="K963" s="67" t="n"/>
      <c r="L963" s="68" t="b">
        <v>0</v>
      </c>
      <c r="M963" s="20" t="n"/>
      <c r="N963" s="69">
        <f>IF($J963="","",IFERROR(INDEX(B!$F$2:$F$61,MATCH($J963,B!$E$2:$E$61,0))&amp;"",""))</f>
        <v/>
      </c>
      <c r="O963" s="69">
        <f>IF($J963="","",IFERROR(INDEX(B!$G$2:$G$61,MATCH($J963,B!$E$2:$E$61,0))&amp;"",""))</f>
        <v/>
      </c>
      <c r="P963" s="69">
        <f>IF($J963="","",IFERROR(INDEX(B!$H$2:$H$61,MATCH($J963,B!$E$2:$E$61,0))&amp;"",""))</f>
        <v/>
      </c>
      <c r="Q963" s="69">
        <f>IF($J963="","",IFERROR(INDEX(B!$I$2:$I$61,MATCH($J963,B!$E$2:$E$61,0))&amp;"",""))</f>
        <v/>
      </c>
      <c r="R963" s="69">
        <f>IF($J963="","",IFERROR(INDEX(B!$J$2:$J$61,MATCH($J963,B!$E$2:$E$61,0))&amp;"",""))</f>
        <v/>
      </c>
      <c r="S963" s="69">
        <f>IF($J963="","",IFERROR(INDEX(B!$K$2:$K$61,MATCH($J963,B!$E$2:$E$61,0))&amp;"",""))</f>
        <v/>
      </c>
      <c r="T963" s="69">
        <f>IF($J963="","",IFERROR(INDEX(B!$L$2:$L$61,MATCH($J963,B!$E$2:$E$61,0))&amp;"",""))</f>
        <v/>
      </c>
      <c r="U963" s="20" t="n"/>
      <c r="V963" s="70">
        <f>IF($J963="","",IFERROR(INDEX(B!$M$2:$M$61,MATCH($J963,B!$E$2:$E$61,0))&amp;"",""))</f>
        <v/>
      </c>
      <c r="W963" s="71">
        <f>IF(I963="","",IFERROR(MID(I963,FIND("/d/",I963)+3,FIND("/edit",I963)-FIND("/d/",I963)-3),I963))</f>
        <v/>
      </c>
      <c r="X963" s="71">
        <f>IF($J963="","",IFERROR(INDEX(B!$C$2:$C$61,MATCH($J963,B!$E$2:$E$61,0))&amp;"",""))</f>
        <v/>
      </c>
      <c r="Y963" s="20" t="n"/>
      <c r="Z963" s="72">
        <f>IF($J963="",FALSE,ISNUMBER(SEARCH("scout",$K963)))</f>
        <v/>
      </c>
      <c r="AA963" s="72">
        <f>IF($J963="",FALSE,IFERROR(INDEX(B!$N$2:$N$61,MATCH($J963,B!$E$2:$E$61,0))="Sim",FALSE))</f>
        <v/>
      </c>
      <c r="AB963" s="72">
        <f>IF($J963="",FALSE,LEFT($X963,2)="XX")</f>
        <v/>
      </c>
      <c r="AC963" s="72">
        <f>IF($J963="",FALSE,IFERROR(INDEX(B!$P$2:$P$61,MATCH($J963,B!$E$2:$E$61,0))="Sim",FALSE))</f>
        <v/>
      </c>
      <c r="AD963" s="20" t="n"/>
      <c r="AE963" s="52">
        <f>IF(H963="","",HOUR(H963))</f>
        <v/>
      </c>
      <c r="AF963" s="52" t="n"/>
    </row>
    <row r="964" ht="19.5" customHeight="1" s="58">
      <c r="A964" s="62">
        <f>IF(G964="","",IF(G964=G963,"",COUNTIF($G$3:$G$976,G964)))</f>
        <v/>
      </c>
      <c r="B964" s="20" t="n"/>
      <c r="C964" s="63">
        <f>IF(G964="","",DAY(G964))</f>
        <v/>
      </c>
      <c r="D964" s="63">
        <f>IF(G964="","",MONTH(G964))</f>
        <v/>
      </c>
      <c r="E964" s="63">
        <f>IF(G964="","",YEAR(G964))</f>
        <v/>
      </c>
      <c r="F964" s="33">
        <f>IF(G964="","",CHOOSE(MONTH(G964),"Janeiro","Fevereiro","Março","Abril","Maio","Junho","Julho","Agosto","Setembro","Outubro","Novembro","Dezembro"))</f>
        <v/>
      </c>
      <c r="G964" s="64" t="n"/>
      <c r="H964" s="65" t="n"/>
      <c r="I964" s="66" t="n"/>
      <c r="J964" s="67" t="n"/>
      <c r="K964" s="67" t="n"/>
      <c r="L964" s="68" t="b">
        <v>0</v>
      </c>
      <c r="M964" s="20" t="n"/>
      <c r="N964" s="69">
        <f>IF($J964="","",IFERROR(INDEX(B!$F$2:$F$61,MATCH($J964,B!$E$2:$E$61,0))&amp;"",""))</f>
        <v/>
      </c>
      <c r="O964" s="69">
        <f>IF($J964="","",IFERROR(INDEX(B!$G$2:$G$61,MATCH($J964,B!$E$2:$E$61,0))&amp;"",""))</f>
        <v/>
      </c>
      <c r="P964" s="69">
        <f>IF($J964="","",IFERROR(INDEX(B!$H$2:$H$61,MATCH($J964,B!$E$2:$E$61,0))&amp;"",""))</f>
        <v/>
      </c>
      <c r="Q964" s="69">
        <f>IF($J964="","",IFERROR(INDEX(B!$I$2:$I$61,MATCH($J964,B!$E$2:$E$61,0))&amp;"",""))</f>
        <v/>
      </c>
      <c r="R964" s="69">
        <f>IF($J964="","",IFERROR(INDEX(B!$J$2:$J$61,MATCH($J964,B!$E$2:$E$61,0))&amp;"",""))</f>
        <v/>
      </c>
      <c r="S964" s="69">
        <f>IF($J964="","",IFERROR(INDEX(B!$K$2:$K$61,MATCH($J964,B!$E$2:$E$61,0))&amp;"",""))</f>
        <v/>
      </c>
      <c r="T964" s="69">
        <f>IF($J964="","",IFERROR(INDEX(B!$L$2:$L$61,MATCH($J964,B!$E$2:$E$61,0))&amp;"",""))</f>
        <v/>
      </c>
      <c r="U964" s="20" t="n"/>
      <c r="V964" s="70">
        <f>IF($J964="","",IFERROR(INDEX(B!$M$2:$M$61,MATCH($J964,B!$E$2:$E$61,0))&amp;"",""))</f>
        <v/>
      </c>
      <c r="W964" s="71">
        <f>IF(I964="","",IFERROR(MID(I964,FIND("/d/",I964)+3,FIND("/edit",I964)-FIND("/d/",I964)-3),I964))</f>
        <v/>
      </c>
      <c r="X964" s="71">
        <f>IF($J964="","",IFERROR(INDEX(B!$C$2:$C$61,MATCH($J964,B!$E$2:$E$61,0))&amp;"",""))</f>
        <v/>
      </c>
      <c r="Y964" s="20" t="n"/>
      <c r="Z964" s="72">
        <f>IF($J964="",FALSE,ISNUMBER(SEARCH("scout",$K964)))</f>
        <v/>
      </c>
      <c r="AA964" s="72">
        <f>IF($J964="",FALSE,IFERROR(INDEX(B!$N$2:$N$61,MATCH($J964,B!$E$2:$E$61,0))="Sim",FALSE))</f>
        <v/>
      </c>
      <c r="AB964" s="72">
        <f>IF($J964="",FALSE,LEFT($X964,2)="XX")</f>
        <v/>
      </c>
      <c r="AC964" s="72">
        <f>IF($J964="",FALSE,IFERROR(INDEX(B!$P$2:$P$61,MATCH($J964,B!$E$2:$E$61,0))="Sim",FALSE))</f>
        <v/>
      </c>
      <c r="AD964" s="20" t="n"/>
      <c r="AE964" s="52">
        <f>IF(H964="","",HOUR(H964))</f>
        <v/>
      </c>
      <c r="AF964" s="52" t="n"/>
    </row>
    <row r="965" ht="19.5" customHeight="1" s="58">
      <c r="A965" s="62">
        <f>IF(G965="","",IF(G965=G964,"",COUNTIF($G$3:$G$976,G965)))</f>
        <v/>
      </c>
      <c r="B965" s="20" t="n"/>
      <c r="C965" s="63">
        <f>IF(G965="","",DAY(G965))</f>
        <v/>
      </c>
      <c r="D965" s="63">
        <f>IF(G965="","",MONTH(G965))</f>
        <v/>
      </c>
      <c r="E965" s="63">
        <f>IF(G965="","",YEAR(G965))</f>
        <v/>
      </c>
      <c r="F965" s="33">
        <f>IF(G965="","",CHOOSE(MONTH(G965),"Janeiro","Fevereiro","Março","Abril","Maio","Junho","Julho","Agosto","Setembro","Outubro","Novembro","Dezembro"))</f>
        <v/>
      </c>
      <c r="G965" s="64" t="n"/>
      <c r="H965" s="65" t="n"/>
      <c r="I965" s="66" t="n"/>
      <c r="J965" s="67" t="n"/>
      <c r="K965" s="67" t="n"/>
      <c r="L965" s="68" t="b">
        <v>0</v>
      </c>
      <c r="M965" s="20" t="n"/>
      <c r="N965" s="69">
        <f>IF($J965="","",IFERROR(INDEX(B!$F$2:$F$61,MATCH($J965,B!$E$2:$E$61,0))&amp;"",""))</f>
        <v/>
      </c>
      <c r="O965" s="69">
        <f>IF($J965="","",IFERROR(INDEX(B!$G$2:$G$61,MATCH($J965,B!$E$2:$E$61,0))&amp;"",""))</f>
        <v/>
      </c>
      <c r="P965" s="69">
        <f>IF($J965="","",IFERROR(INDEX(B!$H$2:$H$61,MATCH($J965,B!$E$2:$E$61,0))&amp;"",""))</f>
        <v/>
      </c>
      <c r="Q965" s="69">
        <f>IF($J965="","",IFERROR(INDEX(B!$I$2:$I$61,MATCH($J965,B!$E$2:$E$61,0))&amp;"",""))</f>
        <v/>
      </c>
      <c r="R965" s="69">
        <f>IF($J965="","",IFERROR(INDEX(B!$J$2:$J$61,MATCH($J965,B!$E$2:$E$61,0))&amp;"",""))</f>
        <v/>
      </c>
      <c r="S965" s="69">
        <f>IF($J965="","",IFERROR(INDEX(B!$K$2:$K$61,MATCH($J965,B!$E$2:$E$61,0))&amp;"",""))</f>
        <v/>
      </c>
      <c r="T965" s="69">
        <f>IF($J965="","",IFERROR(INDEX(B!$L$2:$L$61,MATCH($J965,B!$E$2:$E$61,0))&amp;"",""))</f>
        <v/>
      </c>
      <c r="U965" s="20" t="n"/>
      <c r="V965" s="70">
        <f>IF($J965="","",IFERROR(INDEX(B!$M$2:$M$61,MATCH($J965,B!$E$2:$E$61,0))&amp;"",""))</f>
        <v/>
      </c>
      <c r="W965" s="71">
        <f>IF(I965="","",IFERROR(MID(I965,FIND("/d/",I965)+3,FIND("/edit",I965)-FIND("/d/",I965)-3),I965))</f>
        <v/>
      </c>
      <c r="X965" s="71">
        <f>IF($J965="","",IFERROR(INDEX(B!$C$2:$C$61,MATCH($J965,B!$E$2:$E$61,0))&amp;"",""))</f>
        <v/>
      </c>
      <c r="Y965" s="20" t="n"/>
      <c r="Z965" s="72">
        <f>IF($J965="",FALSE,ISNUMBER(SEARCH("scout",$K965)))</f>
        <v/>
      </c>
      <c r="AA965" s="72">
        <f>IF($J965="",FALSE,IFERROR(INDEX(B!$N$2:$N$61,MATCH($J965,B!$E$2:$E$61,0))="Sim",FALSE))</f>
        <v/>
      </c>
      <c r="AB965" s="72">
        <f>IF($J965="",FALSE,LEFT($X965,2)="XX")</f>
        <v/>
      </c>
      <c r="AC965" s="72">
        <f>IF($J965="",FALSE,IFERROR(INDEX(B!$P$2:$P$61,MATCH($J965,B!$E$2:$E$61,0))="Sim",FALSE))</f>
        <v/>
      </c>
      <c r="AD965" s="20" t="n"/>
      <c r="AE965" s="52">
        <f>IF(H965="","",HOUR(H965))</f>
        <v/>
      </c>
      <c r="AF965" s="52" t="n"/>
    </row>
    <row r="966" ht="19.5" customHeight="1" s="58">
      <c r="A966" s="62">
        <f>IF(G966="","",IF(G966=G965,"",COUNTIF($G$3:$G$976,G966)))</f>
        <v/>
      </c>
      <c r="B966" s="20" t="n"/>
      <c r="C966" s="63">
        <f>IF(G966="","",DAY(G966))</f>
        <v/>
      </c>
      <c r="D966" s="63">
        <f>IF(G966="","",MONTH(G966))</f>
        <v/>
      </c>
      <c r="E966" s="63">
        <f>IF(G966="","",YEAR(G966))</f>
        <v/>
      </c>
      <c r="F966" s="33">
        <f>IF(G966="","",CHOOSE(MONTH(G966),"Janeiro","Fevereiro","Março","Abril","Maio","Junho","Julho","Agosto","Setembro","Outubro","Novembro","Dezembro"))</f>
        <v/>
      </c>
      <c r="G966" s="64" t="n"/>
      <c r="H966" s="65" t="n"/>
      <c r="I966" s="66" t="n"/>
      <c r="J966" s="67" t="n"/>
      <c r="K966" s="67" t="n"/>
      <c r="L966" s="68" t="b">
        <v>0</v>
      </c>
      <c r="M966" s="20" t="n"/>
      <c r="N966" s="69">
        <f>IF($J966="","",IFERROR(INDEX(B!$F$2:$F$61,MATCH($J966,B!$E$2:$E$61,0))&amp;"",""))</f>
        <v/>
      </c>
      <c r="O966" s="69">
        <f>IF($J966="","",IFERROR(INDEX(B!$G$2:$G$61,MATCH($J966,B!$E$2:$E$61,0))&amp;"",""))</f>
        <v/>
      </c>
      <c r="P966" s="69">
        <f>IF($J966="","",IFERROR(INDEX(B!$H$2:$H$61,MATCH($J966,B!$E$2:$E$61,0))&amp;"",""))</f>
        <v/>
      </c>
      <c r="Q966" s="69">
        <f>IF($J966="","",IFERROR(INDEX(B!$I$2:$I$61,MATCH($J966,B!$E$2:$E$61,0))&amp;"",""))</f>
        <v/>
      </c>
      <c r="R966" s="69">
        <f>IF($J966="","",IFERROR(INDEX(B!$J$2:$J$61,MATCH($J966,B!$E$2:$E$61,0))&amp;"",""))</f>
        <v/>
      </c>
      <c r="S966" s="69">
        <f>IF($J966="","",IFERROR(INDEX(B!$K$2:$K$61,MATCH($J966,B!$E$2:$E$61,0))&amp;"",""))</f>
        <v/>
      </c>
      <c r="T966" s="69">
        <f>IF($J966="","",IFERROR(INDEX(B!$L$2:$L$61,MATCH($J966,B!$E$2:$E$61,0))&amp;"",""))</f>
        <v/>
      </c>
      <c r="U966" s="20" t="n"/>
      <c r="V966" s="70">
        <f>IF($J966="","",IFERROR(INDEX(B!$M$2:$M$61,MATCH($J966,B!$E$2:$E$61,0))&amp;"",""))</f>
        <v/>
      </c>
      <c r="W966" s="71">
        <f>IF(I966="","",IFERROR(MID(I966,FIND("/d/",I966)+3,FIND("/edit",I966)-FIND("/d/",I966)-3),I966))</f>
        <v/>
      </c>
      <c r="X966" s="71">
        <f>IF($J966="","",IFERROR(INDEX(B!$C$2:$C$61,MATCH($J966,B!$E$2:$E$61,0))&amp;"",""))</f>
        <v/>
      </c>
      <c r="Y966" s="20" t="n"/>
      <c r="Z966" s="72">
        <f>IF($J966="",FALSE,ISNUMBER(SEARCH("scout",$K966)))</f>
        <v/>
      </c>
      <c r="AA966" s="72">
        <f>IF($J966="",FALSE,IFERROR(INDEX(B!$N$2:$N$61,MATCH($J966,B!$E$2:$E$61,0))="Sim",FALSE))</f>
        <v/>
      </c>
      <c r="AB966" s="72">
        <f>IF($J966="",FALSE,LEFT($X966,2)="XX")</f>
        <v/>
      </c>
      <c r="AC966" s="72">
        <f>IF($J966="",FALSE,IFERROR(INDEX(B!$P$2:$P$61,MATCH($J966,B!$E$2:$E$61,0))="Sim",FALSE))</f>
        <v/>
      </c>
      <c r="AD966" s="20" t="n"/>
      <c r="AE966" s="52">
        <f>IF(H966="","",HOUR(H966))</f>
        <v/>
      </c>
      <c r="AF966" s="52" t="n"/>
    </row>
    <row r="967" ht="19.5" customHeight="1" s="58">
      <c r="A967" s="62">
        <f>IF(G967="","",IF(G967=G966,"",COUNTIF($G$3:$G$976,G967)))</f>
        <v/>
      </c>
      <c r="B967" s="20" t="n"/>
      <c r="C967" s="63">
        <f>IF(G967="","",DAY(G967))</f>
        <v/>
      </c>
      <c r="D967" s="63">
        <f>IF(G967="","",MONTH(G967))</f>
        <v/>
      </c>
      <c r="E967" s="63">
        <f>IF(G967="","",YEAR(G967))</f>
        <v/>
      </c>
      <c r="F967" s="33">
        <f>IF(G967="","",CHOOSE(MONTH(G967),"Janeiro","Fevereiro","Março","Abril","Maio","Junho","Julho","Agosto","Setembro","Outubro","Novembro","Dezembro"))</f>
        <v/>
      </c>
      <c r="G967" s="64" t="n"/>
      <c r="H967" s="65" t="n"/>
      <c r="I967" s="66" t="n"/>
      <c r="J967" s="67" t="n"/>
      <c r="K967" s="67" t="n"/>
      <c r="L967" s="68" t="b">
        <v>0</v>
      </c>
      <c r="M967" s="20" t="n"/>
      <c r="N967" s="69">
        <f>IF($J967="","",IFERROR(INDEX(B!$F$2:$F$61,MATCH($J967,B!$E$2:$E$61,0))&amp;"",""))</f>
        <v/>
      </c>
      <c r="O967" s="69">
        <f>IF($J967="","",IFERROR(INDEX(B!$G$2:$G$61,MATCH($J967,B!$E$2:$E$61,0))&amp;"",""))</f>
        <v/>
      </c>
      <c r="P967" s="69">
        <f>IF($J967="","",IFERROR(INDEX(B!$H$2:$H$61,MATCH($J967,B!$E$2:$E$61,0))&amp;"",""))</f>
        <v/>
      </c>
      <c r="Q967" s="69">
        <f>IF($J967="","",IFERROR(INDEX(B!$I$2:$I$61,MATCH($J967,B!$E$2:$E$61,0))&amp;"",""))</f>
        <v/>
      </c>
      <c r="R967" s="69">
        <f>IF($J967="","",IFERROR(INDEX(B!$J$2:$J$61,MATCH($J967,B!$E$2:$E$61,0))&amp;"",""))</f>
        <v/>
      </c>
      <c r="S967" s="69">
        <f>IF($J967="","",IFERROR(INDEX(B!$K$2:$K$61,MATCH($J967,B!$E$2:$E$61,0))&amp;"",""))</f>
        <v/>
      </c>
      <c r="T967" s="69">
        <f>IF($J967="","",IFERROR(INDEX(B!$L$2:$L$61,MATCH($J967,B!$E$2:$E$61,0))&amp;"",""))</f>
        <v/>
      </c>
      <c r="U967" s="20" t="n"/>
      <c r="V967" s="70">
        <f>IF($J967="","",IFERROR(INDEX(B!$M$2:$M$61,MATCH($J967,B!$E$2:$E$61,0))&amp;"",""))</f>
        <v/>
      </c>
      <c r="W967" s="71">
        <f>IF(I967="","",IFERROR(MID(I967,FIND("/d/",I967)+3,FIND("/edit",I967)-FIND("/d/",I967)-3),I967))</f>
        <v/>
      </c>
      <c r="X967" s="71">
        <f>IF($J967="","",IFERROR(INDEX(B!$C$2:$C$61,MATCH($J967,B!$E$2:$E$61,0))&amp;"",""))</f>
        <v/>
      </c>
      <c r="Y967" s="20" t="n"/>
      <c r="Z967" s="72">
        <f>IF($J967="",FALSE,ISNUMBER(SEARCH("scout",$K967)))</f>
        <v/>
      </c>
      <c r="AA967" s="72">
        <f>IF($J967="",FALSE,IFERROR(INDEX(B!$N$2:$N$61,MATCH($J967,B!$E$2:$E$61,0))="Sim",FALSE))</f>
        <v/>
      </c>
      <c r="AB967" s="72">
        <f>IF($J967="",FALSE,LEFT($X967,2)="XX")</f>
        <v/>
      </c>
      <c r="AC967" s="72">
        <f>IF($J967="",FALSE,IFERROR(INDEX(B!$P$2:$P$61,MATCH($J967,B!$E$2:$E$61,0))="Sim",FALSE))</f>
        <v/>
      </c>
      <c r="AD967" s="20" t="n"/>
      <c r="AE967" s="52">
        <f>IF(H967="","",HOUR(H967))</f>
        <v/>
      </c>
      <c r="AF967" s="52" t="n"/>
    </row>
    <row r="968" ht="19.5" customHeight="1" s="58">
      <c r="A968" s="62">
        <f>IF(G968="","",IF(G968=G967,"",COUNTIF($G$3:$G$976,G968)))</f>
        <v/>
      </c>
      <c r="B968" s="20" t="n"/>
      <c r="C968" s="63">
        <f>IF(G968="","",DAY(G968))</f>
        <v/>
      </c>
      <c r="D968" s="63">
        <f>IF(G968="","",MONTH(G968))</f>
        <v/>
      </c>
      <c r="E968" s="63">
        <f>IF(G968="","",YEAR(G968))</f>
        <v/>
      </c>
      <c r="F968" s="33">
        <f>IF(G968="","",CHOOSE(MONTH(G968),"Janeiro","Fevereiro","Março","Abril","Maio","Junho","Julho","Agosto","Setembro","Outubro","Novembro","Dezembro"))</f>
        <v/>
      </c>
      <c r="G968" s="64" t="n"/>
      <c r="H968" s="65" t="n"/>
      <c r="I968" s="66" t="n"/>
      <c r="J968" s="67" t="n"/>
      <c r="K968" s="67" t="n"/>
      <c r="L968" s="68" t="b">
        <v>0</v>
      </c>
      <c r="M968" s="20" t="n"/>
      <c r="N968" s="69">
        <f>IF($J968="","",IFERROR(INDEX(B!$F$2:$F$61,MATCH($J968,B!$E$2:$E$61,0))&amp;"",""))</f>
        <v/>
      </c>
      <c r="O968" s="69">
        <f>IF($J968="","",IFERROR(INDEX(B!$G$2:$G$61,MATCH($J968,B!$E$2:$E$61,0))&amp;"",""))</f>
        <v/>
      </c>
      <c r="P968" s="69">
        <f>IF($J968="","",IFERROR(INDEX(B!$H$2:$H$61,MATCH($J968,B!$E$2:$E$61,0))&amp;"",""))</f>
        <v/>
      </c>
      <c r="Q968" s="69">
        <f>IF($J968="","",IFERROR(INDEX(B!$I$2:$I$61,MATCH($J968,B!$E$2:$E$61,0))&amp;"",""))</f>
        <v/>
      </c>
      <c r="R968" s="69">
        <f>IF($J968="","",IFERROR(INDEX(B!$J$2:$J$61,MATCH($J968,B!$E$2:$E$61,0))&amp;"",""))</f>
        <v/>
      </c>
      <c r="S968" s="69">
        <f>IF($J968="","",IFERROR(INDEX(B!$K$2:$K$61,MATCH($J968,B!$E$2:$E$61,0))&amp;"",""))</f>
        <v/>
      </c>
      <c r="T968" s="69">
        <f>IF($J968="","",IFERROR(INDEX(B!$L$2:$L$61,MATCH($J968,B!$E$2:$E$61,0))&amp;"",""))</f>
        <v/>
      </c>
      <c r="U968" s="20" t="n"/>
      <c r="V968" s="70">
        <f>IF($J968="","",IFERROR(INDEX(B!$M$2:$M$61,MATCH($J968,B!$E$2:$E$61,0))&amp;"",""))</f>
        <v/>
      </c>
      <c r="W968" s="71">
        <f>IF(I968="","",IFERROR(MID(I968,FIND("/d/",I968)+3,FIND("/edit",I968)-FIND("/d/",I968)-3),I968))</f>
        <v/>
      </c>
      <c r="X968" s="71">
        <f>IF($J968="","",IFERROR(INDEX(B!$C$2:$C$61,MATCH($J968,B!$E$2:$E$61,0))&amp;"",""))</f>
        <v/>
      </c>
      <c r="Y968" s="20" t="n"/>
      <c r="Z968" s="72">
        <f>IF($J968="",FALSE,ISNUMBER(SEARCH("scout",$K968)))</f>
        <v/>
      </c>
      <c r="AA968" s="72">
        <f>IF($J968="",FALSE,IFERROR(INDEX(B!$N$2:$N$61,MATCH($J968,B!$E$2:$E$61,0))="Sim",FALSE))</f>
        <v/>
      </c>
      <c r="AB968" s="72">
        <f>IF($J968="",FALSE,LEFT($X968,2)="XX")</f>
        <v/>
      </c>
      <c r="AC968" s="72">
        <f>IF($J968="",FALSE,IFERROR(INDEX(B!$P$2:$P$61,MATCH($J968,B!$E$2:$E$61,0))="Sim",FALSE))</f>
        <v/>
      </c>
      <c r="AD968" s="20" t="n"/>
      <c r="AE968" s="52">
        <f>IF(H968="","",HOUR(H968))</f>
        <v/>
      </c>
      <c r="AF968" s="52" t="n"/>
    </row>
    <row r="969" ht="19.5" customHeight="1" s="58">
      <c r="A969" s="62">
        <f>IF(G969="","",IF(G969=G968,"",COUNTIF($G$3:$G$976,G969)))</f>
        <v/>
      </c>
      <c r="B969" s="20" t="n"/>
      <c r="C969" s="63">
        <f>IF(G969="","",DAY(G969))</f>
        <v/>
      </c>
      <c r="D969" s="63">
        <f>IF(G969="","",MONTH(G969))</f>
        <v/>
      </c>
      <c r="E969" s="63">
        <f>IF(G969="","",YEAR(G969))</f>
        <v/>
      </c>
      <c r="F969" s="33">
        <f>IF(G969="","",CHOOSE(MONTH(G969),"Janeiro","Fevereiro","Março","Abril","Maio","Junho","Julho","Agosto","Setembro","Outubro","Novembro","Dezembro"))</f>
        <v/>
      </c>
      <c r="G969" s="64" t="n"/>
      <c r="H969" s="65" t="n"/>
      <c r="I969" s="66" t="n"/>
      <c r="J969" s="67" t="n"/>
      <c r="K969" s="67" t="n"/>
      <c r="L969" s="68" t="b">
        <v>0</v>
      </c>
      <c r="M969" s="20" t="n"/>
      <c r="N969" s="69">
        <f>IF($J969="","",IFERROR(INDEX(B!$F$2:$F$61,MATCH($J969,B!$E$2:$E$61,0))&amp;"",""))</f>
        <v/>
      </c>
      <c r="O969" s="69">
        <f>IF($J969="","",IFERROR(INDEX(B!$G$2:$G$61,MATCH($J969,B!$E$2:$E$61,0))&amp;"",""))</f>
        <v/>
      </c>
      <c r="P969" s="69">
        <f>IF($J969="","",IFERROR(INDEX(B!$H$2:$H$61,MATCH($J969,B!$E$2:$E$61,0))&amp;"",""))</f>
        <v/>
      </c>
      <c r="Q969" s="69">
        <f>IF($J969="","",IFERROR(INDEX(B!$I$2:$I$61,MATCH($J969,B!$E$2:$E$61,0))&amp;"",""))</f>
        <v/>
      </c>
      <c r="R969" s="69">
        <f>IF($J969="","",IFERROR(INDEX(B!$J$2:$J$61,MATCH($J969,B!$E$2:$E$61,0))&amp;"",""))</f>
        <v/>
      </c>
      <c r="S969" s="69">
        <f>IF($J969="","",IFERROR(INDEX(B!$K$2:$K$61,MATCH($J969,B!$E$2:$E$61,0))&amp;"",""))</f>
        <v/>
      </c>
      <c r="T969" s="69">
        <f>IF($J969="","",IFERROR(INDEX(B!$L$2:$L$61,MATCH($J969,B!$E$2:$E$61,0))&amp;"",""))</f>
        <v/>
      </c>
      <c r="U969" s="20" t="n"/>
      <c r="V969" s="70">
        <f>IF($J969="","",IFERROR(INDEX(B!$M$2:$M$61,MATCH($J969,B!$E$2:$E$61,0))&amp;"",""))</f>
        <v/>
      </c>
      <c r="W969" s="71">
        <f>IF(I969="","",IFERROR(MID(I969,FIND("/d/",I969)+3,FIND("/edit",I969)-FIND("/d/",I969)-3),I969))</f>
        <v/>
      </c>
      <c r="X969" s="71">
        <f>IF($J969="","",IFERROR(INDEX(B!$C$2:$C$61,MATCH($J969,B!$E$2:$E$61,0))&amp;"",""))</f>
        <v/>
      </c>
      <c r="Y969" s="20" t="n"/>
      <c r="Z969" s="72">
        <f>IF($J969="",FALSE,ISNUMBER(SEARCH("scout",$K969)))</f>
        <v/>
      </c>
      <c r="AA969" s="72">
        <f>IF($J969="",FALSE,IFERROR(INDEX(B!$N$2:$N$61,MATCH($J969,B!$E$2:$E$61,0))="Sim",FALSE))</f>
        <v/>
      </c>
      <c r="AB969" s="72">
        <f>IF($J969="",FALSE,LEFT($X969,2)="XX")</f>
        <v/>
      </c>
      <c r="AC969" s="72">
        <f>IF($J969="",FALSE,IFERROR(INDEX(B!$P$2:$P$61,MATCH($J969,B!$E$2:$E$61,0))="Sim",FALSE))</f>
        <v/>
      </c>
      <c r="AD969" s="20" t="n"/>
      <c r="AE969" s="52">
        <f>IF(H969="","",HOUR(H969))</f>
        <v/>
      </c>
      <c r="AF969" s="52" t="n"/>
    </row>
    <row r="970" ht="19.5" customHeight="1" s="58">
      <c r="A970" s="62">
        <f>IF(G970="","",IF(G970=G969,"",COUNTIF($G$3:$G$976,G970)))</f>
        <v/>
      </c>
      <c r="B970" s="20" t="n"/>
      <c r="C970" s="63">
        <f>IF(G970="","",DAY(G970))</f>
        <v/>
      </c>
      <c r="D970" s="63">
        <f>IF(G970="","",MONTH(G970))</f>
        <v/>
      </c>
      <c r="E970" s="63">
        <f>IF(G970="","",YEAR(G970))</f>
        <v/>
      </c>
      <c r="F970" s="33">
        <f>IF(G970="","",CHOOSE(MONTH(G970),"Janeiro","Fevereiro","Março","Abril","Maio","Junho","Julho","Agosto","Setembro","Outubro","Novembro","Dezembro"))</f>
        <v/>
      </c>
      <c r="G970" s="64" t="n"/>
      <c r="H970" s="65" t="n"/>
      <c r="I970" s="66" t="n"/>
      <c r="J970" s="67" t="n"/>
      <c r="K970" s="67" t="n"/>
      <c r="L970" s="68" t="b">
        <v>0</v>
      </c>
      <c r="M970" s="20" t="n"/>
      <c r="N970" s="69">
        <f>IF($J970="","",IFERROR(INDEX(B!$F$2:$F$61,MATCH($J970,B!$E$2:$E$61,0))&amp;"",""))</f>
        <v/>
      </c>
      <c r="O970" s="69">
        <f>IF($J970="","",IFERROR(INDEX(B!$G$2:$G$61,MATCH($J970,B!$E$2:$E$61,0))&amp;"",""))</f>
        <v/>
      </c>
      <c r="P970" s="69">
        <f>IF($J970="","",IFERROR(INDEX(B!$H$2:$H$61,MATCH($J970,B!$E$2:$E$61,0))&amp;"",""))</f>
        <v/>
      </c>
      <c r="Q970" s="69">
        <f>IF($J970="","",IFERROR(INDEX(B!$I$2:$I$61,MATCH($J970,B!$E$2:$E$61,0))&amp;"",""))</f>
        <v/>
      </c>
      <c r="R970" s="69">
        <f>IF($J970="","",IFERROR(INDEX(B!$J$2:$J$61,MATCH($J970,B!$E$2:$E$61,0))&amp;"",""))</f>
        <v/>
      </c>
      <c r="S970" s="69">
        <f>IF($J970="","",IFERROR(INDEX(B!$K$2:$K$61,MATCH($J970,B!$E$2:$E$61,0))&amp;"",""))</f>
        <v/>
      </c>
      <c r="T970" s="69">
        <f>IF($J970="","",IFERROR(INDEX(B!$L$2:$L$61,MATCH($J970,B!$E$2:$E$61,0))&amp;"",""))</f>
        <v/>
      </c>
      <c r="U970" s="20" t="n"/>
      <c r="V970" s="70">
        <f>IF($J970="","",IFERROR(INDEX(B!$M$2:$M$61,MATCH($J970,B!$E$2:$E$61,0))&amp;"",""))</f>
        <v/>
      </c>
      <c r="W970" s="71">
        <f>IF(I970="","",IFERROR(MID(I970,FIND("/d/",I970)+3,FIND("/edit",I970)-FIND("/d/",I970)-3),I970))</f>
        <v/>
      </c>
      <c r="X970" s="71">
        <f>IF($J970="","",IFERROR(INDEX(B!$C$2:$C$61,MATCH($J970,B!$E$2:$E$61,0))&amp;"",""))</f>
        <v/>
      </c>
      <c r="Y970" s="20" t="n"/>
      <c r="Z970" s="72">
        <f>IF($J970="",FALSE,ISNUMBER(SEARCH("scout",$K970)))</f>
        <v/>
      </c>
      <c r="AA970" s="72">
        <f>IF($J970="",FALSE,IFERROR(INDEX(B!$N$2:$N$61,MATCH($J970,B!$E$2:$E$61,0))="Sim",FALSE))</f>
        <v/>
      </c>
      <c r="AB970" s="72">
        <f>IF($J970="",FALSE,LEFT($X970,2)="XX")</f>
        <v/>
      </c>
      <c r="AC970" s="72">
        <f>IF($J970="",FALSE,IFERROR(INDEX(B!$P$2:$P$61,MATCH($J970,B!$E$2:$E$61,0))="Sim",FALSE))</f>
        <v/>
      </c>
      <c r="AD970" s="20" t="n"/>
      <c r="AE970" s="52">
        <f>IF(H970="","",HOUR(H970))</f>
        <v/>
      </c>
      <c r="AF970" s="52" t="n"/>
    </row>
    <row r="971" ht="19.5" customHeight="1" s="58">
      <c r="A971" s="62">
        <f>IF(G971="","",IF(G971=G970,"",COUNTIF($G$3:$G$976,G971)))</f>
        <v/>
      </c>
      <c r="B971" s="20" t="n"/>
      <c r="C971" s="63">
        <f>IF(G971="","",DAY(G971))</f>
        <v/>
      </c>
      <c r="D971" s="63">
        <f>IF(G971="","",MONTH(G971))</f>
        <v/>
      </c>
      <c r="E971" s="63">
        <f>IF(G971="","",YEAR(G971))</f>
        <v/>
      </c>
      <c r="F971" s="33">
        <f>IF(G971="","",CHOOSE(MONTH(G971),"Janeiro","Fevereiro","Março","Abril","Maio","Junho","Julho","Agosto","Setembro","Outubro","Novembro","Dezembro"))</f>
        <v/>
      </c>
      <c r="G971" s="64" t="n"/>
      <c r="H971" s="65" t="n"/>
      <c r="I971" s="66" t="n"/>
      <c r="J971" s="67" t="n"/>
      <c r="K971" s="67" t="n"/>
      <c r="L971" s="68" t="b">
        <v>0</v>
      </c>
      <c r="M971" s="20" t="n"/>
      <c r="N971" s="69">
        <f>IF($J971="","",IFERROR(INDEX(B!$F$2:$F$61,MATCH($J971,B!$E$2:$E$61,0))&amp;"",""))</f>
        <v/>
      </c>
      <c r="O971" s="69">
        <f>IF($J971="","",IFERROR(INDEX(B!$G$2:$G$61,MATCH($J971,B!$E$2:$E$61,0))&amp;"",""))</f>
        <v/>
      </c>
      <c r="P971" s="69">
        <f>IF($J971="","",IFERROR(INDEX(B!$H$2:$H$61,MATCH($J971,B!$E$2:$E$61,0))&amp;"",""))</f>
        <v/>
      </c>
      <c r="Q971" s="69">
        <f>IF($J971="","",IFERROR(INDEX(B!$I$2:$I$61,MATCH($J971,B!$E$2:$E$61,0))&amp;"",""))</f>
        <v/>
      </c>
      <c r="R971" s="69">
        <f>IF($J971="","",IFERROR(INDEX(B!$J$2:$J$61,MATCH($J971,B!$E$2:$E$61,0))&amp;"",""))</f>
        <v/>
      </c>
      <c r="S971" s="69">
        <f>IF($J971="","",IFERROR(INDEX(B!$K$2:$K$61,MATCH($J971,B!$E$2:$E$61,0))&amp;"",""))</f>
        <v/>
      </c>
      <c r="T971" s="69">
        <f>IF($J971="","",IFERROR(INDEX(B!$L$2:$L$61,MATCH($J971,B!$E$2:$E$61,0))&amp;"",""))</f>
        <v/>
      </c>
      <c r="U971" s="20" t="n"/>
      <c r="V971" s="70">
        <f>IF($J971="","",IFERROR(INDEX(B!$M$2:$M$61,MATCH($J971,B!$E$2:$E$61,0))&amp;"",""))</f>
        <v/>
      </c>
      <c r="W971" s="71">
        <f>IF(I971="","",IFERROR(MID(I971,FIND("/d/",I971)+3,FIND("/edit",I971)-FIND("/d/",I971)-3),I971))</f>
        <v/>
      </c>
      <c r="X971" s="71">
        <f>IF($J971="","",IFERROR(INDEX(B!$C$2:$C$61,MATCH($J971,B!$E$2:$E$61,0))&amp;"",""))</f>
        <v/>
      </c>
      <c r="Y971" s="20" t="n"/>
      <c r="Z971" s="72">
        <f>IF($J971="",FALSE,ISNUMBER(SEARCH("scout",$K971)))</f>
        <v/>
      </c>
      <c r="AA971" s="72">
        <f>IF($J971="",FALSE,IFERROR(INDEX(B!$N$2:$N$61,MATCH($J971,B!$E$2:$E$61,0))="Sim",FALSE))</f>
        <v/>
      </c>
      <c r="AB971" s="72">
        <f>IF($J971="",FALSE,LEFT($X971,2)="XX")</f>
        <v/>
      </c>
      <c r="AC971" s="72">
        <f>IF($J971="",FALSE,IFERROR(INDEX(B!$P$2:$P$61,MATCH($J971,B!$E$2:$E$61,0))="Sim",FALSE))</f>
        <v/>
      </c>
      <c r="AD971" s="20" t="n"/>
      <c r="AE971" s="52">
        <f>IF(H971="","",HOUR(H971))</f>
        <v/>
      </c>
      <c r="AF971" s="52" t="n"/>
    </row>
    <row r="972" ht="19.5" customHeight="1" s="58">
      <c r="A972" s="62">
        <f>IF(G972="","",IF(G972=G971,"",COUNTIF($G$3:$G$976,G972)))</f>
        <v/>
      </c>
      <c r="B972" s="20" t="n"/>
      <c r="C972" s="63">
        <f>IF(G972="","",DAY(G972))</f>
        <v/>
      </c>
      <c r="D972" s="63">
        <f>IF(G972="","",MONTH(G972))</f>
        <v/>
      </c>
      <c r="E972" s="63">
        <f>IF(G972="","",YEAR(G972))</f>
        <v/>
      </c>
      <c r="F972" s="33">
        <f>IF(G972="","",CHOOSE(MONTH(G972),"Janeiro","Fevereiro","Março","Abril","Maio","Junho","Julho","Agosto","Setembro","Outubro","Novembro","Dezembro"))</f>
        <v/>
      </c>
      <c r="G972" s="64" t="n"/>
      <c r="H972" s="65" t="n"/>
      <c r="I972" s="66" t="n"/>
      <c r="J972" s="67" t="n"/>
      <c r="K972" s="67" t="n"/>
      <c r="L972" s="68" t="b">
        <v>0</v>
      </c>
      <c r="M972" s="20" t="n"/>
      <c r="N972" s="69">
        <f>IF($J972="","",IFERROR(INDEX(B!$F$2:$F$61,MATCH($J972,B!$E$2:$E$61,0))&amp;"",""))</f>
        <v/>
      </c>
      <c r="O972" s="69">
        <f>IF($J972="","",IFERROR(INDEX(B!$G$2:$G$61,MATCH($J972,B!$E$2:$E$61,0))&amp;"",""))</f>
        <v/>
      </c>
      <c r="P972" s="69">
        <f>IF($J972="","",IFERROR(INDEX(B!$H$2:$H$61,MATCH($J972,B!$E$2:$E$61,0))&amp;"",""))</f>
        <v/>
      </c>
      <c r="Q972" s="69">
        <f>IF($J972="","",IFERROR(INDEX(B!$I$2:$I$61,MATCH($J972,B!$E$2:$E$61,0))&amp;"",""))</f>
        <v/>
      </c>
      <c r="R972" s="69">
        <f>IF($J972="","",IFERROR(INDEX(B!$J$2:$J$61,MATCH($J972,B!$E$2:$E$61,0))&amp;"",""))</f>
        <v/>
      </c>
      <c r="S972" s="69">
        <f>IF($J972="","",IFERROR(INDEX(B!$K$2:$K$61,MATCH($J972,B!$E$2:$E$61,0))&amp;"",""))</f>
        <v/>
      </c>
      <c r="T972" s="69">
        <f>IF($J972="","",IFERROR(INDEX(B!$L$2:$L$61,MATCH($J972,B!$E$2:$E$61,0))&amp;"",""))</f>
        <v/>
      </c>
      <c r="U972" s="20" t="n"/>
      <c r="V972" s="70">
        <f>IF($J972="","",IFERROR(INDEX(B!$M$2:$M$61,MATCH($J972,B!$E$2:$E$61,0))&amp;"",""))</f>
        <v/>
      </c>
      <c r="W972" s="71">
        <f>IF(I972="","",IFERROR(MID(I972,FIND("/d/",I972)+3,FIND("/edit",I972)-FIND("/d/",I972)-3),I972))</f>
        <v/>
      </c>
      <c r="X972" s="71">
        <f>IF($J972="","",IFERROR(INDEX(B!$C$2:$C$61,MATCH($J972,B!$E$2:$E$61,0))&amp;"",""))</f>
        <v/>
      </c>
      <c r="Y972" s="20" t="n"/>
      <c r="Z972" s="72">
        <f>IF($J972="",FALSE,ISNUMBER(SEARCH("scout",$K972)))</f>
        <v/>
      </c>
      <c r="AA972" s="72">
        <f>IF($J972="",FALSE,IFERROR(INDEX(B!$N$2:$N$61,MATCH($J972,B!$E$2:$E$61,0))="Sim",FALSE))</f>
        <v/>
      </c>
      <c r="AB972" s="72">
        <f>IF($J972="",FALSE,LEFT($X972,2)="XX")</f>
        <v/>
      </c>
      <c r="AC972" s="72">
        <f>IF($J972="",FALSE,IFERROR(INDEX(B!$P$2:$P$61,MATCH($J972,B!$E$2:$E$61,0))="Sim",FALSE))</f>
        <v/>
      </c>
      <c r="AD972" s="20" t="n"/>
      <c r="AE972" s="52">
        <f>IF(H972="","",HOUR(H972))</f>
        <v/>
      </c>
      <c r="AF972" s="52" t="n"/>
    </row>
    <row r="973" ht="19.5" customHeight="1" s="58">
      <c r="A973" s="62">
        <f>IF(G973="","",IF(G973=G972,"",COUNTIF($G$3:$G$976,G973)))</f>
        <v/>
      </c>
      <c r="B973" s="20" t="n"/>
      <c r="C973" s="63">
        <f>IF(G973="","",DAY(G973))</f>
        <v/>
      </c>
      <c r="D973" s="63">
        <f>IF(G973="","",MONTH(G973))</f>
        <v/>
      </c>
      <c r="E973" s="63">
        <f>IF(G973="","",YEAR(G973))</f>
        <v/>
      </c>
      <c r="F973" s="33">
        <f>IF(G973="","",CHOOSE(MONTH(G973),"Janeiro","Fevereiro","Março","Abril","Maio","Junho","Julho","Agosto","Setembro","Outubro","Novembro","Dezembro"))</f>
        <v/>
      </c>
      <c r="G973" s="64" t="n"/>
      <c r="H973" s="65" t="n"/>
      <c r="I973" s="66" t="n"/>
      <c r="J973" s="67" t="n"/>
      <c r="K973" s="67" t="n"/>
      <c r="L973" s="68" t="b">
        <v>0</v>
      </c>
      <c r="M973" s="20" t="n"/>
      <c r="N973" s="69">
        <f>IF($J973="","",IFERROR(INDEX(B!$F$2:$F$61,MATCH($J973,B!$E$2:$E$61,0))&amp;"",""))</f>
        <v/>
      </c>
      <c r="O973" s="69">
        <f>IF($J973="","",IFERROR(INDEX(B!$G$2:$G$61,MATCH($J973,B!$E$2:$E$61,0))&amp;"",""))</f>
        <v/>
      </c>
      <c r="P973" s="69">
        <f>IF($J973="","",IFERROR(INDEX(B!$H$2:$H$61,MATCH($J973,B!$E$2:$E$61,0))&amp;"",""))</f>
        <v/>
      </c>
      <c r="Q973" s="69">
        <f>IF($J973="","",IFERROR(INDEX(B!$I$2:$I$61,MATCH($J973,B!$E$2:$E$61,0))&amp;"",""))</f>
        <v/>
      </c>
      <c r="R973" s="69">
        <f>IF($J973="","",IFERROR(INDEX(B!$J$2:$J$61,MATCH($J973,B!$E$2:$E$61,0))&amp;"",""))</f>
        <v/>
      </c>
      <c r="S973" s="69">
        <f>IF($J973="","",IFERROR(INDEX(B!$K$2:$K$61,MATCH($J973,B!$E$2:$E$61,0))&amp;"",""))</f>
        <v/>
      </c>
      <c r="T973" s="69">
        <f>IF($J973="","",IFERROR(INDEX(B!$L$2:$L$61,MATCH($J973,B!$E$2:$E$61,0))&amp;"",""))</f>
        <v/>
      </c>
      <c r="U973" s="20" t="n"/>
      <c r="V973" s="70">
        <f>IF($J973="","",IFERROR(INDEX(B!$M$2:$M$61,MATCH($J973,B!$E$2:$E$61,0))&amp;"",""))</f>
        <v/>
      </c>
      <c r="W973" s="71">
        <f>IF(I973="","",IFERROR(MID(I973,FIND("/d/",I973)+3,FIND("/edit",I973)-FIND("/d/",I973)-3),I973))</f>
        <v/>
      </c>
      <c r="X973" s="71">
        <f>IF($J973="","",IFERROR(INDEX(B!$C$2:$C$61,MATCH($J973,B!$E$2:$E$61,0))&amp;"",""))</f>
        <v/>
      </c>
      <c r="Y973" s="20" t="n"/>
      <c r="Z973" s="72">
        <f>IF($J973="",FALSE,ISNUMBER(SEARCH("scout",$K973)))</f>
        <v/>
      </c>
      <c r="AA973" s="72">
        <f>IF($J973="",FALSE,IFERROR(INDEX(B!$N$2:$N$61,MATCH($J973,B!$E$2:$E$61,0))="Sim",FALSE))</f>
        <v/>
      </c>
      <c r="AB973" s="72">
        <f>IF($J973="",FALSE,LEFT($X973,2)="XX")</f>
        <v/>
      </c>
      <c r="AC973" s="72">
        <f>IF($J973="",FALSE,IFERROR(INDEX(B!$P$2:$P$61,MATCH($J973,B!$E$2:$E$61,0))="Sim",FALSE))</f>
        <v/>
      </c>
      <c r="AD973" s="20" t="n"/>
      <c r="AE973" s="52">
        <f>IF(H973="","",HOUR(H973))</f>
        <v/>
      </c>
      <c r="AF973" s="52" t="n"/>
    </row>
    <row r="974" ht="19.5" customHeight="1" s="58">
      <c r="A974" s="62">
        <f>IF(G974="","",IF(G974=G973,"",COUNTIF($G$3:$G$976,G974)))</f>
        <v/>
      </c>
      <c r="B974" s="20" t="n"/>
      <c r="C974" s="63">
        <f>IF(G974="","",DAY(G974))</f>
        <v/>
      </c>
      <c r="D974" s="63">
        <f>IF(G974="","",MONTH(G974))</f>
        <v/>
      </c>
      <c r="E974" s="63">
        <f>IF(G974="","",YEAR(G974))</f>
        <v/>
      </c>
      <c r="F974" s="33">
        <f>IF(G974="","",CHOOSE(MONTH(G974),"Janeiro","Fevereiro","Março","Abril","Maio","Junho","Julho","Agosto","Setembro","Outubro","Novembro","Dezembro"))</f>
        <v/>
      </c>
      <c r="G974" s="64" t="n"/>
      <c r="H974" s="65" t="n"/>
      <c r="I974" s="66" t="n"/>
      <c r="J974" s="67" t="n"/>
      <c r="K974" s="67" t="n"/>
      <c r="L974" s="68" t="b">
        <v>0</v>
      </c>
      <c r="M974" s="20" t="n"/>
      <c r="N974" s="69">
        <f>IF($J974="","",IFERROR(INDEX(B!$F$2:$F$61,MATCH($J974,B!$E$2:$E$61,0))&amp;"",""))</f>
        <v/>
      </c>
      <c r="O974" s="69">
        <f>IF($J974="","",IFERROR(INDEX(B!$G$2:$G$61,MATCH($J974,B!$E$2:$E$61,0))&amp;"",""))</f>
        <v/>
      </c>
      <c r="P974" s="69">
        <f>IF($J974="","",IFERROR(INDEX(B!$H$2:$H$61,MATCH($J974,B!$E$2:$E$61,0))&amp;"",""))</f>
        <v/>
      </c>
      <c r="Q974" s="69">
        <f>IF($J974="","",IFERROR(INDEX(B!$I$2:$I$61,MATCH($J974,B!$E$2:$E$61,0))&amp;"",""))</f>
        <v/>
      </c>
      <c r="R974" s="69">
        <f>IF($J974="","",IFERROR(INDEX(B!$J$2:$J$61,MATCH($J974,B!$E$2:$E$61,0))&amp;"",""))</f>
        <v/>
      </c>
      <c r="S974" s="69">
        <f>IF($J974="","",IFERROR(INDEX(B!$K$2:$K$61,MATCH($J974,B!$E$2:$E$61,0))&amp;"",""))</f>
        <v/>
      </c>
      <c r="T974" s="69">
        <f>IF($J974="","",IFERROR(INDEX(B!$L$2:$L$61,MATCH($J974,B!$E$2:$E$61,0))&amp;"",""))</f>
        <v/>
      </c>
      <c r="U974" s="20" t="n"/>
      <c r="V974" s="70">
        <f>IF($J974="","",IFERROR(INDEX(B!$M$2:$M$61,MATCH($J974,B!$E$2:$E$61,0))&amp;"",""))</f>
        <v/>
      </c>
      <c r="W974" s="71">
        <f>IF(I974="","",IFERROR(MID(I974,FIND("/d/",I974)+3,FIND("/edit",I974)-FIND("/d/",I974)-3),I974))</f>
        <v/>
      </c>
      <c r="X974" s="71">
        <f>IF($J974="","",IFERROR(INDEX(B!$C$2:$C$61,MATCH($J974,B!$E$2:$E$61,0))&amp;"",""))</f>
        <v/>
      </c>
      <c r="Y974" s="20" t="n"/>
      <c r="Z974" s="72">
        <f>IF($J974="",FALSE,ISNUMBER(SEARCH("scout",$K974)))</f>
        <v/>
      </c>
      <c r="AA974" s="72">
        <f>IF($J974="",FALSE,IFERROR(INDEX(B!$N$2:$N$61,MATCH($J974,B!$E$2:$E$61,0))="Sim",FALSE))</f>
        <v/>
      </c>
      <c r="AB974" s="72">
        <f>IF($J974="",FALSE,LEFT($X974,2)="XX")</f>
        <v/>
      </c>
      <c r="AC974" s="72">
        <f>IF($J974="",FALSE,IFERROR(INDEX(B!$P$2:$P$61,MATCH($J974,B!$E$2:$E$61,0))="Sim",FALSE))</f>
        <v/>
      </c>
      <c r="AD974" s="20" t="n"/>
      <c r="AE974" s="52">
        <f>IF(H974="","",HOUR(H974))</f>
        <v/>
      </c>
      <c r="AF974" s="52" t="n"/>
    </row>
    <row r="975" ht="19.5" customHeight="1" s="58">
      <c r="A975" s="62">
        <f>IF(G975="","",IF(G975=G974,"",COUNTIF($G$3:$G$976,G975)))</f>
        <v/>
      </c>
      <c r="B975" s="20" t="n"/>
      <c r="C975" s="63">
        <f>IF(G975="","",DAY(G975))</f>
        <v/>
      </c>
      <c r="D975" s="63">
        <f>IF(G975="","",MONTH(G975))</f>
        <v/>
      </c>
      <c r="E975" s="63">
        <f>IF(G975="","",YEAR(G975))</f>
        <v/>
      </c>
      <c r="F975" s="33">
        <f>IF(G975="","",CHOOSE(MONTH(G975),"Janeiro","Fevereiro","Março","Abril","Maio","Junho","Julho","Agosto","Setembro","Outubro","Novembro","Dezembro"))</f>
        <v/>
      </c>
      <c r="G975" s="64" t="n"/>
      <c r="H975" s="65" t="n"/>
      <c r="I975" s="66" t="n"/>
      <c r="J975" s="67" t="n"/>
      <c r="K975" s="67" t="n"/>
      <c r="L975" s="68" t="b">
        <v>0</v>
      </c>
      <c r="M975" s="20" t="n"/>
      <c r="N975" s="69">
        <f>IF($J975="","",IFERROR(INDEX(B!$F$2:$F$61,MATCH($J975,B!$E$2:$E$61,0))&amp;"",""))</f>
        <v/>
      </c>
      <c r="O975" s="69">
        <f>IF($J975="","",IFERROR(INDEX(B!$G$2:$G$61,MATCH($J975,B!$E$2:$E$61,0))&amp;"",""))</f>
        <v/>
      </c>
      <c r="P975" s="69">
        <f>IF($J975="","",IFERROR(INDEX(B!$H$2:$H$61,MATCH($J975,B!$E$2:$E$61,0))&amp;"",""))</f>
        <v/>
      </c>
      <c r="Q975" s="69">
        <f>IF($J975="","",IFERROR(INDEX(B!$I$2:$I$61,MATCH($J975,B!$E$2:$E$61,0))&amp;"",""))</f>
        <v/>
      </c>
      <c r="R975" s="69">
        <f>IF($J975="","",IFERROR(INDEX(B!$J$2:$J$61,MATCH($J975,B!$E$2:$E$61,0))&amp;"",""))</f>
        <v/>
      </c>
      <c r="S975" s="69">
        <f>IF($J975="","",IFERROR(INDEX(B!$K$2:$K$61,MATCH($J975,B!$E$2:$E$61,0))&amp;"",""))</f>
        <v/>
      </c>
      <c r="T975" s="69">
        <f>IF($J975="","",IFERROR(INDEX(B!$L$2:$L$61,MATCH($J975,B!$E$2:$E$61,0))&amp;"",""))</f>
        <v/>
      </c>
      <c r="U975" s="20" t="n"/>
      <c r="V975" s="70">
        <f>IF($J975="","",IFERROR(INDEX(B!$M$2:$M$61,MATCH($J975,B!$E$2:$E$61,0))&amp;"",""))</f>
        <v/>
      </c>
      <c r="W975" s="71">
        <f>IF(I975="","",IFERROR(MID(I975,FIND("/d/",I975)+3,FIND("/edit",I975)-FIND("/d/",I975)-3),I975))</f>
        <v/>
      </c>
      <c r="X975" s="71">
        <f>IF($J975="","",IFERROR(INDEX(B!$C$2:$C$61,MATCH($J975,B!$E$2:$E$61,0))&amp;"",""))</f>
        <v/>
      </c>
      <c r="Y975" s="20" t="n"/>
      <c r="Z975" s="72">
        <f>IF($J975="",FALSE,ISNUMBER(SEARCH("scout",$K975)))</f>
        <v/>
      </c>
      <c r="AA975" s="72">
        <f>IF($J975="",FALSE,IFERROR(INDEX(B!$N$2:$N$61,MATCH($J975,B!$E$2:$E$61,0))="Sim",FALSE))</f>
        <v/>
      </c>
      <c r="AB975" s="72">
        <f>IF($J975="",FALSE,LEFT($X975,2)="XX")</f>
        <v/>
      </c>
      <c r="AC975" s="72">
        <f>IF($J975="",FALSE,IFERROR(INDEX(B!$P$2:$P$61,MATCH($J975,B!$E$2:$E$61,0))="Sim",FALSE))</f>
        <v/>
      </c>
      <c r="AD975" s="20" t="n"/>
      <c r="AE975" s="52">
        <f>IF(H975="","",HOUR(H975))</f>
        <v/>
      </c>
      <c r="AF975" s="52" t="n"/>
    </row>
    <row r="976" ht="19.5" customHeight="1" s="58">
      <c r="A976" s="62">
        <f>IF(G976="","",IF(G976=G975,"",COUNTIF($G$3:$G$976,G976)))</f>
        <v/>
      </c>
      <c r="B976" s="20" t="n"/>
      <c r="C976" s="63">
        <f>IF(G976="","",DAY(G976))</f>
        <v/>
      </c>
      <c r="D976" s="63">
        <f>IF(G976="","",MONTH(G976))</f>
        <v/>
      </c>
      <c r="E976" s="63">
        <f>IF(G976="","",YEAR(G976))</f>
        <v/>
      </c>
      <c r="F976" s="33">
        <f>IF(G976="","",CHOOSE(MONTH(G976),"Janeiro","Fevereiro","Março","Abril","Maio","Junho","Julho","Agosto","Setembro","Outubro","Novembro","Dezembro"))</f>
        <v/>
      </c>
      <c r="G976" s="64" t="n"/>
      <c r="H976" s="65" t="n"/>
      <c r="I976" s="66" t="n"/>
      <c r="J976" s="67" t="n"/>
      <c r="K976" s="67" t="n"/>
      <c r="L976" s="68" t="b">
        <v>0</v>
      </c>
      <c r="M976" s="20" t="n"/>
      <c r="N976" s="69">
        <f>IF($J976="","",IFERROR(INDEX(B!$F$2:$F$61,MATCH($J976,B!$E$2:$E$61,0))&amp;"",""))</f>
        <v/>
      </c>
      <c r="O976" s="69">
        <f>IF($J976="","",IFERROR(INDEX(B!$G$2:$G$61,MATCH($J976,B!$E$2:$E$61,0))&amp;"",""))</f>
        <v/>
      </c>
      <c r="P976" s="69">
        <f>IF($J976="","",IFERROR(INDEX(B!$H$2:$H$61,MATCH($J976,B!$E$2:$E$61,0))&amp;"",""))</f>
        <v/>
      </c>
      <c r="Q976" s="69">
        <f>IF($J976="","",IFERROR(INDEX(B!$I$2:$I$61,MATCH($J976,B!$E$2:$E$61,0))&amp;"",""))</f>
        <v/>
      </c>
      <c r="R976" s="69">
        <f>IF($J976="","",IFERROR(INDEX(B!$J$2:$J$61,MATCH($J976,B!$E$2:$E$61,0))&amp;"",""))</f>
        <v/>
      </c>
      <c r="S976" s="69">
        <f>IF($J976="","",IFERROR(INDEX(B!$K$2:$K$61,MATCH($J976,B!$E$2:$E$61,0))&amp;"",""))</f>
        <v/>
      </c>
      <c r="T976" s="69">
        <f>IF($J976="","",IFERROR(INDEX(B!$L$2:$L$61,MATCH($J976,B!$E$2:$E$61,0))&amp;"",""))</f>
        <v/>
      </c>
      <c r="U976" s="20" t="n"/>
      <c r="V976" s="70">
        <f>IF($J976="","",IFERROR(INDEX(B!$M$2:$M$61,MATCH($J976,B!$E$2:$E$61,0))&amp;"",""))</f>
        <v/>
      </c>
      <c r="W976" s="71">
        <f>IF(I976="","",IFERROR(MID(I976,FIND("/d/",I976)+3,FIND("/edit",I976)-FIND("/d/",I976)-3),I976))</f>
        <v/>
      </c>
      <c r="X976" s="71">
        <f>IF($J976="","",IFERROR(INDEX(B!$C$2:$C$61,MATCH($J976,B!$E$2:$E$61,0))&amp;"",""))</f>
        <v/>
      </c>
      <c r="Y976" s="20" t="n"/>
      <c r="Z976" s="72">
        <f>IF($J976="",FALSE,ISNUMBER(SEARCH("scout",$K976)))</f>
        <v/>
      </c>
      <c r="AA976" s="72">
        <f>IF($J976="",FALSE,IFERROR(INDEX(B!$N$2:$N$61,MATCH($J976,B!$E$2:$E$61,0))="Sim",FALSE))</f>
        <v/>
      </c>
      <c r="AB976" s="72">
        <f>IF($J976="",FALSE,LEFT($X976,2)="XX")</f>
        <v/>
      </c>
      <c r="AC976" s="72">
        <f>IF($J976="",FALSE,IFERROR(INDEX(B!$P$2:$P$61,MATCH($J976,B!$E$2:$E$61,0))="Sim",FALSE))</f>
        <v/>
      </c>
      <c r="AD976" s="20" t="n"/>
      <c r="AE976" s="52">
        <f>IF(H976="","",HOUR(H976))</f>
        <v/>
      </c>
      <c r="AF976" s="52" t="n"/>
    </row>
  </sheetData>
  <conditionalFormatting sqref="G2:L976">
    <cfRule type="expression" priority="1" dxfId="7">
      <formula>$I1=""</formula>
    </cfRule>
  </conditionalFormatting>
  <conditionalFormatting sqref="G2:H976 J2:K976">
    <cfRule type="expression" priority="2" dxfId="8">
      <formula>AND($I1&lt;&gt;"", $I2="")</formula>
    </cfRule>
  </conditionalFormatting>
  <conditionalFormatting sqref="I2:I976">
    <cfRule type="expression" priority="3" dxfId="9">
      <formula>AND($I1&lt;&gt;"", $I2="")</formula>
    </cfRule>
  </conditionalFormatting>
  <conditionalFormatting sqref="G2:G976">
    <cfRule type="expression" priority="7" dxfId="13">
      <formula>AND($I2&lt;&gt;"",$G2="")</formula>
    </cfRule>
  </conditionalFormatting>
  <conditionalFormatting sqref="H2:H976">
    <cfRule type="expression" priority="8" dxfId="13">
      <formula>AND($I2&lt;&gt;"",$H2="")</formula>
    </cfRule>
  </conditionalFormatting>
  <conditionalFormatting sqref="J2:J976">
    <cfRule type="expression" priority="9" dxfId="13">
      <formula>AND($I2&lt;&gt;"",$J2="")</formula>
    </cfRule>
  </conditionalFormatting>
  <conditionalFormatting sqref="N2:T976">
    <cfRule type="expression" priority="10" dxfId="14">
      <formula>$I1=""</formula>
    </cfRule>
    <cfRule type="expression" priority="14" dxfId="16">
      <formula>AND($I1&lt;&gt;"", $I2="")</formula>
    </cfRule>
  </conditionalFormatting>
  <conditionalFormatting sqref="V2:X976">
    <cfRule type="expression" priority="11" dxfId="14">
      <formula>$I1=""</formula>
    </cfRule>
    <cfRule type="expression" priority="15" dxfId="17">
      <formula>AND($I1&lt;&gt;"", $I2="")</formula>
    </cfRule>
  </conditionalFormatting>
  <conditionalFormatting sqref="Z2:AC976">
    <cfRule type="expression" priority="12" dxfId="7">
      <formula>$I1=""</formula>
    </cfRule>
    <cfRule type="expression" priority="16" dxfId="18">
      <formula>AND($I1&lt;&gt;"", $I2="")</formula>
    </cfRule>
  </conditionalFormatting>
  <conditionalFormatting sqref="L2:L976">
    <cfRule type="expression" priority="13" dxfId="15">
      <formula>AND($I1&lt;&gt;"", $I2="")</formula>
    </cfRule>
  </conditionalFormatting>
  <dataValidations count="1">
    <dataValidation sqref="J3:J976" showDropDown="1" showInputMessage="0" showErrorMessage="1" allowBlank="1" type="list">
      <formula1>B!$E$2:$E$61</formula1>
    </dataValidation>
  </dataValidations>
  <hyperlinks>
    <hyperlink ref="I3" location="Home!A1" display="https://docs.google.com/spreadsheets/d/1ZiCGoPjLCjuYvujDTXK9Ixbth3tekiLtFBzBrGjPCr4/edit?gid=0#gid=0"/>
    <hyperlink xmlns:r="http://schemas.openxmlformats.org/officeDocument/2006/relationships" ref="O4" location="gid=0" r:id="rId1"/>
    <hyperlink xmlns:r="http://schemas.openxmlformats.org/officeDocument/2006/relationships" ref="O6" location="gid=0" r:id="rId2"/>
    <hyperlink xmlns:r="http://schemas.openxmlformats.org/officeDocument/2006/relationships" ref="O8" location="gid=0" r:id="rId3"/>
    <hyperlink xmlns:r="http://schemas.openxmlformats.org/officeDocument/2006/relationships" ref="O9" location="gid=0" r:id="rId4"/>
    <hyperlink xmlns:r="http://schemas.openxmlformats.org/officeDocument/2006/relationships" ref="O10" location="gid=0" r:id="rId5"/>
    <hyperlink xmlns:r="http://schemas.openxmlformats.org/officeDocument/2006/relationships" ref="O11" location="gid=0" r:id="rId6"/>
    <hyperlink xmlns:r="http://schemas.openxmlformats.org/officeDocument/2006/relationships" ref="O12" location="gid=0" r:id="rId7"/>
    <hyperlink xmlns:r="http://schemas.openxmlformats.org/officeDocument/2006/relationships" ref="O14" location="gid=0" r:id="rId8"/>
    <hyperlink xmlns:r="http://schemas.openxmlformats.org/officeDocument/2006/relationships" ref="O15" location="gid=0" r:id="rId9"/>
    <hyperlink xmlns:r="http://schemas.openxmlformats.org/officeDocument/2006/relationships" ref="O16" location="gid=0" r:id="rId10"/>
    <hyperlink xmlns:r="http://schemas.openxmlformats.org/officeDocument/2006/relationships" ref="O19" location="gid=0" r:id="rId11"/>
    <hyperlink xmlns:r="http://schemas.openxmlformats.org/officeDocument/2006/relationships" ref="O20" location="gid=0" r:id="rId12"/>
    <hyperlink xmlns:r="http://schemas.openxmlformats.org/officeDocument/2006/relationships" ref="O21" location="gid=0" r:id="rId13"/>
    <hyperlink xmlns:r="http://schemas.openxmlformats.org/officeDocument/2006/relationships" ref="O22" location="gid=0" r:id="rId14"/>
    <hyperlink xmlns:r="http://schemas.openxmlformats.org/officeDocument/2006/relationships" ref="O23" location="gid=0" r:id="rId15"/>
    <hyperlink xmlns:r="http://schemas.openxmlformats.org/officeDocument/2006/relationships" ref="O25" location="gid=0" r:id="rId16"/>
    <hyperlink xmlns:r="http://schemas.openxmlformats.org/officeDocument/2006/relationships" ref="O27" location="gid=0" r:id="rId17"/>
    <hyperlink xmlns:r="http://schemas.openxmlformats.org/officeDocument/2006/relationships" ref="O28" location="gid=0" r:id="rId18"/>
    <hyperlink xmlns:r="http://schemas.openxmlformats.org/officeDocument/2006/relationships" ref="O29" location="gid=0" r:id="rId19"/>
    <hyperlink xmlns:r="http://schemas.openxmlformats.org/officeDocument/2006/relationships" ref="O30" location="gid=0" r:id="rId20"/>
    <hyperlink xmlns:r="http://schemas.openxmlformats.org/officeDocument/2006/relationships" ref="O31" location="gid=0" r:id="rId21"/>
    <hyperlink xmlns:r="http://schemas.openxmlformats.org/officeDocument/2006/relationships" ref="O32" location="gid=0" r:id="rId22"/>
    <hyperlink xmlns:r="http://schemas.openxmlformats.org/officeDocument/2006/relationships" ref="O33" location="gid=0" r:id="rId23"/>
    <hyperlink xmlns:r="http://schemas.openxmlformats.org/officeDocument/2006/relationships" ref="O34" location="gid=0" r:id="rId24"/>
    <hyperlink xmlns:r="http://schemas.openxmlformats.org/officeDocument/2006/relationships" ref="O35" location="gid=0" r:id="rId25"/>
    <hyperlink xmlns:r="http://schemas.openxmlformats.org/officeDocument/2006/relationships" ref="O36" location="gid=0" r:id="rId26"/>
    <hyperlink xmlns:r="http://schemas.openxmlformats.org/officeDocument/2006/relationships" ref="O37" location="gid=0" r:id="rId27"/>
    <hyperlink xmlns:r="http://schemas.openxmlformats.org/officeDocument/2006/relationships" ref="O39" location="gid=0" r:id="rId28"/>
    <hyperlink xmlns:r="http://schemas.openxmlformats.org/officeDocument/2006/relationships" ref="O40" location="gid=0" r:id="rId29"/>
    <hyperlink xmlns:r="http://schemas.openxmlformats.org/officeDocument/2006/relationships" ref="O41" location="gid=0" r:id="rId30"/>
    <hyperlink xmlns:r="http://schemas.openxmlformats.org/officeDocument/2006/relationships" ref="O42" location="gid=0" r:id="rId31"/>
    <hyperlink xmlns:r="http://schemas.openxmlformats.org/officeDocument/2006/relationships" ref="O43" location="gid=0" r:id="rId32"/>
    <hyperlink xmlns:r="http://schemas.openxmlformats.org/officeDocument/2006/relationships" ref="O44" location="gid=0" r:id="rId33"/>
    <hyperlink xmlns:r="http://schemas.openxmlformats.org/officeDocument/2006/relationships" ref="O45" location="gid=0" r:id="rId34"/>
    <hyperlink xmlns:r="http://schemas.openxmlformats.org/officeDocument/2006/relationships" ref="O46" location="gid=0" r:id="rId35"/>
    <hyperlink xmlns:r="http://schemas.openxmlformats.org/officeDocument/2006/relationships" ref="O47" location="gid=0" r:id="rId36"/>
    <hyperlink xmlns:r="http://schemas.openxmlformats.org/officeDocument/2006/relationships" ref="O48" location="gid=0" r:id="rId37"/>
    <hyperlink xmlns:r="http://schemas.openxmlformats.org/officeDocument/2006/relationships" ref="O49" location="gid=0" r:id="rId38"/>
    <hyperlink xmlns:r="http://schemas.openxmlformats.org/officeDocument/2006/relationships" ref="O50" location="gid=0" r:id="rId39"/>
    <hyperlink xmlns:r="http://schemas.openxmlformats.org/officeDocument/2006/relationships" ref="O52" location="gid=0" r:id="rId40"/>
    <hyperlink xmlns:r="http://schemas.openxmlformats.org/officeDocument/2006/relationships" ref="O54" location="gid=0" r:id="rId41"/>
    <hyperlink xmlns:r="http://schemas.openxmlformats.org/officeDocument/2006/relationships" ref="O57" location="gid=0" r:id="rId42"/>
    <hyperlink xmlns:r="http://schemas.openxmlformats.org/officeDocument/2006/relationships" ref="O58" location="gid=0" r:id="rId43"/>
    <hyperlink xmlns:r="http://schemas.openxmlformats.org/officeDocument/2006/relationships" ref="O59" location="gid=0" r:id="rId44"/>
    <hyperlink xmlns:r="http://schemas.openxmlformats.org/officeDocument/2006/relationships" ref="O60" location="gid=0" r:id="rId45"/>
    <hyperlink xmlns:r="http://schemas.openxmlformats.org/officeDocument/2006/relationships" ref="O61" location="gid=0" r:id="rId46"/>
    <hyperlink xmlns:r="http://schemas.openxmlformats.org/officeDocument/2006/relationships" ref="O62" location="gid=0" r:id="rId47"/>
    <hyperlink xmlns:r="http://schemas.openxmlformats.org/officeDocument/2006/relationships" ref="O63" location="gid=0" r:id="rId48"/>
    <hyperlink xmlns:r="http://schemas.openxmlformats.org/officeDocument/2006/relationships" ref="O64" location="gid=0" r:id="rId49"/>
    <hyperlink xmlns:r="http://schemas.openxmlformats.org/officeDocument/2006/relationships" ref="O65" location="gid=0" r:id="rId50"/>
    <hyperlink xmlns:r="http://schemas.openxmlformats.org/officeDocument/2006/relationships" ref="O66" location="gid=0" r:id="rId51"/>
    <hyperlink xmlns:r="http://schemas.openxmlformats.org/officeDocument/2006/relationships" ref="O67" location="gid=0" r:id="rId52"/>
    <hyperlink xmlns:r="http://schemas.openxmlformats.org/officeDocument/2006/relationships" ref="O68" location="gid=0" r:id="rId53"/>
    <hyperlink xmlns:r="http://schemas.openxmlformats.org/officeDocument/2006/relationships" ref="O71" location="gid=0" r:id="rId54"/>
    <hyperlink xmlns:r="http://schemas.openxmlformats.org/officeDocument/2006/relationships" ref="O72" location="gid=0" r:id="rId55"/>
    <hyperlink xmlns:r="http://schemas.openxmlformats.org/officeDocument/2006/relationships" ref="O74" location="gid=0" r:id="rId56"/>
    <hyperlink xmlns:r="http://schemas.openxmlformats.org/officeDocument/2006/relationships" ref="O75" location="gid=0" r:id="rId57"/>
    <hyperlink xmlns:r="http://schemas.openxmlformats.org/officeDocument/2006/relationships" ref="O76" location="gid=0" r:id="rId58"/>
    <hyperlink xmlns:r="http://schemas.openxmlformats.org/officeDocument/2006/relationships" ref="O77" location="gid=0" r:id="rId59"/>
    <hyperlink xmlns:r="http://schemas.openxmlformats.org/officeDocument/2006/relationships" ref="O78" location="gid=0" r:id="rId60"/>
    <hyperlink xmlns:r="http://schemas.openxmlformats.org/officeDocument/2006/relationships" ref="O82" location="gid=0" r:id="rId61"/>
    <hyperlink xmlns:r="http://schemas.openxmlformats.org/officeDocument/2006/relationships" ref="O83" location="gid=0" r:id="rId62"/>
    <hyperlink xmlns:r="http://schemas.openxmlformats.org/officeDocument/2006/relationships" ref="O84" location="gid=0" r:id="rId63"/>
    <hyperlink xmlns:r="http://schemas.openxmlformats.org/officeDocument/2006/relationships" ref="O85" location="gid=0" r:id="rId64"/>
    <hyperlink xmlns:r="http://schemas.openxmlformats.org/officeDocument/2006/relationships" ref="O86" location="gid=0" r:id="rId65"/>
    <hyperlink xmlns:r="http://schemas.openxmlformats.org/officeDocument/2006/relationships" ref="O88" location="gid=0" r:id="rId66"/>
    <hyperlink xmlns:r="http://schemas.openxmlformats.org/officeDocument/2006/relationships" ref="O91" location="gid=0" r:id="rId67"/>
    <hyperlink xmlns:r="http://schemas.openxmlformats.org/officeDocument/2006/relationships" ref="O93" location="gid=0" r:id="rId68"/>
    <hyperlink xmlns:r="http://schemas.openxmlformats.org/officeDocument/2006/relationships" ref="O94" location="gid=0" r:id="rId69"/>
    <hyperlink xmlns:r="http://schemas.openxmlformats.org/officeDocument/2006/relationships" ref="O97" location="gid=0" r:id="rId70"/>
    <hyperlink xmlns:r="http://schemas.openxmlformats.org/officeDocument/2006/relationships" ref="O98" location="gid=0" r:id="rId71"/>
    <hyperlink xmlns:r="http://schemas.openxmlformats.org/officeDocument/2006/relationships" ref="O99" location="gid=0" r:id="rId72"/>
    <hyperlink xmlns:r="http://schemas.openxmlformats.org/officeDocument/2006/relationships" ref="O101" location="gid=0" r:id="rId73"/>
    <hyperlink xmlns:r="http://schemas.openxmlformats.org/officeDocument/2006/relationships" ref="O103" location="gid=0" r:id="rId74"/>
    <hyperlink xmlns:r="http://schemas.openxmlformats.org/officeDocument/2006/relationships" ref="O104" location="gid=0" r:id="rId75"/>
    <hyperlink xmlns:r="http://schemas.openxmlformats.org/officeDocument/2006/relationships" ref="O106" location="gid=0" r:id="rId76"/>
    <hyperlink xmlns:r="http://schemas.openxmlformats.org/officeDocument/2006/relationships" ref="O108" location="gid=0" r:id="rId77"/>
    <hyperlink xmlns:r="http://schemas.openxmlformats.org/officeDocument/2006/relationships" ref="O109" location="gid=0" r:id="rId78"/>
    <hyperlink xmlns:r="http://schemas.openxmlformats.org/officeDocument/2006/relationships" ref="O110" location="gid=0" r:id="rId79"/>
    <hyperlink xmlns:r="http://schemas.openxmlformats.org/officeDocument/2006/relationships" ref="O111" location="gid=0" r:id="rId80"/>
    <hyperlink xmlns:r="http://schemas.openxmlformats.org/officeDocument/2006/relationships" ref="O112" location="gid=0" r:id="rId81"/>
    <hyperlink xmlns:r="http://schemas.openxmlformats.org/officeDocument/2006/relationships" ref="O113" location="gid=0" r:id="rId82"/>
    <hyperlink xmlns:r="http://schemas.openxmlformats.org/officeDocument/2006/relationships" ref="O116" location="gid=0" r:id="rId83"/>
    <hyperlink xmlns:r="http://schemas.openxmlformats.org/officeDocument/2006/relationships" ref="O117" location="gid=0" r:id="rId84"/>
    <hyperlink xmlns:r="http://schemas.openxmlformats.org/officeDocument/2006/relationships" ref="O118" location="gid=0" r:id="rId85"/>
    <hyperlink xmlns:r="http://schemas.openxmlformats.org/officeDocument/2006/relationships" ref="O119" location="gid=0" r:id="rId86"/>
    <hyperlink xmlns:r="http://schemas.openxmlformats.org/officeDocument/2006/relationships" ref="O120" location="gid=0" r:id="rId87"/>
    <hyperlink xmlns:r="http://schemas.openxmlformats.org/officeDocument/2006/relationships" ref="O121" location="gid=0" r:id="rId88"/>
    <hyperlink xmlns:r="http://schemas.openxmlformats.org/officeDocument/2006/relationships" ref="O123" location="gid=0" r:id="rId89"/>
    <hyperlink xmlns:r="http://schemas.openxmlformats.org/officeDocument/2006/relationships" ref="O124" location="gid=0" r:id="rId90"/>
    <hyperlink xmlns:r="http://schemas.openxmlformats.org/officeDocument/2006/relationships" ref="O125" location="gid=0" r:id="rId91"/>
    <hyperlink xmlns:r="http://schemas.openxmlformats.org/officeDocument/2006/relationships" ref="O127" location="gid=0" r:id="rId92"/>
    <hyperlink xmlns:r="http://schemas.openxmlformats.org/officeDocument/2006/relationships" ref="O129" location="gid=0" r:id="rId93"/>
    <hyperlink xmlns:r="http://schemas.openxmlformats.org/officeDocument/2006/relationships" ref="O131" location="gid=0" r:id="rId94"/>
    <hyperlink xmlns:r="http://schemas.openxmlformats.org/officeDocument/2006/relationships" ref="O134" location="gid=0" r:id="rId95"/>
    <hyperlink xmlns:r="http://schemas.openxmlformats.org/officeDocument/2006/relationships" ref="O135" location="gid=0" r:id="rId96"/>
    <hyperlink xmlns:r="http://schemas.openxmlformats.org/officeDocument/2006/relationships" ref="O136" location="gid=0" r:id="rId97"/>
    <hyperlink xmlns:r="http://schemas.openxmlformats.org/officeDocument/2006/relationships" ref="O137" location="gid=0" r:id="rId98"/>
    <hyperlink xmlns:r="http://schemas.openxmlformats.org/officeDocument/2006/relationships" ref="O138" location="gid=0" r:id="rId99"/>
    <hyperlink xmlns:r="http://schemas.openxmlformats.org/officeDocument/2006/relationships" ref="O139" location="gid=0" r:id="rId100"/>
    <hyperlink xmlns:r="http://schemas.openxmlformats.org/officeDocument/2006/relationships" ref="O140" location="gid=0" r:id="rId101"/>
    <hyperlink xmlns:r="http://schemas.openxmlformats.org/officeDocument/2006/relationships" ref="O143" location="gid=0" r:id="rId102"/>
    <hyperlink xmlns:r="http://schemas.openxmlformats.org/officeDocument/2006/relationships" ref="O144" location="gid=0" r:id="rId103"/>
    <hyperlink xmlns:r="http://schemas.openxmlformats.org/officeDocument/2006/relationships" ref="O146" location="gid=0" r:id="rId104"/>
    <hyperlink xmlns:r="http://schemas.openxmlformats.org/officeDocument/2006/relationships" ref="O147" location="gid=0" r:id="rId105"/>
    <hyperlink xmlns:r="http://schemas.openxmlformats.org/officeDocument/2006/relationships" ref="O148" location="gid=0" r:id="rId106"/>
    <hyperlink xmlns:r="http://schemas.openxmlformats.org/officeDocument/2006/relationships" ref="O150" location="gid=0" r:id="rId107"/>
    <hyperlink xmlns:r="http://schemas.openxmlformats.org/officeDocument/2006/relationships" ref="O151" location="gid=0" r:id="rId108"/>
    <hyperlink xmlns:r="http://schemas.openxmlformats.org/officeDocument/2006/relationships" ref="O153" location="gid=0" r:id="rId109"/>
    <hyperlink xmlns:r="http://schemas.openxmlformats.org/officeDocument/2006/relationships" ref="O154" location="gid=0" r:id="rId110"/>
    <hyperlink xmlns:r="http://schemas.openxmlformats.org/officeDocument/2006/relationships" ref="O155" location="gid=0" r:id="rId111"/>
    <hyperlink xmlns:r="http://schemas.openxmlformats.org/officeDocument/2006/relationships" ref="O156" location="gid=0" r:id="rId112"/>
    <hyperlink xmlns:r="http://schemas.openxmlformats.org/officeDocument/2006/relationships" ref="O157" location="gid=0" r:id="rId113"/>
    <hyperlink xmlns:r="http://schemas.openxmlformats.org/officeDocument/2006/relationships" ref="O158" location="gid=0" r:id="rId114"/>
    <hyperlink xmlns:r="http://schemas.openxmlformats.org/officeDocument/2006/relationships" ref="O160" location="gid=0" r:id="rId115"/>
    <hyperlink xmlns:r="http://schemas.openxmlformats.org/officeDocument/2006/relationships" ref="O161" location="gid=0" r:id="rId116"/>
    <hyperlink xmlns:r="http://schemas.openxmlformats.org/officeDocument/2006/relationships" ref="O162" location="gid=0" r:id="rId117"/>
    <hyperlink xmlns:r="http://schemas.openxmlformats.org/officeDocument/2006/relationships" ref="O163" location="gid=0" r:id="rId118"/>
    <hyperlink xmlns:r="http://schemas.openxmlformats.org/officeDocument/2006/relationships" ref="O165" location="gid=0" r:id="rId119"/>
    <hyperlink xmlns:r="http://schemas.openxmlformats.org/officeDocument/2006/relationships" ref="O166" location="gid=0" r:id="rId120"/>
    <hyperlink xmlns:r="http://schemas.openxmlformats.org/officeDocument/2006/relationships" ref="O167" location="gid=0" r:id="rId121"/>
    <hyperlink xmlns:r="http://schemas.openxmlformats.org/officeDocument/2006/relationships" ref="O168" location="gid=0" r:id="rId122"/>
    <hyperlink xmlns:r="http://schemas.openxmlformats.org/officeDocument/2006/relationships" ref="O172" location="gid=0" r:id="rId123"/>
    <hyperlink xmlns:r="http://schemas.openxmlformats.org/officeDocument/2006/relationships" ref="O174" location="gid=0" r:id="rId124"/>
    <hyperlink xmlns:r="http://schemas.openxmlformats.org/officeDocument/2006/relationships" ref="O175" location="gid=0" r:id="rId125"/>
    <hyperlink xmlns:r="http://schemas.openxmlformats.org/officeDocument/2006/relationships" ref="O176" location="gid=0" r:id="rId126"/>
    <hyperlink xmlns:r="http://schemas.openxmlformats.org/officeDocument/2006/relationships" ref="O178" location="gid=0" r:id="rId127"/>
    <hyperlink xmlns:r="http://schemas.openxmlformats.org/officeDocument/2006/relationships" ref="O180" location="gid=0" r:id="rId128"/>
    <hyperlink xmlns:r="http://schemas.openxmlformats.org/officeDocument/2006/relationships" ref="O181" location="gid=0" r:id="rId129"/>
    <hyperlink xmlns:r="http://schemas.openxmlformats.org/officeDocument/2006/relationships" ref="O182" location="gid=0" r:id="rId130"/>
    <hyperlink xmlns:r="http://schemas.openxmlformats.org/officeDocument/2006/relationships" ref="O183" location="gid=0" r:id="rId131"/>
    <hyperlink xmlns:r="http://schemas.openxmlformats.org/officeDocument/2006/relationships" ref="O184" location="gid=0" r:id="rId132"/>
    <hyperlink xmlns:r="http://schemas.openxmlformats.org/officeDocument/2006/relationships" ref="O185" location="gid=0" r:id="rId133"/>
    <hyperlink xmlns:r="http://schemas.openxmlformats.org/officeDocument/2006/relationships" ref="O187" location="gid=0" r:id="rId134"/>
    <hyperlink xmlns:r="http://schemas.openxmlformats.org/officeDocument/2006/relationships" ref="O188" location="gid=0" r:id="rId135"/>
    <hyperlink xmlns:r="http://schemas.openxmlformats.org/officeDocument/2006/relationships" ref="O189" location="gid=0" r:id="rId136"/>
    <hyperlink xmlns:r="http://schemas.openxmlformats.org/officeDocument/2006/relationships" ref="O191" location="gid=0" r:id="rId137"/>
    <hyperlink xmlns:r="http://schemas.openxmlformats.org/officeDocument/2006/relationships" ref="O192" location="gid=0" r:id="rId138"/>
    <hyperlink xmlns:r="http://schemas.openxmlformats.org/officeDocument/2006/relationships" ref="O195" location="gid=0" r:id="rId139"/>
    <hyperlink xmlns:r="http://schemas.openxmlformats.org/officeDocument/2006/relationships" ref="O196" location="gid=0" r:id="rId140"/>
    <hyperlink xmlns:r="http://schemas.openxmlformats.org/officeDocument/2006/relationships" ref="O197" location="gid=0" r:id="rId141"/>
    <hyperlink xmlns:r="http://schemas.openxmlformats.org/officeDocument/2006/relationships" ref="O198" location="gid=0" r:id="rId142"/>
    <hyperlink xmlns:r="http://schemas.openxmlformats.org/officeDocument/2006/relationships" ref="O199" location="gid=0" r:id="rId143"/>
    <hyperlink xmlns:r="http://schemas.openxmlformats.org/officeDocument/2006/relationships" ref="O200" location="gid=0" r:id="rId144"/>
    <hyperlink xmlns:r="http://schemas.openxmlformats.org/officeDocument/2006/relationships" ref="O201" location="gid=0" r:id="rId145"/>
    <hyperlink xmlns:r="http://schemas.openxmlformats.org/officeDocument/2006/relationships" ref="O202" location="gid=0" r:id="rId146"/>
    <hyperlink xmlns:r="http://schemas.openxmlformats.org/officeDocument/2006/relationships" ref="O204" location="gid=0" r:id="rId147"/>
    <hyperlink xmlns:r="http://schemas.openxmlformats.org/officeDocument/2006/relationships" ref="O207" location="gid=0" r:id="rId148"/>
    <hyperlink xmlns:r="http://schemas.openxmlformats.org/officeDocument/2006/relationships" ref="O210" location="gid=0" r:id="rId149"/>
    <hyperlink xmlns:r="http://schemas.openxmlformats.org/officeDocument/2006/relationships" ref="O212" location="gid=0" r:id="rId150"/>
    <hyperlink xmlns:r="http://schemas.openxmlformats.org/officeDocument/2006/relationships" ref="O213" location="gid=0" r:id="rId151"/>
    <hyperlink xmlns:r="http://schemas.openxmlformats.org/officeDocument/2006/relationships" ref="O215" location="gid=0" r:id="rId152"/>
    <hyperlink xmlns:r="http://schemas.openxmlformats.org/officeDocument/2006/relationships" ref="O216" location="gid=0" r:id="rId153"/>
    <hyperlink xmlns:r="http://schemas.openxmlformats.org/officeDocument/2006/relationships" ref="O217" location="gid=0" r:id="rId154"/>
    <hyperlink xmlns:r="http://schemas.openxmlformats.org/officeDocument/2006/relationships" ref="O218" location="gid=0" r:id="rId155"/>
    <hyperlink xmlns:r="http://schemas.openxmlformats.org/officeDocument/2006/relationships" ref="O219" location="gid=0" r:id="rId156"/>
    <hyperlink xmlns:r="http://schemas.openxmlformats.org/officeDocument/2006/relationships" ref="O221" location="gid=0" r:id="rId157"/>
    <hyperlink xmlns:r="http://schemas.openxmlformats.org/officeDocument/2006/relationships" ref="O224" location="gid=0" r:id="rId158"/>
    <hyperlink xmlns:r="http://schemas.openxmlformats.org/officeDocument/2006/relationships" ref="O225" location="gid=0" r:id="rId159"/>
    <hyperlink xmlns:r="http://schemas.openxmlformats.org/officeDocument/2006/relationships" ref="O226" location="gid=0" r:id="rId160"/>
    <hyperlink xmlns:r="http://schemas.openxmlformats.org/officeDocument/2006/relationships" ref="O229" location="gid=0" r:id="rId161"/>
    <hyperlink xmlns:r="http://schemas.openxmlformats.org/officeDocument/2006/relationships" ref="O231" location="gid=0" r:id="rId162"/>
    <hyperlink xmlns:r="http://schemas.openxmlformats.org/officeDocument/2006/relationships" ref="O232" location="gid=0" r:id="rId163"/>
    <hyperlink xmlns:r="http://schemas.openxmlformats.org/officeDocument/2006/relationships" ref="O234" location="gid=0" r:id="rId164"/>
    <hyperlink xmlns:r="http://schemas.openxmlformats.org/officeDocument/2006/relationships" ref="O235" location="gid=0" r:id="rId165"/>
    <hyperlink xmlns:r="http://schemas.openxmlformats.org/officeDocument/2006/relationships" ref="O237" location="gid=0" r:id="rId166"/>
    <hyperlink xmlns:r="http://schemas.openxmlformats.org/officeDocument/2006/relationships" ref="O238" location="gid=0" r:id="rId167"/>
    <hyperlink xmlns:r="http://schemas.openxmlformats.org/officeDocument/2006/relationships" ref="O239" location="gid=0" r:id="rId168"/>
    <hyperlink xmlns:r="http://schemas.openxmlformats.org/officeDocument/2006/relationships" ref="O240" location="gid=0" r:id="rId169"/>
    <hyperlink xmlns:r="http://schemas.openxmlformats.org/officeDocument/2006/relationships" ref="O241" location="gid=0" r:id="rId170"/>
    <hyperlink xmlns:r="http://schemas.openxmlformats.org/officeDocument/2006/relationships" ref="O242" location="gid=0" r:id="rId171"/>
    <hyperlink xmlns:r="http://schemas.openxmlformats.org/officeDocument/2006/relationships" ref="O245" location="gid=0" r:id="rId172"/>
    <hyperlink xmlns:r="http://schemas.openxmlformats.org/officeDocument/2006/relationships" ref="O246" location="gid=0" r:id="rId173"/>
    <hyperlink xmlns:r="http://schemas.openxmlformats.org/officeDocument/2006/relationships" ref="O247" location="gid=0" r:id="rId174"/>
    <hyperlink xmlns:r="http://schemas.openxmlformats.org/officeDocument/2006/relationships" ref="O248" location="gid=0" r:id="rId175"/>
    <hyperlink xmlns:r="http://schemas.openxmlformats.org/officeDocument/2006/relationships" ref="O249" location="gid=0" r:id="rId176"/>
    <hyperlink xmlns:r="http://schemas.openxmlformats.org/officeDocument/2006/relationships" ref="O250" location="gid=0" r:id="rId177"/>
    <hyperlink xmlns:r="http://schemas.openxmlformats.org/officeDocument/2006/relationships" ref="O251" location="gid=0" r:id="rId178"/>
    <hyperlink xmlns:r="http://schemas.openxmlformats.org/officeDocument/2006/relationships" ref="O252" location="gid=0" r:id="rId179"/>
    <hyperlink xmlns:r="http://schemas.openxmlformats.org/officeDocument/2006/relationships" ref="O254" location="gid=0" r:id="rId180"/>
    <hyperlink xmlns:r="http://schemas.openxmlformats.org/officeDocument/2006/relationships" ref="O255" location="gid=0" r:id="rId181"/>
    <hyperlink xmlns:r="http://schemas.openxmlformats.org/officeDocument/2006/relationships" ref="O256" location="gid=0" r:id="rId182"/>
    <hyperlink xmlns:r="http://schemas.openxmlformats.org/officeDocument/2006/relationships" ref="O257" location="gid=0" r:id="rId183"/>
    <hyperlink xmlns:r="http://schemas.openxmlformats.org/officeDocument/2006/relationships" ref="O258" location="gid=0" r:id="rId184"/>
    <hyperlink xmlns:r="http://schemas.openxmlformats.org/officeDocument/2006/relationships" ref="O262" location="gid=0" r:id="rId185"/>
    <hyperlink xmlns:r="http://schemas.openxmlformats.org/officeDocument/2006/relationships" ref="O264" location="gid=0" r:id="rId186"/>
    <hyperlink xmlns:r="http://schemas.openxmlformats.org/officeDocument/2006/relationships" ref="O265" location="gid=0" r:id="rId187"/>
    <hyperlink xmlns:r="http://schemas.openxmlformats.org/officeDocument/2006/relationships" ref="O266" location="gid=0" r:id="rId188"/>
    <hyperlink xmlns:r="http://schemas.openxmlformats.org/officeDocument/2006/relationships" ref="O267" location="gid=0" r:id="rId189"/>
    <hyperlink xmlns:r="http://schemas.openxmlformats.org/officeDocument/2006/relationships" ref="O268" location="gid=0" r:id="rId190"/>
    <hyperlink xmlns:r="http://schemas.openxmlformats.org/officeDocument/2006/relationships" ref="O270" location="gid=0" r:id="rId191"/>
    <hyperlink xmlns:r="http://schemas.openxmlformats.org/officeDocument/2006/relationships" ref="O272" location="gid=0" r:id="rId192"/>
    <hyperlink xmlns:r="http://schemas.openxmlformats.org/officeDocument/2006/relationships" ref="O273" location="gid=0" r:id="rId193"/>
    <hyperlink xmlns:r="http://schemas.openxmlformats.org/officeDocument/2006/relationships" ref="O274" location="gid=0" r:id="rId194"/>
    <hyperlink xmlns:r="http://schemas.openxmlformats.org/officeDocument/2006/relationships" ref="O275" location="gid=0" r:id="rId195"/>
    <hyperlink xmlns:r="http://schemas.openxmlformats.org/officeDocument/2006/relationships" ref="O276" location="gid=0" r:id="rId196"/>
    <hyperlink xmlns:r="http://schemas.openxmlformats.org/officeDocument/2006/relationships" ref="O277" location="gid=0" r:id="rId197"/>
    <hyperlink xmlns:r="http://schemas.openxmlformats.org/officeDocument/2006/relationships" ref="O278" location="gid=0" r:id="rId198"/>
    <hyperlink xmlns:r="http://schemas.openxmlformats.org/officeDocument/2006/relationships" ref="O279" location="gid=0" r:id="rId199"/>
    <hyperlink xmlns:r="http://schemas.openxmlformats.org/officeDocument/2006/relationships" ref="O280" location="gid=0" r:id="rId200"/>
    <hyperlink xmlns:r="http://schemas.openxmlformats.org/officeDocument/2006/relationships" ref="O281" location="gid=0" r:id="rId201"/>
    <hyperlink xmlns:r="http://schemas.openxmlformats.org/officeDocument/2006/relationships" ref="O282" location="gid=0" r:id="rId202"/>
    <hyperlink xmlns:r="http://schemas.openxmlformats.org/officeDocument/2006/relationships" ref="O283" location="gid=0" r:id="rId203"/>
    <hyperlink xmlns:r="http://schemas.openxmlformats.org/officeDocument/2006/relationships" ref="O284" location="gid=0" r:id="rId204"/>
    <hyperlink xmlns:r="http://schemas.openxmlformats.org/officeDocument/2006/relationships" ref="O285" location="gid=0" r:id="rId205"/>
    <hyperlink xmlns:r="http://schemas.openxmlformats.org/officeDocument/2006/relationships" ref="O286" location="gid=0" r:id="rId206"/>
    <hyperlink xmlns:r="http://schemas.openxmlformats.org/officeDocument/2006/relationships" ref="O287" location="gid=0" r:id="rId207"/>
    <hyperlink xmlns:r="http://schemas.openxmlformats.org/officeDocument/2006/relationships" ref="O288" location="gid=0" r:id="rId208"/>
    <hyperlink xmlns:r="http://schemas.openxmlformats.org/officeDocument/2006/relationships" ref="O292" location="gid=0" r:id="rId209"/>
    <hyperlink xmlns:r="http://schemas.openxmlformats.org/officeDocument/2006/relationships" ref="O294" location="gid=0" r:id="rId210"/>
    <hyperlink xmlns:r="http://schemas.openxmlformats.org/officeDocument/2006/relationships" ref="O295" location="gid=0" r:id="rId211"/>
    <hyperlink xmlns:r="http://schemas.openxmlformats.org/officeDocument/2006/relationships" ref="O296" location="gid=0" r:id="rId212"/>
    <hyperlink xmlns:r="http://schemas.openxmlformats.org/officeDocument/2006/relationships" ref="O297" location="gid=0" r:id="rId213"/>
    <hyperlink xmlns:r="http://schemas.openxmlformats.org/officeDocument/2006/relationships" ref="O299" location="gid=0" r:id="rId214"/>
    <hyperlink xmlns:r="http://schemas.openxmlformats.org/officeDocument/2006/relationships" ref="O300" location="gid=0" r:id="rId215"/>
    <hyperlink xmlns:r="http://schemas.openxmlformats.org/officeDocument/2006/relationships" ref="O301" location="gid=0" r:id="rId216"/>
    <hyperlink xmlns:r="http://schemas.openxmlformats.org/officeDocument/2006/relationships" ref="O303" location="gid=0" r:id="rId217"/>
    <hyperlink xmlns:r="http://schemas.openxmlformats.org/officeDocument/2006/relationships" ref="O304" location="gid=0" r:id="rId218"/>
    <hyperlink xmlns:r="http://schemas.openxmlformats.org/officeDocument/2006/relationships" ref="O305" location="gid=0" r:id="rId219"/>
    <hyperlink xmlns:r="http://schemas.openxmlformats.org/officeDocument/2006/relationships" ref="O307" location="gid=0" r:id="rId220"/>
    <hyperlink xmlns:r="http://schemas.openxmlformats.org/officeDocument/2006/relationships" ref="O308" location="gid=0" r:id="rId221"/>
    <hyperlink xmlns:r="http://schemas.openxmlformats.org/officeDocument/2006/relationships" ref="O311" location="gid=0" r:id="rId222"/>
    <hyperlink xmlns:r="http://schemas.openxmlformats.org/officeDocument/2006/relationships" ref="O312" location="gid=0" r:id="rId223"/>
    <hyperlink xmlns:r="http://schemas.openxmlformats.org/officeDocument/2006/relationships" ref="O313" location="gid=0" r:id="rId224"/>
    <hyperlink xmlns:r="http://schemas.openxmlformats.org/officeDocument/2006/relationships" ref="O314" location="gid=0" r:id="rId225"/>
    <hyperlink xmlns:r="http://schemas.openxmlformats.org/officeDocument/2006/relationships" ref="O315" location="gid=0" r:id="rId226"/>
    <hyperlink xmlns:r="http://schemas.openxmlformats.org/officeDocument/2006/relationships" ref="O316" location="gid=0" r:id="rId227"/>
    <hyperlink xmlns:r="http://schemas.openxmlformats.org/officeDocument/2006/relationships" ref="O317" location="gid=0" r:id="rId228"/>
    <hyperlink xmlns:r="http://schemas.openxmlformats.org/officeDocument/2006/relationships" ref="O319" location="gid=0" r:id="rId229"/>
    <hyperlink xmlns:r="http://schemas.openxmlformats.org/officeDocument/2006/relationships" ref="O322" location="gid=0" r:id="rId230"/>
    <hyperlink xmlns:r="http://schemas.openxmlformats.org/officeDocument/2006/relationships" ref="O323" location="gid=0" r:id="rId231"/>
    <hyperlink xmlns:r="http://schemas.openxmlformats.org/officeDocument/2006/relationships" ref="O325" location="gid=0" r:id="rId232"/>
    <hyperlink xmlns:r="http://schemas.openxmlformats.org/officeDocument/2006/relationships" ref="O326" location="gid=0" r:id="rId233"/>
    <hyperlink xmlns:r="http://schemas.openxmlformats.org/officeDocument/2006/relationships" ref="O327" location="gid=0" r:id="rId234"/>
    <hyperlink xmlns:r="http://schemas.openxmlformats.org/officeDocument/2006/relationships" ref="O328" location="gid=0" r:id="rId235"/>
    <hyperlink xmlns:r="http://schemas.openxmlformats.org/officeDocument/2006/relationships" ref="O329" location="gid=0" r:id="rId236"/>
    <hyperlink xmlns:r="http://schemas.openxmlformats.org/officeDocument/2006/relationships" ref="O331" location="gid=0" r:id="rId237"/>
    <hyperlink xmlns:r="http://schemas.openxmlformats.org/officeDocument/2006/relationships" ref="O332" location="gid=0" r:id="rId238"/>
    <hyperlink xmlns:r="http://schemas.openxmlformats.org/officeDocument/2006/relationships" ref="O333" location="gid=0" r:id="rId239"/>
    <hyperlink xmlns:r="http://schemas.openxmlformats.org/officeDocument/2006/relationships" ref="O335" location="gid=0" r:id="rId240"/>
    <hyperlink xmlns:r="http://schemas.openxmlformats.org/officeDocument/2006/relationships" ref="O336" location="gid=0" r:id="rId241"/>
    <hyperlink xmlns:r="http://schemas.openxmlformats.org/officeDocument/2006/relationships" ref="O337" location="gid=0" r:id="rId242"/>
    <hyperlink xmlns:r="http://schemas.openxmlformats.org/officeDocument/2006/relationships" ref="O338" location="gid=0" r:id="rId243"/>
    <hyperlink xmlns:r="http://schemas.openxmlformats.org/officeDocument/2006/relationships" ref="O339" location="gid=0" r:id="rId244"/>
    <hyperlink xmlns:r="http://schemas.openxmlformats.org/officeDocument/2006/relationships" ref="O340" location="gid=0" r:id="rId245"/>
    <hyperlink xmlns:r="http://schemas.openxmlformats.org/officeDocument/2006/relationships" ref="O341" location="gid=0" r:id="rId246"/>
    <hyperlink xmlns:r="http://schemas.openxmlformats.org/officeDocument/2006/relationships" ref="O342" location="gid=0" r:id="rId247"/>
    <hyperlink xmlns:r="http://schemas.openxmlformats.org/officeDocument/2006/relationships" ref="O344" location="gid=0" r:id="rId248"/>
    <hyperlink xmlns:r="http://schemas.openxmlformats.org/officeDocument/2006/relationships" ref="O346" location="gid=0" r:id="rId249"/>
    <hyperlink xmlns:r="http://schemas.openxmlformats.org/officeDocument/2006/relationships" ref="O347" location="gid=0" r:id="rId250"/>
    <hyperlink xmlns:r="http://schemas.openxmlformats.org/officeDocument/2006/relationships" ref="O348" location="gid=0" r:id="rId251"/>
    <hyperlink xmlns:r="http://schemas.openxmlformats.org/officeDocument/2006/relationships" ref="O349" location="gid=0" r:id="rId252"/>
    <hyperlink xmlns:r="http://schemas.openxmlformats.org/officeDocument/2006/relationships" ref="O350" location="gid=0" r:id="rId253"/>
    <hyperlink xmlns:r="http://schemas.openxmlformats.org/officeDocument/2006/relationships" ref="O351" location="gid=0" r:id="rId254"/>
    <hyperlink xmlns:r="http://schemas.openxmlformats.org/officeDocument/2006/relationships" ref="O352" location="gid=0" r:id="rId255"/>
    <hyperlink xmlns:r="http://schemas.openxmlformats.org/officeDocument/2006/relationships" ref="O353" location="gid=0" r:id="rId256"/>
    <hyperlink xmlns:r="http://schemas.openxmlformats.org/officeDocument/2006/relationships" ref="O355" location="gid=0" r:id="rId257"/>
    <hyperlink xmlns:r="http://schemas.openxmlformats.org/officeDocument/2006/relationships" ref="O356" location="gid=0" r:id="rId258"/>
    <hyperlink xmlns:r="http://schemas.openxmlformats.org/officeDocument/2006/relationships" ref="O357" location="gid=0" r:id="rId259"/>
    <hyperlink xmlns:r="http://schemas.openxmlformats.org/officeDocument/2006/relationships" ref="O358" location="gid=0" r:id="rId260"/>
    <hyperlink xmlns:r="http://schemas.openxmlformats.org/officeDocument/2006/relationships" ref="O359" location="gid=0" r:id="rId261"/>
    <hyperlink xmlns:r="http://schemas.openxmlformats.org/officeDocument/2006/relationships" ref="O361" location="gid=0" r:id="rId262"/>
    <hyperlink xmlns:r="http://schemas.openxmlformats.org/officeDocument/2006/relationships" ref="O362" location="gid=0" r:id="rId263"/>
    <hyperlink xmlns:r="http://schemas.openxmlformats.org/officeDocument/2006/relationships" ref="O363" location="gid=0" r:id="rId264"/>
    <hyperlink xmlns:r="http://schemas.openxmlformats.org/officeDocument/2006/relationships" ref="O364" location="gid=0" r:id="rId265"/>
    <hyperlink xmlns:r="http://schemas.openxmlformats.org/officeDocument/2006/relationships" ref="O366" location="gid=0" r:id="rId266"/>
    <hyperlink xmlns:r="http://schemas.openxmlformats.org/officeDocument/2006/relationships" ref="O368" location="gid=0" r:id="rId267"/>
    <hyperlink xmlns:r="http://schemas.openxmlformats.org/officeDocument/2006/relationships" ref="O369" location="gid=0" r:id="rId268"/>
    <hyperlink xmlns:r="http://schemas.openxmlformats.org/officeDocument/2006/relationships" ref="O370" location="gid=0" r:id="rId269"/>
    <hyperlink xmlns:r="http://schemas.openxmlformats.org/officeDocument/2006/relationships" ref="O371" location="gid=0" r:id="rId270"/>
    <hyperlink xmlns:r="http://schemas.openxmlformats.org/officeDocument/2006/relationships" ref="O372" location="gid=0" r:id="rId271"/>
    <hyperlink xmlns:r="http://schemas.openxmlformats.org/officeDocument/2006/relationships" ref="O373" location="gid=0" r:id="rId272"/>
    <hyperlink xmlns:r="http://schemas.openxmlformats.org/officeDocument/2006/relationships" ref="O374" location="gid=0" r:id="rId273"/>
    <hyperlink xmlns:r="http://schemas.openxmlformats.org/officeDocument/2006/relationships" ref="O377" location="gid=0" r:id="rId274"/>
    <hyperlink xmlns:r="http://schemas.openxmlformats.org/officeDocument/2006/relationships" ref="O379" location="gid=0" r:id="rId275"/>
    <hyperlink xmlns:r="http://schemas.openxmlformats.org/officeDocument/2006/relationships" ref="O380" location="gid=0" r:id="rId276"/>
    <hyperlink xmlns:r="http://schemas.openxmlformats.org/officeDocument/2006/relationships" ref="O381" location="gid=0" r:id="rId277"/>
    <hyperlink xmlns:r="http://schemas.openxmlformats.org/officeDocument/2006/relationships" ref="O383" location="gid=0" r:id="rId278"/>
    <hyperlink xmlns:r="http://schemas.openxmlformats.org/officeDocument/2006/relationships" ref="O384" location="gid=0" r:id="rId279"/>
    <hyperlink xmlns:r="http://schemas.openxmlformats.org/officeDocument/2006/relationships" ref="O386" location="gid=0" r:id="rId280"/>
    <hyperlink xmlns:r="http://schemas.openxmlformats.org/officeDocument/2006/relationships" ref="O387" location="gid=0" r:id="rId281"/>
    <hyperlink xmlns:r="http://schemas.openxmlformats.org/officeDocument/2006/relationships" ref="O389" location="gid=0" r:id="rId282"/>
    <hyperlink xmlns:r="http://schemas.openxmlformats.org/officeDocument/2006/relationships" ref="O390" location="gid=0" r:id="rId283"/>
    <hyperlink xmlns:r="http://schemas.openxmlformats.org/officeDocument/2006/relationships" ref="O391" location="gid=0" r:id="rId284"/>
    <hyperlink xmlns:r="http://schemas.openxmlformats.org/officeDocument/2006/relationships" ref="O394" location="gid=0" r:id="rId285"/>
    <hyperlink xmlns:r="http://schemas.openxmlformats.org/officeDocument/2006/relationships" ref="O395" location="gid=0" r:id="rId286"/>
    <hyperlink xmlns:r="http://schemas.openxmlformats.org/officeDocument/2006/relationships" ref="O396" location="gid=0" r:id="rId287"/>
    <hyperlink xmlns:r="http://schemas.openxmlformats.org/officeDocument/2006/relationships" ref="O398" location="gid=0" r:id="rId288"/>
    <hyperlink xmlns:r="http://schemas.openxmlformats.org/officeDocument/2006/relationships" ref="O399" location="gid=0" r:id="rId289"/>
    <hyperlink xmlns:r="http://schemas.openxmlformats.org/officeDocument/2006/relationships" ref="O401" location="gid=0" r:id="rId290"/>
    <hyperlink xmlns:r="http://schemas.openxmlformats.org/officeDocument/2006/relationships" ref="O404" location="gid=0" r:id="rId291"/>
    <hyperlink xmlns:r="http://schemas.openxmlformats.org/officeDocument/2006/relationships" ref="O406" location="gid=0" r:id="rId292"/>
    <hyperlink xmlns:r="http://schemas.openxmlformats.org/officeDocument/2006/relationships" ref="O410" location="gid=0" r:id="rId293"/>
    <hyperlink xmlns:r="http://schemas.openxmlformats.org/officeDocument/2006/relationships" ref="O411" location="gid=0" r:id="rId294"/>
    <hyperlink xmlns:r="http://schemas.openxmlformats.org/officeDocument/2006/relationships" ref="O412" location="gid=0" r:id="rId295"/>
    <hyperlink xmlns:r="http://schemas.openxmlformats.org/officeDocument/2006/relationships" ref="O413" location="gid=0" r:id="rId296"/>
    <hyperlink xmlns:r="http://schemas.openxmlformats.org/officeDocument/2006/relationships" ref="O416" location="gid=0" r:id="rId297"/>
    <hyperlink xmlns:r="http://schemas.openxmlformats.org/officeDocument/2006/relationships" ref="O417" location="gid=0" r:id="rId298"/>
    <hyperlink xmlns:r="http://schemas.openxmlformats.org/officeDocument/2006/relationships" ref="O419" location="gid=0" r:id="rId299"/>
    <hyperlink xmlns:r="http://schemas.openxmlformats.org/officeDocument/2006/relationships" ref="O420" location="gid=0" r:id="rId300"/>
    <hyperlink xmlns:r="http://schemas.openxmlformats.org/officeDocument/2006/relationships" ref="O424" location="gid=0" r:id="rId301"/>
    <hyperlink xmlns:r="http://schemas.openxmlformats.org/officeDocument/2006/relationships" ref="O425" location="gid=0" r:id="rId302"/>
    <hyperlink xmlns:r="http://schemas.openxmlformats.org/officeDocument/2006/relationships" ref="O426" location="gid=0" r:id="rId303"/>
    <hyperlink xmlns:r="http://schemas.openxmlformats.org/officeDocument/2006/relationships" ref="O427" location="gid=0" r:id="rId304"/>
    <hyperlink xmlns:r="http://schemas.openxmlformats.org/officeDocument/2006/relationships" ref="O428" location="gid=0" r:id="rId305"/>
    <hyperlink xmlns:r="http://schemas.openxmlformats.org/officeDocument/2006/relationships" ref="O429" location="gid=0" r:id="rId306"/>
    <hyperlink xmlns:r="http://schemas.openxmlformats.org/officeDocument/2006/relationships" ref="O430" location="gid=0" r:id="rId307"/>
    <hyperlink xmlns:r="http://schemas.openxmlformats.org/officeDocument/2006/relationships" ref="O431" location="gid=0" r:id="rId308"/>
    <hyperlink xmlns:r="http://schemas.openxmlformats.org/officeDocument/2006/relationships" ref="O432" location="gid=0" r:id="rId309"/>
    <hyperlink xmlns:r="http://schemas.openxmlformats.org/officeDocument/2006/relationships" ref="O433" location="gid=0" r:id="rId310"/>
    <hyperlink xmlns:r="http://schemas.openxmlformats.org/officeDocument/2006/relationships" ref="O436" location="gid=0" r:id="rId311"/>
    <hyperlink xmlns:r="http://schemas.openxmlformats.org/officeDocument/2006/relationships" ref="O438" location="gid=0" r:id="rId312"/>
    <hyperlink xmlns:r="http://schemas.openxmlformats.org/officeDocument/2006/relationships" ref="O439" location="gid=0" r:id="rId313"/>
    <hyperlink xmlns:r="http://schemas.openxmlformats.org/officeDocument/2006/relationships" ref="O440" location="gid=0" r:id="rId314"/>
    <hyperlink xmlns:r="http://schemas.openxmlformats.org/officeDocument/2006/relationships" ref="O441" location="gid=0" r:id="rId315"/>
    <hyperlink xmlns:r="http://schemas.openxmlformats.org/officeDocument/2006/relationships" ref="O443" location="gid=0" r:id="rId316"/>
    <hyperlink xmlns:r="http://schemas.openxmlformats.org/officeDocument/2006/relationships" ref="O445" location="gid=0" r:id="rId317"/>
    <hyperlink xmlns:r="http://schemas.openxmlformats.org/officeDocument/2006/relationships" ref="O447" location="gid=0" r:id="rId318"/>
    <hyperlink xmlns:r="http://schemas.openxmlformats.org/officeDocument/2006/relationships" ref="O448" location="gid=0" r:id="rId319"/>
    <hyperlink xmlns:r="http://schemas.openxmlformats.org/officeDocument/2006/relationships" ref="O449" location="gid=0" r:id="rId320"/>
    <hyperlink xmlns:r="http://schemas.openxmlformats.org/officeDocument/2006/relationships" ref="O452" location="gid=0" r:id="rId321"/>
    <hyperlink xmlns:r="http://schemas.openxmlformats.org/officeDocument/2006/relationships" ref="O453" location="gid=0" r:id="rId322"/>
    <hyperlink xmlns:r="http://schemas.openxmlformats.org/officeDocument/2006/relationships" ref="O454" location="gid=0" r:id="rId323"/>
    <hyperlink xmlns:r="http://schemas.openxmlformats.org/officeDocument/2006/relationships" ref="O455" location="gid=0" r:id="rId324"/>
    <hyperlink xmlns:r="http://schemas.openxmlformats.org/officeDocument/2006/relationships" ref="O456" location="gid=0" r:id="rId325"/>
    <hyperlink xmlns:r="http://schemas.openxmlformats.org/officeDocument/2006/relationships" ref="O459" location="gid=0" r:id="rId326"/>
    <hyperlink xmlns:r="http://schemas.openxmlformats.org/officeDocument/2006/relationships" ref="O462" location="gid=0" r:id="rId327"/>
    <hyperlink xmlns:r="http://schemas.openxmlformats.org/officeDocument/2006/relationships" ref="O465" location="gid=0" r:id="rId328"/>
    <hyperlink xmlns:r="http://schemas.openxmlformats.org/officeDocument/2006/relationships" ref="O466" location="gid=0" r:id="rId329"/>
    <hyperlink xmlns:r="http://schemas.openxmlformats.org/officeDocument/2006/relationships" ref="O467" location="gid=0" r:id="rId330"/>
    <hyperlink xmlns:r="http://schemas.openxmlformats.org/officeDocument/2006/relationships" ref="O468" location="gid=0" r:id="rId331"/>
    <hyperlink xmlns:r="http://schemas.openxmlformats.org/officeDocument/2006/relationships" ref="O470" location="gid=0" r:id="rId332"/>
    <hyperlink xmlns:r="http://schemas.openxmlformats.org/officeDocument/2006/relationships" ref="O472" location="gid=0" r:id="rId333"/>
    <hyperlink xmlns:r="http://schemas.openxmlformats.org/officeDocument/2006/relationships" ref="O473" location="gid=0" r:id="rId334"/>
    <hyperlink xmlns:r="http://schemas.openxmlformats.org/officeDocument/2006/relationships" ref="O476" location="gid=0" r:id="rId335"/>
    <hyperlink xmlns:r="http://schemas.openxmlformats.org/officeDocument/2006/relationships" ref="O477" location="gid=0" r:id="rId336"/>
    <hyperlink xmlns:r="http://schemas.openxmlformats.org/officeDocument/2006/relationships" ref="O478" location="gid=0" r:id="rId337"/>
    <hyperlink xmlns:r="http://schemas.openxmlformats.org/officeDocument/2006/relationships" ref="O480" location="gid=0" r:id="rId338"/>
    <hyperlink xmlns:r="http://schemas.openxmlformats.org/officeDocument/2006/relationships" ref="O481" location="gid=0" r:id="rId339"/>
    <hyperlink xmlns:r="http://schemas.openxmlformats.org/officeDocument/2006/relationships" ref="O483" location="gid=0" r:id="rId340"/>
    <hyperlink xmlns:r="http://schemas.openxmlformats.org/officeDocument/2006/relationships" ref="O486" location="gid=0" r:id="rId341"/>
    <hyperlink xmlns:r="http://schemas.openxmlformats.org/officeDocument/2006/relationships" ref="O487" location="gid=0" r:id="rId342"/>
    <hyperlink xmlns:r="http://schemas.openxmlformats.org/officeDocument/2006/relationships" ref="O488" location="gid=0" r:id="rId343"/>
    <hyperlink xmlns:r="http://schemas.openxmlformats.org/officeDocument/2006/relationships" ref="O495" location="gid=0" r:id="rId344"/>
    <hyperlink xmlns:r="http://schemas.openxmlformats.org/officeDocument/2006/relationships" ref="O496" location="gid=0" r:id="rId345"/>
    <hyperlink xmlns:r="http://schemas.openxmlformats.org/officeDocument/2006/relationships" ref="O497" location="gid=0" r:id="rId346"/>
    <hyperlink xmlns:r="http://schemas.openxmlformats.org/officeDocument/2006/relationships" ref="O498" location="gid=0" r:id="rId347"/>
    <hyperlink xmlns:r="http://schemas.openxmlformats.org/officeDocument/2006/relationships" ref="O502" location="gid=0" r:id="rId348"/>
    <hyperlink xmlns:r="http://schemas.openxmlformats.org/officeDocument/2006/relationships" ref="O503" location="gid=0" r:id="rId349"/>
    <hyperlink xmlns:r="http://schemas.openxmlformats.org/officeDocument/2006/relationships" ref="O504" location="gid=0" r:id="rId350"/>
    <hyperlink xmlns:r="http://schemas.openxmlformats.org/officeDocument/2006/relationships" ref="O506" location="gid=0" r:id="rId351"/>
    <hyperlink xmlns:r="http://schemas.openxmlformats.org/officeDocument/2006/relationships" ref="O509" location="gid=0" r:id="rId352"/>
    <hyperlink xmlns:r="http://schemas.openxmlformats.org/officeDocument/2006/relationships" ref="O511" location="gid=0" r:id="rId353"/>
    <hyperlink xmlns:r="http://schemas.openxmlformats.org/officeDocument/2006/relationships" ref="O517" location="gid=0" r:id="rId354"/>
    <hyperlink xmlns:r="http://schemas.openxmlformats.org/officeDocument/2006/relationships" ref="O518" location="gid=0" r:id="rId355"/>
    <hyperlink xmlns:r="http://schemas.openxmlformats.org/officeDocument/2006/relationships" ref="O519" location="gid=0" r:id="rId356"/>
    <hyperlink xmlns:r="http://schemas.openxmlformats.org/officeDocument/2006/relationships" ref="O521" location="gid=0" r:id="rId357"/>
    <hyperlink xmlns:r="http://schemas.openxmlformats.org/officeDocument/2006/relationships" ref="O523" location="gid=0" r:id="rId358"/>
    <hyperlink xmlns:r="http://schemas.openxmlformats.org/officeDocument/2006/relationships" ref="O526" location="gid=0" r:id="rId359"/>
    <hyperlink xmlns:r="http://schemas.openxmlformats.org/officeDocument/2006/relationships" ref="O529" location="gid=0" r:id="rId360"/>
    <hyperlink xmlns:r="http://schemas.openxmlformats.org/officeDocument/2006/relationships" ref="O530" location="gid=0" r:id="rId361"/>
    <hyperlink xmlns:r="http://schemas.openxmlformats.org/officeDocument/2006/relationships" ref="O531" location="gid=0" r:id="rId362"/>
    <hyperlink xmlns:r="http://schemas.openxmlformats.org/officeDocument/2006/relationships" ref="O532" location="gid=0" r:id="rId363"/>
    <hyperlink xmlns:r="http://schemas.openxmlformats.org/officeDocument/2006/relationships" ref="O534" location="gid=0" r:id="rId364"/>
    <hyperlink xmlns:r="http://schemas.openxmlformats.org/officeDocument/2006/relationships" ref="O535" location="gid=0" r:id="rId365"/>
    <hyperlink xmlns:r="http://schemas.openxmlformats.org/officeDocument/2006/relationships" ref="O537" location="gid=0" r:id="rId366"/>
    <hyperlink xmlns:r="http://schemas.openxmlformats.org/officeDocument/2006/relationships" ref="O539" location="gid=0" r:id="rId367"/>
    <hyperlink xmlns:r="http://schemas.openxmlformats.org/officeDocument/2006/relationships" ref="O541" location="gid=0" r:id="rId368"/>
    <hyperlink xmlns:r="http://schemas.openxmlformats.org/officeDocument/2006/relationships" ref="O542" location="gid=0" r:id="rId369"/>
    <hyperlink xmlns:r="http://schemas.openxmlformats.org/officeDocument/2006/relationships" ref="O544" location="gid=0" r:id="rId370"/>
    <hyperlink xmlns:r="http://schemas.openxmlformats.org/officeDocument/2006/relationships" ref="O545" location="gid=0" r:id="rId371"/>
    <hyperlink xmlns:r="http://schemas.openxmlformats.org/officeDocument/2006/relationships" ref="O546" location="gid=0" r:id="rId372"/>
    <hyperlink xmlns:r="http://schemas.openxmlformats.org/officeDocument/2006/relationships" ref="O547" location="gid=0" r:id="rId373"/>
    <hyperlink xmlns:r="http://schemas.openxmlformats.org/officeDocument/2006/relationships" ref="O548" location="gid=0" r:id="rId374"/>
    <hyperlink xmlns:r="http://schemas.openxmlformats.org/officeDocument/2006/relationships" ref="O549" location="gid=0" r:id="rId375"/>
    <hyperlink xmlns:r="http://schemas.openxmlformats.org/officeDocument/2006/relationships" ref="O550" location="gid=0" r:id="rId376"/>
    <hyperlink xmlns:r="http://schemas.openxmlformats.org/officeDocument/2006/relationships" ref="O551" location="gid=0" r:id="rId377"/>
    <hyperlink xmlns:r="http://schemas.openxmlformats.org/officeDocument/2006/relationships" ref="O552" location="gid=0" r:id="rId378"/>
    <hyperlink xmlns:r="http://schemas.openxmlformats.org/officeDocument/2006/relationships" ref="O555" location="gid=0" r:id="rId379"/>
    <hyperlink xmlns:r="http://schemas.openxmlformats.org/officeDocument/2006/relationships" ref="O556" location="gid=0" r:id="rId380"/>
    <hyperlink xmlns:r="http://schemas.openxmlformats.org/officeDocument/2006/relationships" ref="O559" location="gid=0" r:id="rId381"/>
    <hyperlink xmlns:r="http://schemas.openxmlformats.org/officeDocument/2006/relationships" ref="O561" location="gid=0" r:id="rId382"/>
    <hyperlink xmlns:r="http://schemas.openxmlformats.org/officeDocument/2006/relationships" ref="O562" location="gid=0" r:id="rId383"/>
    <hyperlink xmlns:r="http://schemas.openxmlformats.org/officeDocument/2006/relationships" ref="O563" location="gid=0" r:id="rId384"/>
    <hyperlink xmlns:r="http://schemas.openxmlformats.org/officeDocument/2006/relationships" ref="O565" location="gid=0" r:id="rId385"/>
    <hyperlink xmlns:r="http://schemas.openxmlformats.org/officeDocument/2006/relationships" ref="O566" location="gid=0" r:id="rId386"/>
    <hyperlink xmlns:r="http://schemas.openxmlformats.org/officeDocument/2006/relationships" ref="O567" location="gid=0" r:id="rId387"/>
    <hyperlink xmlns:r="http://schemas.openxmlformats.org/officeDocument/2006/relationships" ref="O568" location="gid=0" r:id="rId388"/>
    <hyperlink xmlns:r="http://schemas.openxmlformats.org/officeDocument/2006/relationships" ref="O569" location="gid=0" r:id="rId389"/>
    <hyperlink xmlns:r="http://schemas.openxmlformats.org/officeDocument/2006/relationships" ref="O571" location="gid=0" r:id="rId390"/>
    <hyperlink xmlns:r="http://schemas.openxmlformats.org/officeDocument/2006/relationships" ref="O572" location="gid=0" r:id="rId391"/>
    <hyperlink xmlns:r="http://schemas.openxmlformats.org/officeDocument/2006/relationships" ref="O573" location="gid=0" r:id="rId392"/>
    <hyperlink xmlns:r="http://schemas.openxmlformats.org/officeDocument/2006/relationships" ref="O574" location="gid=0" r:id="rId393"/>
    <hyperlink xmlns:r="http://schemas.openxmlformats.org/officeDocument/2006/relationships" ref="O575" location="gid=0" r:id="rId394"/>
    <hyperlink xmlns:r="http://schemas.openxmlformats.org/officeDocument/2006/relationships" ref="O577" location="gid=0" r:id="rId395"/>
    <hyperlink xmlns:r="http://schemas.openxmlformats.org/officeDocument/2006/relationships" ref="O578" location="gid=0" r:id="rId396"/>
    <hyperlink xmlns:r="http://schemas.openxmlformats.org/officeDocument/2006/relationships" ref="O581" location="gid=0" r:id="rId397"/>
    <hyperlink xmlns:r="http://schemas.openxmlformats.org/officeDocument/2006/relationships" ref="O582" location="gid=0" r:id="rId398"/>
    <hyperlink xmlns:r="http://schemas.openxmlformats.org/officeDocument/2006/relationships" ref="O584" location="gid=0" r:id="rId399"/>
    <hyperlink xmlns:r="http://schemas.openxmlformats.org/officeDocument/2006/relationships" ref="O586" location="gid=0" r:id="rId400"/>
    <hyperlink xmlns:r="http://schemas.openxmlformats.org/officeDocument/2006/relationships" ref="O587" location="gid=0" r:id="rId401"/>
    <hyperlink xmlns:r="http://schemas.openxmlformats.org/officeDocument/2006/relationships" ref="O589" location="gid=0" r:id="rId402"/>
    <hyperlink xmlns:r="http://schemas.openxmlformats.org/officeDocument/2006/relationships" ref="O590" location="gid=0" r:id="rId403"/>
    <hyperlink xmlns:r="http://schemas.openxmlformats.org/officeDocument/2006/relationships" ref="O593" location="gid=0" r:id="rId404"/>
    <hyperlink xmlns:r="http://schemas.openxmlformats.org/officeDocument/2006/relationships" ref="O594" location="gid=0" r:id="rId405"/>
    <hyperlink xmlns:r="http://schemas.openxmlformats.org/officeDocument/2006/relationships" ref="O596" location="gid=0" r:id="rId406"/>
    <hyperlink xmlns:r="http://schemas.openxmlformats.org/officeDocument/2006/relationships" ref="O598" location="gid=0" r:id="rId407"/>
    <hyperlink xmlns:r="http://schemas.openxmlformats.org/officeDocument/2006/relationships" ref="O599" location="gid=0" r:id="rId408"/>
    <hyperlink xmlns:r="http://schemas.openxmlformats.org/officeDocument/2006/relationships" ref="O600" location="gid=0" r:id="rId409"/>
    <hyperlink xmlns:r="http://schemas.openxmlformats.org/officeDocument/2006/relationships" ref="O601" location="gid=0" r:id="rId410"/>
    <hyperlink xmlns:r="http://schemas.openxmlformats.org/officeDocument/2006/relationships" ref="O602" location="gid=0" r:id="rId411"/>
    <hyperlink xmlns:r="http://schemas.openxmlformats.org/officeDocument/2006/relationships" ref="O604" location="gid=0" r:id="rId412"/>
    <hyperlink xmlns:r="http://schemas.openxmlformats.org/officeDocument/2006/relationships" ref="O605" location="gid=0" r:id="rId413"/>
    <hyperlink xmlns:r="http://schemas.openxmlformats.org/officeDocument/2006/relationships" ref="O606" location="gid=0" r:id="rId414"/>
    <hyperlink xmlns:r="http://schemas.openxmlformats.org/officeDocument/2006/relationships" ref="O607" location="gid=0" r:id="rId415"/>
    <hyperlink xmlns:r="http://schemas.openxmlformats.org/officeDocument/2006/relationships" ref="O608" location="gid=0" r:id="rId416"/>
    <hyperlink xmlns:r="http://schemas.openxmlformats.org/officeDocument/2006/relationships" ref="O610" location="gid=0" r:id="rId417"/>
    <hyperlink xmlns:r="http://schemas.openxmlformats.org/officeDocument/2006/relationships" ref="O611" location="gid=0" r:id="rId418"/>
    <hyperlink xmlns:r="http://schemas.openxmlformats.org/officeDocument/2006/relationships" ref="O614" location="gid=0" r:id="rId419"/>
    <hyperlink xmlns:r="http://schemas.openxmlformats.org/officeDocument/2006/relationships" ref="O615" location="gid=0" r:id="rId420"/>
    <hyperlink xmlns:r="http://schemas.openxmlformats.org/officeDocument/2006/relationships" ref="O616" location="gid=0" r:id="rId421"/>
    <hyperlink xmlns:r="http://schemas.openxmlformats.org/officeDocument/2006/relationships" ref="O617" location="gid=0" r:id="rId422"/>
    <hyperlink xmlns:r="http://schemas.openxmlformats.org/officeDocument/2006/relationships" ref="O618" location="gid=0" r:id="rId423"/>
    <hyperlink xmlns:r="http://schemas.openxmlformats.org/officeDocument/2006/relationships" ref="O619" location="gid=0" r:id="rId424"/>
    <hyperlink xmlns:r="http://schemas.openxmlformats.org/officeDocument/2006/relationships" ref="O621" location="gid=0" r:id="rId425"/>
    <hyperlink xmlns:r="http://schemas.openxmlformats.org/officeDocument/2006/relationships" ref="O623" location="gid=0" r:id="rId426"/>
    <hyperlink xmlns:r="http://schemas.openxmlformats.org/officeDocument/2006/relationships" ref="O624" location="gid=0" r:id="rId427"/>
    <hyperlink xmlns:r="http://schemas.openxmlformats.org/officeDocument/2006/relationships" ref="O625" location="gid=0" r:id="rId428"/>
    <hyperlink xmlns:r="http://schemas.openxmlformats.org/officeDocument/2006/relationships" ref="O627" location="gid=0" r:id="rId429"/>
    <hyperlink xmlns:r="http://schemas.openxmlformats.org/officeDocument/2006/relationships" ref="O628" location="gid=0" r:id="rId430"/>
    <hyperlink xmlns:r="http://schemas.openxmlformats.org/officeDocument/2006/relationships" ref="O629" location="gid=0" r:id="rId431"/>
    <hyperlink xmlns:r="http://schemas.openxmlformats.org/officeDocument/2006/relationships" ref="O631" location="gid=0" r:id="rId432"/>
    <hyperlink xmlns:r="http://schemas.openxmlformats.org/officeDocument/2006/relationships" ref="O632" location="gid=0" r:id="rId433"/>
    <hyperlink xmlns:r="http://schemas.openxmlformats.org/officeDocument/2006/relationships" ref="O634" location="gid=0" r:id="rId434"/>
    <hyperlink xmlns:r="http://schemas.openxmlformats.org/officeDocument/2006/relationships" ref="O635" location="gid=0" r:id="rId435"/>
    <hyperlink xmlns:r="http://schemas.openxmlformats.org/officeDocument/2006/relationships" ref="O636" location="gid=0" r:id="rId436"/>
    <hyperlink xmlns:r="http://schemas.openxmlformats.org/officeDocument/2006/relationships" ref="O637" location="gid=0" r:id="rId437"/>
    <hyperlink xmlns:r="http://schemas.openxmlformats.org/officeDocument/2006/relationships" ref="O638" location="gid=0" r:id="rId438"/>
    <hyperlink xmlns:r="http://schemas.openxmlformats.org/officeDocument/2006/relationships" ref="O639" location="gid=0" r:id="rId439"/>
    <hyperlink xmlns:r="http://schemas.openxmlformats.org/officeDocument/2006/relationships" ref="O641" location="gid=0" r:id="rId440"/>
    <hyperlink xmlns:r="http://schemas.openxmlformats.org/officeDocument/2006/relationships" ref="O642" location="gid=0" r:id="rId441"/>
    <hyperlink xmlns:r="http://schemas.openxmlformats.org/officeDocument/2006/relationships" ref="O644" location="gid=0" r:id="rId442"/>
    <hyperlink xmlns:r="http://schemas.openxmlformats.org/officeDocument/2006/relationships" ref="O645" location="gid=0" r:id="rId443"/>
    <hyperlink xmlns:r="http://schemas.openxmlformats.org/officeDocument/2006/relationships" ref="O650" location="gid=0" r:id="rId444"/>
    <hyperlink xmlns:r="http://schemas.openxmlformats.org/officeDocument/2006/relationships" ref="O651" location="gid=0" r:id="rId445"/>
    <hyperlink xmlns:r="http://schemas.openxmlformats.org/officeDocument/2006/relationships" ref="O653" location="gid=0" r:id="rId446"/>
    <hyperlink xmlns:r="http://schemas.openxmlformats.org/officeDocument/2006/relationships" ref="O655" location="gid=0" r:id="rId447"/>
    <hyperlink xmlns:r="http://schemas.openxmlformats.org/officeDocument/2006/relationships" ref="O656" location="gid=0" r:id="rId448"/>
    <hyperlink xmlns:r="http://schemas.openxmlformats.org/officeDocument/2006/relationships" ref="O657" location="gid=0" r:id="rId449"/>
    <hyperlink xmlns:r="http://schemas.openxmlformats.org/officeDocument/2006/relationships" ref="O658" location="gid=0" r:id="rId450"/>
    <hyperlink xmlns:r="http://schemas.openxmlformats.org/officeDocument/2006/relationships" ref="O659" location="gid=0" r:id="rId451"/>
    <hyperlink xmlns:r="http://schemas.openxmlformats.org/officeDocument/2006/relationships" ref="O660" location="gid=0" r:id="rId452"/>
    <hyperlink xmlns:r="http://schemas.openxmlformats.org/officeDocument/2006/relationships" ref="O661" location="gid=0" r:id="rId453"/>
    <hyperlink xmlns:r="http://schemas.openxmlformats.org/officeDocument/2006/relationships" ref="O663" location="gid=0" r:id="rId454"/>
    <hyperlink xmlns:r="http://schemas.openxmlformats.org/officeDocument/2006/relationships" ref="O667" location="gid=0" r:id="rId455"/>
    <hyperlink xmlns:r="http://schemas.openxmlformats.org/officeDocument/2006/relationships" ref="O669" location="gid=0" r:id="rId456"/>
    <hyperlink xmlns:r="http://schemas.openxmlformats.org/officeDocument/2006/relationships" ref="O671" location="gid=0" r:id="rId457"/>
    <hyperlink xmlns:r="http://schemas.openxmlformats.org/officeDocument/2006/relationships" ref="O673" location="gid=0" r:id="rId458"/>
    <hyperlink xmlns:r="http://schemas.openxmlformats.org/officeDocument/2006/relationships" ref="O674" location="gid=0" r:id="rId459"/>
    <hyperlink xmlns:r="http://schemas.openxmlformats.org/officeDocument/2006/relationships" ref="O678" location="gid=0" r:id="rId460"/>
    <hyperlink xmlns:r="http://schemas.openxmlformats.org/officeDocument/2006/relationships" ref="O682" location="gid=0" r:id="rId461"/>
    <hyperlink xmlns:r="http://schemas.openxmlformats.org/officeDocument/2006/relationships" ref="O683" location="gid=0" r:id="rId462"/>
    <hyperlink xmlns:r="http://schemas.openxmlformats.org/officeDocument/2006/relationships" ref="O684" location="gid=0" r:id="rId463"/>
    <hyperlink xmlns:r="http://schemas.openxmlformats.org/officeDocument/2006/relationships" ref="O685" location="gid=0" r:id="rId464"/>
    <hyperlink xmlns:r="http://schemas.openxmlformats.org/officeDocument/2006/relationships" ref="O686" location="gid=0" r:id="rId465"/>
    <hyperlink xmlns:r="http://schemas.openxmlformats.org/officeDocument/2006/relationships" ref="O687" location="gid=0" r:id="rId466"/>
    <hyperlink xmlns:r="http://schemas.openxmlformats.org/officeDocument/2006/relationships" ref="O688" location="gid=0" r:id="rId467"/>
    <hyperlink xmlns:r="http://schemas.openxmlformats.org/officeDocument/2006/relationships" ref="O689" location="gid=0" r:id="rId468"/>
    <hyperlink xmlns:r="http://schemas.openxmlformats.org/officeDocument/2006/relationships" ref="O691" location="gid=0" r:id="rId469"/>
    <hyperlink xmlns:r="http://schemas.openxmlformats.org/officeDocument/2006/relationships" ref="O692" location="gid=0" r:id="rId470"/>
    <hyperlink xmlns:r="http://schemas.openxmlformats.org/officeDocument/2006/relationships" ref="O694" location="gid=0" r:id="rId471"/>
    <hyperlink xmlns:r="http://schemas.openxmlformats.org/officeDocument/2006/relationships" ref="O695" location="gid=0" r:id="rId472"/>
    <hyperlink xmlns:r="http://schemas.openxmlformats.org/officeDocument/2006/relationships" ref="O696" location="gid=0" r:id="rId473"/>
    <hyperlink xmlns:r="http://schemas.openxmlformats.org/officeDocument/2006/relationships" ref="O697" location="gid=0" r:id="rId474"/>
    <hyperlink xmlns:r="http://schemas.openxmlformats.org/officeDocument/2006/relationships" ref="O698" location="gid=0" r:id="rId475"/>
    <hyperlink xmlns:r="http://schemas.openxmlformats.org/officeDocument/2006/relationships" ref="O699" location="gid=0" r:id="rId476"/>
    <hyperlink xmlns:r="http://schemas.openxmlformats.org/officeDocument/2006/relationships" ref="O700" location="gid=0" r:id="rId477"/>
    <hyperlink xmlns:r="http://schemas.openxmlformats.org/officeDocument/2006/relationships" ref="O703" location="gid=0" r:id="rId478"/>
    <hyperlink xmlns:r="http://schemas.openxmlformats.org/officeDocument/2006/relationships" ref="O704" location="gid=0" r:id="rId479"/>
    <hyperlink xmlns:r="http://schemas.openxmlformats.org/officeDocument/2006/relationships" ref="O705" location="gid=0" r:id="rId480"/>
    <hyperlink xmlns:r="http://schemas.openxmlformats.org/officeDocument/2006/relationships" ref="O707" location="gid=0" r:id="rId481"/>
    <hyperlink xmlns:r="http://schemas.openxmlformats.org/officeDocument/2006/relationships" ref="O709" location="gid=0" r:id="rId482"/>
    <hyperlink xmlns:r="http://schemas.openxmlformats.org/officeDocument/2006/relationships" ref="O710" location="gid=0" r:id="rId483"/>
    <hyperlink xmlns:r="http://schemas.openxmlformats.org/officeDocument/2006/relationships" ref="O713" location="gid=0" r:id="rId484"/>
    <hyperlink xmlns:r="http://schemas.openxmlformats.org/officeDocument/2006/relationships" ref="O714" location="gid=0" r:id="rId485"/>
    <hyperlink xmlns:r="http://schemas.openxmlformats.org/officeDocument/2006/relationships" ref="O715" location="gid=0" r:id="rId486"/>
    <hyperlink xmlns:r="http://schemas.openxmlformats.org/officeDocument/2006/relationships" ref="O716" location="gid=0" r:id="rId487"/>
    <hyperlink xmlns:r="http://schemas.openxmlformats.org/officeDocument/2006/relationships" ref="O718" location="gid=0" r:id="rId488"/>
    <hyperlink xmlns:r="http://schemas.openxmlformats.org/officeDocument/2006/relationships" ref="O719" location="gid=0" r:id="rId489"/>
    <hyperlink xmlns:r="http://schemas.openxmlformats.org/officeDocument/2006/relationships" ref="O721" location="gid=0" r:id="rId490"/>
    <hyperlink xmlns:r="http://schemas.openxmlformats.org/officeDocument/2006/relationships" ref="O722" location="gid=0" r:id="rId491"/>
    <hyperlink xmlns:r="http://schemas.openxmlformats.org/officeDocument/2006/relationships" ref="O723" location="gid=0" r:id="rId492"/>
    <hyperlink xmlns:r="http://schemas.openxmlformats.org/officeDocument/2006/relationships" ref="O724" location="gid=0" r:id="rId493"/>
    <hyperlink xmlns:r="http://schemas.openxmlformats.org/officeDocument/2006/relationships" ref="O725" location="gid=0" r:id="rId494"/>
    <hyperlink xmlns:r="http://schemas.openxmlformats.org/officeDocument/2006/relationships" ref="O726" location="gid=0" r:id="rId495"/>
    <hyperlink xmlns:r="http://schemas.openxmlformats.org/officeDocument/2006/relationships" ref="O727" location="gid=0" r:id="rId496"/>
    <hyperlink xmlns:r="http://schemas.openxmlformats.org/officeDocument/2006/relationships" ref="O728" location="gid=0" r:id="rId497"/>
    <hyperlink xmlns:r="http://schemas.openxmlformats.org/officeDocument/2006/relationships" ref="O729" location="gid=0" r:id="rId498"/>
    <hyperlink xmlns:r="http://schemas.openxmlformats.org/officeDocument/2006/relationships" ref="O730" location="gid=0" r:id="rId499"/>
    <hyperlink xmlns:r="http://schemas.openxmlformats.org/officeDocument/2006/relationships" ref="O731" location="gid=0" r:id="rId500"/>
    <hyperlink xmlns:r="http://schemas.openxmlformats.org/officeDocument/2006/relationships" ref="O732" location="gid=0" r:id="rId501"/>
    <hyperlink xmlns:r="http://schemas.openxmlformats.org/officeDocument/2006/relationships" ref="O733" location="gid=0" r:id="rId502"/>
    <hyperlink xmlns:r="http://schemas.openxmlformats.org/officeDocument/2006/relationships" ref="O734" location="gid=0" r:id="rId503"/>
    <hyperlink xmlns:r="http://schemas.openxmlformats.org/officeDocument/2006/relationships" ref="O735" location="gid=0" r:id="rId504"/>
    <hyperlink xmlns:r="http://schemas.openxmlformats.org/officeDocument/2006/relationships" ref="O737" location="gid=0" r:id="rId505"/>
    <hyperlink xmlns:r="http://schemas.openxmlformats.org/officeDocument/2006/relationships" ref="O738" location="gid=0" r:id="rId506"/>
    <hyperlink xmlns:r="http://schemas.openxmlformats.org/officeDocument/2006/relationships" ref="O739" location="gid=0" r:id="rId507"/>
    <hyperlink xmlns:r="http://schemas.openxmlformats.org/officeDocument/2006/relationships" ref="O740" location="gid=0" r:id="rId508"/>
    <hyperlink xmlns:r="http://schemas.openxmlformats.org/officeDocument/2006/relationships" ref="O741" location="gid=0" r:id="rId509"/>
    <hyperlink xmlns:r="http://schemas.openxmlformats.org/officeDocument/2006/relationships" ref="O743" location="gid=0" r:id="rId510"/>
    <hyperlink xmlns:r="http://schemas.openxmlformats.org/officeDocument/2006/relationships" ref="O744" location="gid=0" r:id="rId511"/>
    <hyperlink xmlns:r="http://schemas.openxmlformats.org/officeDocument/2006/relationships" ref="O746" location="gid=0" r:id="rId512"/>
    <hyperlink xmlns:r="http://schemas.openxmlformats.org/officeDocument/2006/relationships" ref="O747" location="gid=0" r:id="rId513"/>
    <hyperlink xmlns:r="http://schemas.openxmlformats.org/officeDocument/2006/relationships" ref="O750" location="gid=0" r:id="rId514"/>
    <hyperlink xmlns:r="http://schemas.openxmlformats.org/officeDocument/2006/relationships" ref="O751" location="gid=0" r:id="rId515"/>
    <hyperlink xmlns:r="http://schemas.openxmlformats.org/officeDocument/2006/relationships" ref="O753" location="gid=0" r:id="rId516"/>
    <hyperlink xmlns:r="http://schemas.openxmlformats.org/officeDocument/2006/relationships" ref="O754" location="gid=0" r:id="rId517"/>
    <hyperlink xmlns:r="http://schemas.openxmlformats.org/officeDocument/2006/relationships" ref="O757" location="gid=0" r:id="rId518"/>
    <hyperlink xmlns:r="http://schemas.openxmlformats.org/officeDocument/2006/relationships" ref="O758" location="gid=0" r:id="rId519"/>
    <hyperlink xmlns:r="http://schemas.openxmlformats.org/officeDocument/2006/relationships" ref="O760" location="gid=0" r:id="rId520"/>
    <hyperlink xmlns:r="http://schemas.openxmlformats.org/officeDocument/2006/relationships" ref="O761" location="gid=0" r:id="rId521"/>
    <hyperlink xmlns:r="http://schemas.openxmlformats.org/officeDocument/2006/relationships" ref="O763" location="gid=0" r:id="rId522"/>
    <hyperlink xmlns:r="http://schemas.openxmlformats.org/officeDocument/2006/relationships" ref="O764" location="gid=0" r:id="rId523"/>
    <hyperlink xmlns:r="http://schemas.openxmlformats.org/officeDocument/2006/relationships" ref="O765" location="gid=0" r:id="rId524"/>
    <hyperlink xmlns:r="http://schemas.openxmlformats.org/officeDocument/2006/relationships" ref="O766" location="gid=0" r:id="rId525"/>
    <hyperlink xmlns:r="http://schemas.openxmlformats.org/officeDocument/2006/relationships" ref="O767" location="gid=0" r:id="rId526"/>
    <hyperlink xmlns:r="http://schemas.openxmlformats.org/officeDocument/2006/relationships" ref="O768" location="gid=0" r:id="rId527"/>
    <hyperlink xmlns:r="http://schemas.openxmlformats.org/officeDocument/2006/relationships" ref="O769" location="gid=0" r:id="rId528"/>
    <hyperlink xmlns:r="http://schemas.openxmlformats.org/officeDocument/2006/relationships" ref="O770" location="gid=0" r:id="rId529"/>
    <hyperlink xmlns:r="http://schemas.openxmlformats.org/officeDocument/2006/relationships" ref="O771" location="gid=0" r:id="rId530"/>
    <hyperlink xmlns:r="http://schemas.openxmlformats.org/officeDocument/2006/relationships" ref="O772" location="gid=0" r:id="rId531"/>
    <hyperlink xmlns:r="http://schemas.openxmlformats.org/officeDocument/2006/relationships" ref="O773" location="gid=0" r:id="rId532"/>
    <hyperlink xmlns:r="http://schemas.openxmlformats.org/officeDocument/2006/relationships" ref="O774" location="gid=0" r:id="rId533"/>
    <hyperlink xmlns:r="http://schemas.openxmlformats.org/officeDocument/2006/relationships" ref="O775" location="gid=0" r:id="rId534"/>
    <hyperlink xmlns:r="http://schemas.openxmlformats.org/officeDocument/2006/relationships" ref="O776" location="gid=0" r:id="rId535"/>
    <hyperlink xmlns:r="http://schemas.openxmlformats.org/officeDocument/2006/relationships" ref="O777" location="gid=0" r:id="rId536"/>
    <hyperlink xmlns:r="http://schemas.openxmlformats.org/officeDocument/2006/relationships" ref="O778" location="gid=0" r:id="rId537"/>
    <hyperlink xmlns:r="http://schemas.openxmlformats.org/officeDocument/2006/relationships" ref="O779" location="gid=0" r:id="rId538"/>
    <hyperlink xmlns:r="http://schemas.openxmlformats.org/officeDocument/2006/relationships" ref="O780" location="gid=0" r:id="rId539"/>
    <hyperlink xmlns:r="http://schemas.openxmlformats.org/officeDocument/2006/relationships" ref="O781" location="gid=0" r:id="rId540"/>
    <hyperlink xmlns:r="http://schemas.openxmlformats.org/officeDocument/2006/relationships" ref="O782" location="gid=0" r:id="rId541"/>
    <hyperlink xmlns:r="http://schemas.openxmlformats.org/officeDocument/2006/relationships" ref="O784" location="gid=0" r:id="rId542"/>
    <hyperlink xmlns:r="http://schemas.openxmlformats.org/officeDocument/2006/relationships" ref="O785" location="gid=0" r:id="rId543"/>
    <hyperlink xmlns:r="http://schemas.openxmlformats.org/officeDocument/2006/relationships" ref="O787" location="gid=0" r:id="rId544"/>
    <hyperlink xmlns:r="http://schemas.openxmlformats.org/officeDocument/2006/relationships" ref="O788" location="gid=0" r:id="rId545"/>
    <hyperlink xmlns:r="http://schemas.openxmlformats.org/officeDocument/2006/relationships" ref="O789" location="gid=0" r:id="rId546"/>
    <hyperlink xmlns:r="http://schemas.openxmlformats.org/officeDocument/2006/relationships" ref="O790" location="gid=0" r:id="rId547"/>
    <hyperlink xmlns:r="http://schemas.openxmlformats.org/officeDocument/2006/relationships" ref="O791" location="gid=0" r:id="rId548"/>
    <hyperlink xmlns:r="http://schemas.openxmlformats.org/officeDocument/2006/relationships" ref="O794" location="gid=0" r:id="rId549"/>
    <hyperlink xmlns:r="http://schemas.openxmlformats.org/officeDocument/2006/relationships" ref="O795" location="gid=0" r:id="rId550"/>
    <hyperlink xmlns:r="http://schemas.openxmlformats.org/officeDocument/2006/relationships" ref="O797" location="gid=0" r:id="rId551"/>
    <hyperlink xmlns:r="http://schemas.openxmlformats.org/officeDocument/2006/relationships" ref="O798" location="gid=0" r:id="rId552"/>
    <hyperlink xmlns:r="http://schemas.openxmlformats.org/officeDocument/2006/relationships" ref="O800" location="gid=0" r:id="rId553"/>
    <hyperlink xmlns:r="http://schemas.openxmlformats.org/officeDocument/2006/relationships" ref="O801" location="gid=0" r:id="rId554"/>
    <hyperlink xmlns:r="http://schemas.openxmlformats.org/officeDocument/2006/relationships" ref="O803" location="gid=0" r:id="rId555"/>
    <hyperlink xmlns:r="http://schemas.openxmlformats.org/officeDocument/2006/relationships" ref="O806" location="gid=0" r:id="rId556"/>
    <hyperlink xmlns:r="http://schemas.openxmlformats.org/officeDocument/2006/relationships" ref="O810" location="gid=0" r:id="rId557"/>
    <hyperlink xmlns:r="http://schemas.openxmlformats.org/officeDocument/2006/relationships" ref="O811" location="gid=0" r:id="rId558"/>
    <hyperlink xmlns:r="http://schemas.openxmlformats.org/officeDocument/2006/relationships" ref="O812" location="gid=0" r:id="rId559"/>
    <hyperlink xmlns:r="http://schemas.openxmlformats.org/officeDocument/2006/relationships" ref="O813" location="gid=0" r:id="rId560"/>
    <hyperlink xmlns:r="http://schemas.openxmlformats.org/officeDocument/2006/relationships" ref="O815" location="gid=0" r:id="rId561"/>
    <hyperlink xmlns:r="http://schemas.openxmlformats.org/officeDocument/2006/relationships" ref="O816" location="gid=0" r:id="rId562"/>
    <hyperlink xmlns:r="http://schemas.openxmlformats.org/officeDocument/2006/relationships" ref="O817" location="gid=0" r:id="rId563"/>
    <hyperlink xmlns:r="http://schemas.openxmlformats.org/officeDocument/2006/relationships" ref="O818" location="gid=0" r:id="rId564"/>
    <hyperlink xmlns:r="http://schemas.openxmlformats.org/officeDocument/2006/relationships" ref="O819" location="gid=0" r:id="rId565"/>
    <hyperlink xmlns:r="http://schemas.openxmlformats.org/officeDocument/2006/relationships" ref="O820" location="gid=0" r:id="rId566"/>
    <hyperlink xmlns:r="http://schemas.openxmlformats.org/officeDocument/2006/relationships" ref="O821" location="gid=0" r:id="rId567"/>
    <hyperlink xmlns:r="http://schemas.openxmlformats.org/officeDocument/2006/relationships" ref="O822" location="gid=0" r:id="rId568"/>
    <hyperlink xmlns:r="http://schemas.openxmlformats.org/officeDocument/2006/relationships" ref="O823" location="gid=0" r:id="rId569"/>
    <hyperlink xmlns:r="http://schemas.openxmlformats.org/officeDocument/2006/relationships" ref="O825" location="gid=0" r:id="rId570"/>
    <hyperlink xmlns:r="http://schemas.openxmlformats.org/officeDocument/2006/relationships" ref="O826" location="gid=0" r:id="rId571"/>
    <hyperlink xmlns:r="http://schemas.openxmlformats.org/officeDocument/2006/relationships" ref="O827" location="gid=0" r:id="rId572"/>
    <hyperlink xmlns:r="http://schemas.openxmlformats.org/officeDocument/2006/relationships" ref="O828" location="gid=0" r:id="rId573"/>
    <hyperlink xmlns:r="http://schemas.openxmlformats.org/officeDocument/2006/relationships" ref="O830" location="gid=0" r:id="rId574"/>
    <hyperlink xmlns:r="http://schemas.openxmlformats.org/officeDocument/2006/relationships" ref="O833" location="gid=0" r:id="rId575"/>
    <hyperlink xmlns:r="http://schemas.openxmlformats.org/officeDocument/2006/relationships" ref="O835" location="gid=0" r:id="rId576"/>
    <hyperlink xmlns:r="http://schemas.openxmlformats.org/officeDocument/2006/relationships" ref="O836" location="gid=0" r:id="rId577"/>
    <hyperlink xmlns:r="http://schemas.openxmlformats.org/officeDocument/2006/relationships" ref="O837" location="gid=0" r:id="rId578"/>
    <hyperlink xmlns:r="http://schemas.openxmlformats.org/officeDocument/2006/relationships" ref="O838" location="gid=0" r:id="rId579"/>
    <hyperlink xmlns:r="http://schemas.openxmlformats.org/officeDocument/2006/relationships" ref="O839" location="gid=0" r:id="rId580"/>
    <hyperlink xmlns:r="http://schemas.openxmlformats.org/officeDocument/2006/relationships" ref="O840" location="gid=0" r:id="rId581"/>
    <hyperlink xmlns:r="http://schemas.openxmlformats.org/officeDocument/2006/relationships" ref="O842" location="gid=0" r:id="rId582"/>
    <hyperlink xmlns:r="http://schemas.openxmlformats.org/officeDocument/2006/relationships" ref="O843" location="gid=0" r:id="rId583"/>
    <hyperlink xmlns:r="http://schemas.openxmlformats.org/officeDocument/2006/relationships" ref="O844" location="gid=0" r:id="rId584"/>
    <hyperlink xmlns:r="http://schemas.openxmlformats.org/officeDocument/2006/relationships" ref="O847" location="gid=0" r:id="rId585"/>
    <hyperlink xmlns:r="http://schemas.openxmlformats.org/officeDocument/2006/relationships" ref="O848" location="gid=0" r:id="rId586"/>
    <hyperlink xmlns:r="http://schemas.openxmlformats.org/officeDocument/2006/relationships" ref="O851" location="gid=0" r:id="rId587"/>
    <hyperlink xmlns:r="http://schemas.openxmlformats.org/officeDocument/2006/relationships" ref="O852" location="gid=0" r:id="rId588"/>
    <hyperlink xmlns:r="http://schemas.openxmlformats.org/officeDocument/2006/relationships" ref="O853" location="gid=0" r:id="rId589"/>
    <hyperlink xmlns:r="http://schemas.openxmlformats.org/officeDocument/2006/relationships" ref="O854" location="gid=0" r:id="rId590"/>
    <hyperlink xmlns:r="http://schemas.openxmlformats.org/officeDocument/2006/relationships" ref="O855" location="gid=0" r:id="rId591"/>
    <hyperlink xmlns:r="http://schemas.openxmlformats.org/officeDocument/2006/relationships" ref="O856" location="gid=0" r:id="rId592"/>
    <hyperlink xmlns:r="http://schemas.openxmlformats.org/officeDocument/2006/relationships" ref="O857" location="gid=0" r:id="rId593"/>
    <hyperlink xmlns:r="http://schemas.openxmlformats.org/officeDocument/2006/relationships" ref="O858" location="gid=0" r:id="rId594"/>
    <hyperlink xmlns:r="http://schemas.openxmlformats.org/officeDocument/2006/relationships" ref="O860" location="gid=0" r:id="rId595"/>
    <hyperlink xmlns:r="http://schemas.openxmlformats.org/officeDocument/2006/relationships" ref="O861" location="gid=0" r:id="rId596"/>
    <hyperlink xmlns:r="http://schemas.openxmlformats.org/officeDocument/2006/relationships" ref="O863" location="gid=0" r:id="rId597"/>
    <hyperlink xmlns:r="http://schemas.openxmlformats.org/officeDocument/2006/relationships" ref="O865" location="gid=0" r:id="rId598"/>
    <hyperlink xmlns:r="http://schemas.openxmlformats.org/officeDocument/2006/relationships" ref="O866" location="gid=0" r:id="rId599"/>
    <hyperlink xmlns:r="http://schemas.openxmlformats.org/officeDocument/2006/relationships" ref="O867" location="gid=0" r:id="rId600"/>
    <hyperlink xmlns:r="http://schemas.openxmlformats.org/officeDocument/2006/relationships" ref="O868" location="gid=0" r:id="rId601"/>
    <hyperlink xmlns:r="http://schemas.openxmlformats.org/officeDocument/2006/relationships" ref="O870" location="gid=0" r:id="rId602"/>
    <hyperlink xmlns:r="http://schemas.openxmlformats.org/officeDocument/2006/relationships" ref="O871" location="gid=0" r:id="rId603"/>
    <hyperlink xmlns:r="http://schemas.openxmlformats.org/officeDocument/2006/relationships" ref="O872" location="gid=0" r:id="rId604"/>
    <hyperlink xmlns:r="http://schemas.openxmlformats.org/officeDocument/2006/relationships" ref="O874" location="gid=0" r:id="rId605"/>
    <hyperlink xmlns:r="http://schemas.openxmlformats.org/officeDocument/2006/relationships" ref="O875" location="gid=0" r:id="rId606"/>
    <hyperlink xmlns:r="http://schemas.openxmlformats.org/officeDocument/2006/relationships" ref="O880" location="gid=0" r:id="rId607"/>
    <hyperlink xmlns:r="http://schemas.openxmlformats.org/officeDocument/2006/relationships" ref="O881" location="gid=0" r:id="rId608"/>
    <hyperlink xmlns:r="http://schemas.openxmlformats.org/officeDocument/2006/relationships" ref="O882" location="gid=0" r:id="rId609"/>
    <hyperlink xmlns:r="http://schemas.openxmlformats.org/officeDocument/2006/relationships" ref="O884" location="gid=0" r:id="rId610"/>
    <hyperlink xmlns:r="http://schemas.openxmlformats.org/officeDocument/2006/relationships" ref="O885" location="gid=0" r:id="rId611"/>
    <hyperlink xmlns:r="http://schemas.openxmlformats.org/officeDocument/2006/relationships" ref="O886" location="gid=0" r:id="rId612"/>
    <hyperlink xmlns:r="http://schemas.openxmlformats.org/officeDocument/2006/relationships" ref="O888" location="gid=0" r:id="rId613"/>
    <hyperlink xmlns:r="http://schemas.openxmlformats.org/officeDocument/2006/relationships" ref="O889" location="gid=0" r:id="rId614"/>
    <hyperlink xmlns:r="http://schemas.openxmlformats.org/officeDocument/2006/relationships" ref="O890" location="gid=0" r:id="rId615"/>
    <hyperlink xmlns:r="http://schemas.openxmlformats.org/officeDocument/2006/relationships" ref="O891" location="gid=0" r:id="rId616"/>
    <hyperlink xmlns:r="http://schemas.openxmlformats.org/officeDocument/2006/relationships" ref="O895" location="gid=0" r:id="rId617"/>
    <hyperlink xmlns:r="http://schemas.openxmlformats.org/officeDocument/2006/relationships" ref="O896" location="gid=0" r:id="rId618"/>
    <hyperlink xmlns:r="http://schemas.openxmlformats.org/officeDocument/2006/relationships" ref="O897" location="gid=0" r:id="rId619"/>
    <hyperlink xmlns:r="http://schemas.openxmlformats.org/officeDocument/2006/relationships" ref="O898" location="gid=0" r:id="rId620"/>
    <hyperlink xmlns:r="http://schemas.openxmlformats.org/officeDocument/2006/relationships" ref="O899" location="gid=0" r:id="rId621"/>
  </hyperlinks>
  <pageMargins left="0.75" right="0.75" top="1" bottom="1" header="0.5" footer="0.5"/>
  <tableParts count="3">
    <tablePart xmlns:r="http://schemas.openxmlformats.org/officeDocument/2006/relationships" r:id="rId622"/>
    <tablePart xmlns:r="http://schemas.openxmlformats.org/officeDocument/2006/relationships" r:id="rId623"/>
    <tablePart xmlns:r="http://schemas.openxmlformats.org/officeDocument/2006/relationships" r:id="rId624"/>
  </tableParts>
</worksheet>
</file>

<file path=xl/worksheets/sheet2.xml><?xml version="1.0" encoding="utf-8"?>
<worksheet xmlns="http://schemas.openxmlformats.org/spreadsheetml/2006/main">
  <sheetPr>
    <outlinePr summaryBelow="0" summaryRight="0"/>
    <pageSetUpPr/>
  </sheetPr>
  <dimension ref="A1:I3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14" customWidth="1" style="58" min="1" max="1"/>
    <col width="52" customWidth="1" style="58" min="2" max="2"/>
    <col width="9" customWidth="1" style="58" min="3" max="3"/>
    <col width="40" customWidth="1" style="58" min="4" max="4"/>
    <col width="52" customWidth="1" style="58" min="5" max="5"/>
    <col width="48" customWidth="1" style="58" min="6" max="6"/>
    <col width="40" customWidth="1" style="58" min="7" max="7"/>
    <col width="18" customWidth="1" style="58" min="8" max="8"/>
    <col width="2" customWidth="1" style="58" min="9" max="9"/>
  </cols>
  <sheetData>
    <row r="1">
      <c r="A1" s="73" t="inlineStr">
        <is>
          <t>Questão</t>
        </is>
      </c>
      <c r="B1" s="74" t="inlineStr">
        <is>
          <t>Descritivo</t>
        </is>
      </c>
      <c r="C1" s="74" t="inlineStr">
        <is>
          <t>Sim/Não</t>
        </is>
      </c>
      <c r="D1" s="74" t="inlineStr">
        <is>
          <t>Etiquetação</t>
        </is>
      </c>
      <c r="E1" s="74" t="inlineStr">
        <is>
          <t>Resumo do cliente</t>
        </is>
      </c>
      <c r="F1" s="74" t="inlineStr">
        <is>
          <t>Resumo do atendimento</t>
        </is>
      </c>
      <c r="G1" s="74" t="inlineStr">
        <is>
          <t>Link do problema</t>
        </is>
      </c>
      <c r="H1" s="75" t="inlineStr">
        <is>
          <t>Status</t>
        </is>
      </c>
    </row>
    <row r="2" ht="22" customHeight="1" s="58">
      <c r="A2" s="76">
        <f>IF($I2="","",IF(LEFT($I2,1)="R","Resolução","Pergunta "&amp;MID($I2,2,3)))</f>
        <v/>
      </c>
      <c r="B2" s="77">
        <f>IF($I2="","",IF(LEFT($I2,1)="R",INDEX(Árvore!$B$14:$B$21,MATCH($I2,Árvore!$A$14:$A$21,0)),INDEX(Árvore!$B$2:$B$11,MATCH($I2,Árvore!$A$2:$A$11,0))))</f>
        <v/>
      </c>
      <c r="C2" s="78" t="inlineStr">
        <is>
          <t>Sim</t>
        </is>
      </c>
      <c r="D2" s="79">
        <f>IF(LEFT($I2,1)="R",INDEX(Árvore!$C$14:$C$21,MATCH($I2,Árvore!$A$14:$A$21,0)),"")</f>
        <v/>
      </c>
      <c r="E2" s="79">
        <f>IF(LEFT($I2,1)="R",INDEX(Árvore!$D$14:$D$21,MATCH($I2,Árvore!$A$14:$A$21,0)),"")</f>
        <v/>
      </c>
      <c r="F2" s="79">
        <f>IF(LEFT($I2,1)="R",INDEX(Árvore!$E$14:$E$21,MATCH($I2,Árvore!$A$14:$A$21,0)),"")</f>
        <v/>
      </c>
      <c r="G2" s="80">
        <f>IF(LEFT($I2,1)="R",INDEX(Árvore!$F$14:$F$21,MATCH($I2,Árvore!$A$14:$A$21,0)),"")</f>
        <v/>
      </c>
      <c r="H2" s="81">
        <f>IF(LEFT($I2,1)="R",INDEX(Árvore!$G$14:$G$21,MATCH($I2,Árvore!$A$14:$A$21,0)),"")</f>
        <v/>
      </c>
      <c r="I2" s="82" t="inlineStr">
        <is>
          <t>P1</t>
        </is>
      </c>
    </row>
    <row r="3" ht="34" customHeight="1" s="58">
      <c r="A3" s="76">
        <f>IF($I3="","",IF(LEFT($I3,1)="R","Resolução","Pergunta "&amp;MID($I3,2,3)))</f>
        <v/>
      </c>
      <c r="B3" s="77">
        <f>IF($I3="","",IF(LEFT($I3,1)="R",INDEX(Árvore!$B$14:$B$21,MATCH($I3,Árvore!$A$14:$A$21,0)),INDEX(Árvore!$B$2:$B$11,MATCH($I3,Árvore!$A$2:$A$11,0))))</f>
        <v/>
      </c>
      <c r="C3" s="78" t="inlineStr">
        <is>
          <t>Sim</t>
        </is>
      </c>
      <c r="D3" s="79">
        <f>IF(LEFT($I3,1)="R",INDEX(Árvore!$C$14:$C$21,MATCH($I3,Árvore!$A$14:$A$21,0)),"")</f>
        <v/>
      </c>
      <c r="E3" s="79">
        <f>IF(LEFT($I3,1)="R",INDEX(Árvore!$D$14:$D$21,MATCH($I3,Árvore!$A$14:$A$21,0)),"")</f>
        <v/>
      </c>
      <c r="F3" s="79">
        <f>IF(LEFT($I3,1)="R",INDEX(Árvore!$E$14:$E$21,MATCH($I3,Árvore!$A$14:$A$21,0)),"")</f>
        <v/>
      </c>
      <c r="G3" s="80">
        <f>IF(LEFT($I3,1)="R",INDEX(Árvore!$F$14:$F$21,MATCH($I3,Árvore!$A$14:$A$21,0)),"")</f>
        <v/>
      </c>
      <c r="H3" s="81">
        <f>IF(LEFT($I3,1)="R",INDEX(Árvore!$G$14:$G$21,MATCH($I3,Árvore!$A$14:$A$21,0)),"")</f>
        <v/>
      </c>
      <c r="I3" s="82">
        <f>IF(OR($I2="",LEFT($I2,1)="R",C2=""),"",IF(C2="Sim",INDEX(Árvore!$C$2:$C$11,MATCH($I2,Árvore!$A$2:$A$11,0)),INDEX(Árvore!$D$2:$D$11,MATCH($I2,Árvore!$A$2:$A$11,0))))</f>
        <v/>
      </c>
    </row>
    <row r="4" ht="34" customHeight="1" s="58">
      <c r="A4" s="76">
        <f>IF($I4="","",IF(LEFT($I4,1)="R","Resolução","Pergunta "&amp;MID($I4,2,3)))</f>
        <v/>
      </c>
      <c r="B4" s="77">
        <f>IF($I4="","",IF(LEFT($I4,1)="R",INDEX(Árvore!$B$14:$B$21,MATCH($I4,Árvore!$A$14:$A$21,0)),INDEX(Árvore!$B$2:$B$11,MATCH($I4,Árvore!$A$2:$A$11,0))))</f>
        <v/>
      </c>
      <c r="C4" s="78" t="inlineStr">
        <is>
          <t>Sim</t>
        </is>
      </c>
      <c r="D4" s="79">
        <f>IF(LEFT($I4,1)="R",INDEX(Árvore!$C$14:$C$21,MATCH($I4,Árvore!$A$14:$A$21,0)),"")</f>
        <v/>
      </c>
      <c r="E4" s="79">
        <f>IF(LEFT($I4,1)="R",INDEX(Árvore!$D$14:$D$21,MATCH($I4,Árvore!$A$14:$A$21,0)),"")</f>
        <v/>
      </c>
      <c r="F4" s="79">
        <f>IF(LEFT($I4,1)="R",INDEX(Árvore!$E$14:$E$21,MATCH($I4,Árvore!$A$14:$A$21,0)),"")</f>
        <v/>
      </c>
      <c r="G4" s="80">
        <f>IF(LEFT($I4,1)="R",INDEX(Árvore!$F$14:$F$21,MATCH($I4,Árvore!$A$14:$A$21,0)),"")</f>
        <v/>
      </c>
      <c r="H4" s="81">
        <f>IF(LEFT($I4,1)="R",INDEX(Árvore!$G$14:$G$21,MATCH($I4,Árvore!$A$14:$A$21,0)),"")</f>
        <v/>
      </c>
      <c r="I4" s="82">
        <f>IF(OR($I3="",LEFT($I3,1)="R",C3=""),"",IF(C3="Sim",INDEX(Árvore!$C$2:$C$11,MATCH($I3,Árvore!$A$2:$A$11,0)),INDEX(Árvore!$D$2:$D$11,MATCH($I3,Árvore!$A$2:$A$11,0))))</f>
        <v/>
      </c>
    </row>
    <row r="5" ht="34" customHeight="1" s="58">
      <c r="A5" s="76">
        <f>IF($I5="","",IF(LEFT($I5,1)="R","Resolução","Pergunta "&amp;MID($I5,2,3)))</f>
        <v/>
      </c>
      <c r="B5" s="77">
        <f>IF($I5="","",IF(LEFT($I5,1)="R",INDEX(Árvore!$B$14:$B$21,MATCH($I5,Árvore!$A$14:$A$21,0)),INDEX(Árvore!$B$2:$B$11,MATCH($I5,Árvore!$A$2:$A$11,0))))</f>
        <v/>
      </c>
      <c r="C5" s="78" t="inlineStr">
        <is>
          <t>Não</t>
        </is>
      </c>
      <c r="D5" s="79">
        <f>IF(LEFT($I5,1)="R",INDEX(Árvore!$C$14:$C$21,MATCH($I5,Árvore!$A$14:$A$21,0)),"")</f>
        <v/>
      </c>
      <c r="E5" s="79">
        <f>IF(LEFT($I5,1)="R",INDEX(Árvore!$D$14:$D$21,MATCH($I5,Árvore!$A$14:$A$21,0)),"")</f>
        <v/>
      </c>
      <c r="F5" s="79">
        <f>IF(LEFT($I5,1)="R",INDEX(Árvore!$E$14:$E$21,MATCH($I5,Árvore!$A$14:$A$21,0)),"")</f>
        <v/>
      </c>
      <c r="G5" s="80">
        <f>IF(LEFT($I5,1)="R",INDEX(Árvore!$F$14:$F$21,MATCH($I5,Árvore!$A$14:$A$21,0)),"")</f>
        <v/>
      </c>
      <c r="H5" s="81">
        <f>IF(LEFT($I5,1)="R",INDEX(Árvore!$G$14:$G$21,MATCH($I5,Árvore!$A$14:$A$21,0)),"")</f>
        <v/>
      </c>
      <c r="I5" s="82">
        <f>IF(OR($I4="",LEFT($I4,1)="R",C4=""),"",IF(C4="Sim",INDEX(Árvore!$C$2:$C$11,MATCH($I4,Árvore!$A$2:$A$11,0)),INDEX(Árvore!$D$2:$D$11,MATCH($I4,Árvore!$A$2:$A$11,0))))</f>
        <v/>
      </c>
    </row>
    <row r="6" ht="34" customHeight="1" s="58">
      <c r="A6" s="76">
        <f>IF($I6="","",IF(LEFT($I6,1)="R","Resolução","Pergunta "&amp;MID($I6,2,3)))</f>
        <v/>
      </c>
      <c r="B6" s="77">
        <f>IF($I6="","",IF(LEFT($I6,1)="R",INDEX(Árvore!$B$14:$B$21,MATCH($I6,Árvore!$A$14:$A$21,0)),INDEX(Árvore!$B$2:$B$11,MATCH($I6,Árvore!$A$2:$A$11,0))))</f>
        <v/>
      </c>
      <c r="C6" s="78" t="inlineStr">
        <is>
          <t>Não</t>
        </is>
      </c>
      <c r="D6" s="79">
        <f>IF(LEFT($I6,1)="R",INDEX(Árvore!$C$14:$C$21,MATCH($I6,Árvore!$A$14:$A$21,0)),"")</f>
        <v/>
      </c>
      <c r="E6" s="79">
        <f>IF(LEFT($I6,1)="R",INDEX(Árvore!$D$14:$D$21,MATCH($I6,Árvore!$A$14:$A$21,0)),"")</f>
        <v/>
      </c>
      <c r="F6" s="79">
        <f>IF(LEFT($I6,1)="R",INDEX(Árvore!$E$14:$E$21,MATCH($I6,Árvore!$A$14:$A$21,0)),"")</f>
        <v/>
      </c>
      <c r="G6" s="80">
        <f>IF(LEFT($I6,1)="R",INDEX(Árvore!$F$14:$F$21,MATCH($I6,Árvore!$A$14:$A$21,0)),"")</f>
        <v/>
      </c>
      <c r="H6" s="81">
        <f>IF(LEFT($I6,1)="R",INDEX(Árvore!$G$14:$G$21,MATCH($I6,Árvore!$A$14:$A$21,0)),"")</f>
        <v/>
      </c>
      <c r="I6" s="82">
        <f>IF(OR($I5="",LEFT($I5,1)="R",C5=""),"",IF(C5="Sim",INDEX(Árvore!$C$2:$C$11,MATCH($I5,Árvore!$A$2:$A$11,0)),INDEX(Árvore!$D$2:$D$11,MATCH($I5,Árvore!$A$2:$A$11,0))))</f>
        <v/>
      </c>
    </row>
    <row r="7" ht="34" customHeight="1" s="58">
      <c r="A7" s="76">
        <f>IF($I7="","",IF(LEFT($I7,1)="R","Resolução","Pergunta "&amp;MID($I7,2,3)))</f>
        <v/>
      </c>
      <c r="B7" s="77">
        <f>IF($I7="","",IF(LEFT($I7,1)="R",INDEX(Árvore!$B$14:$B$21,MATCH($I7,Árvore!$A$14:$A$21,0)),INDEX(Árvore!$B$2:$B$11,MATCH($I7,Árvore!$A$2:$A$11,0))))</f>
        <v/>
      </c>
      <c r="C7" s="78" t="inlineStr">
        <is>
          <t>Não</t>
        </is>
      </c>
      <c r="D7" s="79">
        <f>IF(LEFT($I7,1)="R",INDEX(Árvore!$C$14:$C$21,MATCH($I7,Árvore!$A$14:$A$21,0)),"")</f>
        <v/>
      </c>
      <c r="E7" s="79">
        <f>IF(LEFT($I7,1)="R",INDEX(Árvore!$D$14:$D$21,MATCH($I7,Árvore!$A$14:$A$21,0)),"")</f>
        <v/>
      </c>
      <c r="F7" s="79">
        <f>IF(LEFT($I7,1)="R",INDEX(Árvore!$E$14:$E$21,MATCH($I7,Árvore!$A$14:$A$21,0)),"")</f>
        <v/>
      </c>
      <c r="G7" s="80">
        <f>IF(LEFT($I7,1)="R",INDEX(Árvore!$F$14:$F$21,MATCH($I7,Árvore!$A$14:$A$21,0)),"")</f>
        <v/>
      </c>
      <c r="H7" s="81">
        <f>IF(LEFT($I7,1)="R",INDEX(Árvore!$G$14:$G$21,MATCH($I7,Árvore!$A$14:$A$21,0)),"")</f>
        <v/>
      </c>
      <c r="I7" s="82">
        <f>IF(OR($I6="",LEFT($I6,1)="R",C6=""),"",IF(C6="Sim",INDEX(Árvore!$C$2:$C$11,MATCH($I6,Árvore!$A$2:$A$11,0)),INDEX(Árvore!$D$2:$D$11,MATCH($I6,Árvore!$A$2:$A$11,0))))</f>
        <v/>
      </c>
    </row>
    <row r="8" ht="34" customHeight="1" s="58">
      <c r="A8" s="76">
        <f>IF($I8="","",IF(LEFT($I8,1)="R","Resolução","Pergunta "&amp;MID($I8,2,3)))</f>
        <v/>
      </c>
      <c r="B8" s="77">
        <f>IF($I8="","",IF(LEFT($I8,1)="R",INDEX(Árvore!$B$14:$B$21,MATCH($I8,Árvore!$A$14:$A$21,0)),INDEX(Árvore!$B$2:$B$11,MATCH($I8,Árvore!$A$2:$A$11,0))))</f>
        <v/>
      </c>
      <c r="C8" s="78" t="inlineStr">
        <is>
          <t>Sim</t>
        </is>
      </c>
      <c r="D8" s="79">
        <f>IF(LEFT($I8,1)="R",INDEX(Árvore!$C$14:$C$21,MATCH($I8,Árvore!$A$14:$A$21,0)),"")</f>
        <v/>
      </c>
      <c r="E8" s="79">
        <f>IF(LEFT($I8,1)="R",INDEX(Árvore!$D$14:$D$21,MATCH($I8,Árvore!$A$14:$A$21,0)),"")</f>
        <v/>
      </c>
      <c r="F8" s="79">
        <f>IF(LEFT($I8,1)="R",INDEX(Árvore!$E$14:$E$21,MATCH($I8,Árvore!$A$14:$A$21,0)),"")</f>
        <v/>
      </c>
      <c r="G8" s="80">
        <f>IF(LEFT($I8,1)="R",INDEX(Árvore!$F$14:$F$21,MATCH($I8,Árvore!$A$14:$A$21,0)),"")</f>
        <v/>
      </c>
      <c r="H8" s="81">
        <f>IF(LEFT($I8,1)="R",INDEX(Árvore!$G$14:$G$21,MATCH($I8,Árvore!$A$14:$A$21,0)),"")</f>
        <v/>
      </c>
      <c r="I8" s="82">
        <f>IF(OR($I7="",LEFT($I7,1)="R",C7=""),"",IF(C7="Sim",INDEX(Árvore!$C$2:$C$11,MATCH($I7,Árvore!$A$2:$A$11,0)),INDEX(Árvore!$D$2:$D$11,MATCH($I7,Árvore!$A$2:$A$11,0))))</f>
        <v/>
      </c>
    </row>
    <row r="9" ht="34" customHeight="1" s="58">
      <c r="A9" s="76">
        <f>IF($I9="","",IF(LEFT($I9,1)="R","Resolução","Pergunta "&amp;MID($I9,2,3)))</f>
        <v/>
      </c>
      <c r="B9" s="77">
        <f>IF($I9="","",IF(LEFT($I9,1)="R",INDEX(Árvore!$B$14:$B$21,MATCH($I9,Árvore!$A$14:$A$21,0)),INDEX(Árvore!$B$2:$B$11,MATCH($I9,Árvore!$A$2:$A$11,0))))</f>
        <v/>
      </c>
      <c r="C9" s="78" t="inlineStr">
        <is>
          <t>Não</t>
        </is>
      </c>
      <c r="D9" s="79">
        <f>IF(LEFT($I9,1)="R",INDEX(Árvore!$C$14:$C$21,MATCH($I9,Árvore!$A$14:$A$21,0)),"")</f>
        <v/>
      </c>
      <c r="E9" s="79">
        <f>IF(LEFT($I9,1)="R",INDEX(Árvore!$D$14:$D$21,MATCH($I9,Árvore!$A$14:$A$21,0)),"")</f>
        <v/>
      </c>
      <c r="F9" s="79">
        <f>IF(LEFT($I9,1)="R",INDEX(Árvore!$E$14:$E$21,MATCH($I9,Árvore!$A$14:$A$21,0)),"")</f>
        <v/>
      </c>
      <c r="G9" s="80">
        <f>IF(LEFT($I9,1)="R",INDEX(Árvore!$F$14:$F$21,MATCH($I9,Árvore!$A$14:$A$21,0)),"")</f>
        <v/>
      </c>
      <c r="H9" s="81">
        <f>IF(LEFT($I9,1)="R",INDEX(Árvore!$G$14:$G$21,MATCH($I9,Árvore!$A$14:$A$21,0)),"")</f>
        <v/>
      </c>
      <c r="I9" s="82">
        <f>IF(OR($I8="",LEFT($I8,1)="R",C8=""),"",IF(C8="Sim",INDEX(Árvore!$C$2:$C$11,MATCH($I8,Árvore!$A$2:$A$11,0)),INDEX(Árvore!$D$2:$D$11,MATCH($I8,Árvore!$A$2:$A$11,0))))</f>
        <v/>
      </c>
    </row>
    <row r="10" ht="34" customHeight="1" s="58">
      <c r="A10" s="76">
        <f>IF($I10="","",IF(LEFT($I10,1)="R","Resolução","Pergunta "&amp;MID($I10,2,3)))</f>
        <v/>
      </c>
      <c r="B10" s="77">
        <f>IF($I10="","",IF(LEFT($I10,1)="R",INDEX(Árvore!$B$14:$B$21,MATCH($I10,Árvore!$A$14:$A$21,0)),INDEX(Árvore!$B$2:$B$11,MATCH($I10,Árvore!$A$2:$A$11,0))))</f>
        <v/>
      </c>
      <c r="C10" s="78" t="n"/>
      <c r="D10" s="79">
        <f>IF(LEFT($I10,1)="R",INDEX(Árvore!$C$14:$C$21,MATCH($I10,Árvore!$A$14:$A$21,0)),"")</f>
        <v/>
      </c>
      <c r="E10" s="79">
        <f>IF(LEFT($I10,1)="R",INDEX(Árvore!$D$14:$D$21,MATCH($I10,Árvore!$A$14:$A$21,0)),"")</f>
        <v/>
      </c>
      <c r="F10" s="79">
        <f>IF(LEFT($I10,1)="R",INDEX(Árvore!$E$14:$E$21,MATCH($I10,Árvore!$A$14:$A$21,0)),"")</f>
        <v/>
      </c>
      <c r="G10" s="80">
        <f>IF(LEFT($I10,1)="R",INDEX(Árvore!$F$14:$F$21,MATCH($I10,Árvore!$A$14:$A$21,0)),"")</f>
        <v/>
      </c>
      <c r="H10" s="81">
        <f>IF(LEFT($I10,1)="R",INDEX(Árvore!$G$14:$G$21,MATCH($I10,Árvore!$A$14:$A$21,0)),"")</f>
        <v/>
      </c>
      <c r="I10" s="82">
        <f>IF(OR($I9="",LEFT($I9,1)="R",C9=""),"",IF(C9="Sim",INDEX(Árvore!$C$2:$C$11,MATCH($I9,Árvore!$A$2:$A$11,0)),INDEX(Árvore!$D$2:$D$11,MATCH($I9,Árvore!$A$2:$A$11,0))))</f>
        <v/>
      </c>
    </row>
    <row r="11" ht="34" customHeight="1" s="58">
      <c r="A11" s="76">
        <f>IF($I11="","",IF(LEFT($I11,1)="R","Resolução","Pergunta "&amp;MID($I11,2,3)))</f>
        <v/>
      </c>
      <c r="B11" s="77">
        <f>IF($I11="","",IF(LEFT($I11,1)="R",INDEX(Árvore!$B$14:$B$21,MATCH($I11,Árvore!$A$14:$A$21,0)),INDEX(Árvore!$B$2:$B$11,MATCH($I11,Árvore!$A$2:$A$11,0))))</f>
        <v/>
      </c>
      <c r="C11" s="78" t="n"/>
      <c r="D11" s="79">
        <f>IF(LEFT($I11,1)="R",INDEX(Árvore!$C$14:$C$21,MATCH($I11,Árvore!$A$14:$A$21,0)),"")</f>
        <v/>
      </c>
      <c r="E11" s="79">
        <f>IF(LEFT($I11,1)="R",INDEX(Árvore!$D$14:$D$21,MATCH($I11,Árvore!$A$14:$A$21,0)),"")</f>
        <v/>
      </c>
      <c r="F11" s="79">
        <f>IF(LEFT($I11,1)="R",INDEX(Árvore!$E$14:$E$21,MATCH($I11,Árvore!$A$14:$A$21,0)),"")</f>
        <v/>
      </c>
      <c r="G11" s="80">
        <f>IF(LEFT($I11,1)="R",INDEX(Árvore!$F$14:$F$21,MATCH($I11,Árvore!$A$14:$A$21,0)),"")</f>
        <v/>
      </c>
      <c r="H11" s="81">
        <f>IF(LEFT($I11,1)="R",INDEX(Árvore!$G$14:$G$21,MATCH($I11,Árvore!$A$14:$A$21,0)),"")</f>
        <v/>
      </c>
      <c r="I11" s="82">
        <f>IF(OR($I10="",LEFT($I10,1)="R",C10=""),"",IF(C10="Sim",INDEX(Árvore!$C$2:$C$11,MATCH($I10,Árvore!$A$2:$A$11,0)),INDEX(Árvore!$D$2:$D$11,MATCH($I10,Árvore!$A$2:$A$11,0))))</f>
        <v/>
      </c>
    </row>
    <row r="12">
      <c r="A12" s="83" t="n"/>
      <c r="B12" s="84" t="n"/>
      <c r="C12" s="85" t="n"/>
      <c r="D12" s="85" t="n"/>
      <c r="E12" s="85" t="n"/>
      <c r="F12" s="85" t="n"/>
      <c r="G12" s="83" t="n"/>
      <c r="H12" s="86" t="n"/>
    </row>
    <row r="13">
      <c r="A13" s="87" t="inlineStr">
        <is>
          <t>&gt; Responda Sim/Não de cima para baixo. A próxima pergunta aparece sozinha. Quando chegar na Resolução, copie etiquetação, resumos e link. Para recomeçar, apague as respostas.</t>
        </is>
      </c>
      <c r="B13" s="84" t="n"/>
      <c r="C13" s="85" t="n"/>
      <c r="D13" s="85" t="n"/>
      <c r="E13" s="85" t="n"/>
      <c r="F13" s="85" t="n"/>
      <c r="G13" s="83" t="n"/>
      <c r="H13" s="86" t="n"/>
    </row>
    <row r="14">
      <c r="A14" s="83" t="n"/>
      <c r="B14" s="84" t="n"/>
      <c r="C14" s="85" t="n"/>
      <c r="D14" s="85" t="n"/>
      <c r="E14" s="85" t="n"/>
      <c r="F14" s="85" t="n"/>
      <c r="G14" s="83" t="n"/>
      <c r="H14" s="86" t="n"/>
    </row>
    <row r="15">
      <c r="A15" s="83" t="n"/>
      <c r="B15" s="84" t="n"/>
      <c r="C15" s="85" t="n"/>
      <c r="D15" s="85" t="n"/>
      <c r="E15" s="85" t="n"/>
      <c r="F15" s="85" t="n"/>
      <c r="G15" s="83" t="n"/>
      <c r="H15" s="86" t="n"/>
    </row>
    <row r="16">
      <c r="A16" s="83" t="n"/>
      <c r="B16" s="84" t="n"/>
      <c r="C16" s="85" t="n"/>
      <c r="D16" s="85" t="n"/>
      <c r="E16" s="85" t="n"/>
      <c r="F16" s="85" t="n"/>
      <c r="G16" s="83" t="n"/>
      <c r="H16" s="86" t="n"/>
    </row>
    <row r="17">
      <c r="A17" s="83" t="n"/>
      <c r="B17" s="84" t="n"/>
      <c r="C17" s="85" t="n"/>
      <c r="D17" s="85" t="n"/>
      <c r="E17" s="85" t="n"/>
      <c r="F17" s="85" t="n"/>
      <c r="G17" s="83" t="n"/>
      <c r="H17" s="86" t="n"/>
    </row>
    <row r="18">
      <c r="A18" s="83" t="n"/>
      <c r="B18" s="84" t="n"/>
      <c r="C18" s="85" t="n"/>
      <c r="D18" s="85" t="n"/>
      <c r="E18" s="85" t="n"/>
      <c r="F18" s="85" t="n"/>
      <c r="G18" s="83" t="n"/>
      <c r="H18" s="86" t="n"/>
    </row>
    <row r="19">
      <c r="A19" s="83" t="n"/>
      <c r="B19" s="84" t="n"/>
      <c r="C19" s="85" t="n"/>
      <c r="D19" s="85" t="n"/>
      <c r="E19" s="85" t="n"/>
      <c r="F19" s="85" t="n"/>
      <c r="G19" s="83" t="n"/>
      <c r="H19" s="86" t="n"/>
    </row>
    <row r="20">
      <c r="A20" s="86" t="n"/>
      <c r="B20" s="86" t="n"/>
      <c r="C20" s="86" t="n"/>
      <c r="D20" s="86" t="n"/>
      <c r="E20" s="86" t="n"/>
      <c r="F20" s="86" t="n"/>
      <c r="G20" s="86" t="n"/>
      <c r="H20" s="86" t="n"/>
    </row>
    <row r="21">
      <c r="A21" s="86" t="n"/>
      <c r="B21" s="86" t="n"/>
      <c r="C21" s="86" t="n"/>
      <c r="D21" s="86" t="n"/>
      <c r="E21" s="86" t="n"/>
      <c r="F21" s="86" t="n"/>
      <c r="G21" s="86" t="n"/>
      <c r="H21" s="86" t="n"/>
    </row>
    <row r="22">
      <c r="A22" s="86" t="n"/>
      <c r="B22" s="86" t="n"/>
      <c r="C22" s="86" t="n"/>
      <c r="D22" s="86" t="n"/>
      <c r="E22" s="86" t="n"/>
      <c r="F22" s="86" t="n"/>
      <c r="G22" s="86" t="n"/>
      <c r="H22" s="86" t="n"/>
    </row>
    <row r="23">
      <c r="A23" s="86" t="n"/>
      <c r="B23" s="86" t="n"/>
      <c r="C23" s="86" t="n"/>
      <c r="D23" s="86" t="n"/>
      <c r="E23" s="86" t="n"/>
      <c r="F23" s="86" t="n"/>
      <c r="G23" s="86" t="n"/>
      <c r="H23" s="86" t="n"/>
    </row>
    <row r="24">
      <c r="A24" s="86" t="n"/>
      <c r="B24" s="86" t="n"/>
      <c r="C24" s="86" t="n"/>
      <c r="D24" s="86" t="n"/>
      <c r="E24" s="86" t="n"/>
      <c r="F24" s="86" t="n"/>
      <c r="G24" s="86" t="n"/>
      <c r="H24" s="86" t="n"/>
    </row>
    <row r="25">
      <c r="A25" s="86" t="n"/>
      <c r="B25" s="86" t="n"/>
      <c r="C25" s="86" t="n"/>
      <c r="D25" s="86" t="n"/>
      <c r="E25" s="86" t="n"/>
      <c r="F25" s="86" t="n"/>
      <c r="G25" s="86" t="n"/>
      <c r="H25" s="86" t="n"/>
    </row>
    <row r="26">
      <c r="A26" s="86" t="n"/>
      <c r="B26" s="86" t="n"/>
      <c r="C26" s="86" t="n"/>
      <c r="D26" s="86" t="n"/>
      <c r="E26" s="86" t="n"/>
      <c r="F26" s="86" t="n"/>
      <c r="G26" s="86" t="n"/>
      <c r="H26" s="86" t="n"/>
    </row>
    <row r="27">
      <c r="A27" s="86" t="n"/>
      <c r="B27" s="86" t="n"/>
      <c r="C27" s="86" t="n"/>
      <c r="D27" s="86" t="n"/>
      <c r="E27" s="86" t="n"/>
      <c r="F27" s="86" t="n"/>
      <c r="G27" s="86" t="n"/>
      <c r="H27" s="86" t="n"/>
    </row>
    <row r="28">
      <c r="A28" s="86" t="n"/>
      <c r="B28" s="86" t="n"/>
      <c r="C28" s="86" t="n"/>
      <c r="D28" s="86" t="n"/>
      <c r="E28" s="86" t="n"/>
      <c r="F28" s="86" t="n"/>
      <c r="G28" s="86" t="n"/>
      <c r="H28" s="86" t="n"/>
    </row>
    <row r="29">
      <c r="A29" s="86" t="n"/>
      <c r="B29" s="86" t="n"/>
      <c r="C29" s="86" t="n"/>
      <c r="D29" s="86" t="n"/>
      <c r="E29" s="86" t="n"/>
      <c r="F29" s="86" t="n"/>
      <c r="G29" s="86" t="n"/>
      <c r="H29" s="86" t="n"/>
    </row>
    <row r="30">
      <c r="A30" s="86" t="n"/>
      <c r="B30" s="86" t="n"/>
      <c r="C30" s="86" t="n"/>
      <c r="D30" s="86" t="n"/>
      <c r="E30" s="86" t="n"/>
      <c r="F30" s="86" t="n"/>
      <c r="G30" s="86" t="n"/>
      <c r="H30" s="86" t="n"/>
    </row>
    <row r="31">
      <c r="A31" s="86" t="n"/>
      <c r="B31" s="86" t="n"/>
      <c r="C31" s="86" t="n"/>
      <c r="D31" s="86" t="n"/>
      <c r="E31" s="86" t="n"/>
      <c r="F31" s="86" t="n"/>
      <c r="G31" s="86" t="n"/>
      <c r="H31" s="86" t="n"/>
    </row>
    <row r="32">
      <c r="A32" s="86" t="n"/>
      <c r="B32" s="86" t="n"/>
      <c r="C32" s="86" t="n"/>
      <c r="D32" s="86" t="n"/>
      <c r="E32" s="86" t="n"/>
      <c r="F32" s="86" t="n"/>
      <c r="G32" s="86" t="n"/>
      <c r="H32" s="86" t="n"/>
    </row>
    <row r="33">
      <c r="A33" s="86" t="n"/>
      <c r="B33" s="86" t="n"/>
      <c r="C33" s="86" t="n"/>
      <c r="D33" s="86" t="n"/>
      <c r="E33" s="86" t="n"/>
      <c r="F33" s="86" t="n"/>
      <c r="G33" s="86" t="n"/>
      <c r="H33" s="86" t="n"/>
    </row>
    <row r="34">
      <c r="A34" s="86" t="n"/>
      <c r="B34" s="86" t="n"/>
      <c r="C34" s="86" t="n"/>
      <c r="D34" s="86" t="n"/>
      <c r="E34" s="86" t="n"/>
      <c r="F34" s="86" t="n"/>
      <c r="G34" s="86" t="n"/>
      <c r="H34" s="86" t="n"/>
    </row>
    <row r="35">
      <c r="A35" s="86" t="n"/>
      <c r="B35" s="86" t="n"/>
      <c r="C35" s="86" t="n"/>
      <c r="D35" s="86" t="n"/>
      <c r="E35" s="86" t="n"/>
      <c r="F35" s="86" t="n"/>
      <c r="G35" s="86" t="n"/>
      <c r="H35" s="86" t="n"/>
    </row>
    <row r="36">
      <c r="A36" s="86" t="n"/>
      <c r="B36" s="86" t="n"/>
      <c r="C36" s="86" t="n"/>
      <c r="D36" s="86" t="n"/>
      <c r="E36" s="86" t="n"/>
      <c r="F36" s="86" t="n"/>
      <c r="G36" s="86" t="n"/>
      <c r="H36" s="86" t="n"/>
    </row>
    <row r="37">
      <c r="A37" s="86" t="n"/>
      <c r="B37" s="86" t="n"/>
      <c r="C37" s="86" t="n"/>
      <c r="D37" s="86" t="n"/>
      <c r="E37" s="86" t="n"/>
      <c r="F37" s="86" t="n"/>
      <c r="G37" s="86" t="n"/>
      <c r="H37" s="86" t="n"/>
    </row>
    <row r="38">
      <c r="A38" s="86" t="n"/>
      <c r="B38" s="86" t="n"/>
      <c r="C38" s="86" t="n"/>
      <c r="D38" s="86" t="n"/>
      <c r="E38" s="86" t="n"/>
      <c r="F38" s="86" t="n"/>
      <c r="G38" s="86" t="n"/>
      <c r="H38" s="86" t="n"/>
    </row>
    <row r="39">
      <c r="A39" s="86" t="n"/>
      <c r="B39" s="86" t="n"/>
      <c r="C39" s="86" t="n"/>
      <c r="D39" s="86" t="n"/>
      <c r="E39" s="86" t="n"/>
      <c r="F39" s="86" t="n"/>
      <c r="G39" s="86" t="n"/>
      <c r="H39" s="86" t="n"/>
    </row>
  </sheetData>
  <conditionalFormatting sqref="C2">
    <cfRule type="expression" priority="1" dxfId="19">
      <formula>OR($I2="",LEFT($I2,1)="R")</formula>
    </cfRule>
  </conditionalFormatting>
  <conditionalFormatting sqref="A2:H2">
    <cfRule type="expression" priority="2" dxfId="20">
      <formula>LEFT($I2,1)="R"</formula>
    </cfRule>
  </conditionalFormatting>
  <conditionalFormatting sqref="A2">
    <cfRule type="expression" priority="3" dxfId="21">
      <formula>LEFT($I2,1)="R"</formula>
    </cfRule>
  </conditionalFormatting>
  <conditionalFormatting sqref="C3">
    <cfRule type="expression" priority="4" dxfId="19">
      <formula>OR($I3="",LEFT($I3,1)="R")</formula>
    </cfRule>
  </conditionalFormatting>
  <conditionalFormatting sqref="A3:H3">
    <cfRule type="expression" priority="5" dxfId="20">
      <formula>LEFT($I3,1)="R"</formula>
    </cfRule>
  </conditionalFormatting>
  <conditionalFormatting sqref="A3">
    <cfRule type="expression" priority="6" dxfId="21">
      <formula>LEFT($I3,1)="R"</formula>
    </cfRule>
  </conditionalFormatting>
  <conditionalFormatting sqref="C4">
    <cfRule type="expression" priority="7" dxfId="19">
      <formula>OR($I4="",LEFT($I4,1)="R")</formula>
    </cfRule>
  </conditionalFormatting>
  <conditionalFormatting sqref="A4:H4">
    <cfRule type="expression" priority="8" dxfId="20">
      <formula>LEFT($I4,1)="R"</formula>
    </cfRule>
  </conditionalFormatting>
  <conditionalFormatting sqref="A4">
    <cfRule type="expression" priority="9" dxfId="21">
      <formula>LEFT($I4,1)="R"</formula>
    </cfRule>
  </conditionalFormatting>
  <conditionalFormatting sqref="C5">
    <cfRule type="expression" priority="10" dxfId="19">
      <formula>OR($I5="",LEFT($I5,1)="R")</formula>
    </cfRule>
  </conditionalFormatting>
  <conditionalFormatting sqref="A5:H5">
    <cfRule type="expression" priority="11" dxfId="20">
      <formula>LEFT($I5,1)="R"</formula>
    </cfRule>
  </conditionalFormatting>
  <conditionalFormatting sqref="A5">
    <cfRule type="expression" priority="12" dxfId="21">
      <formula>LEFT($I5,1)="R"</formula>
    </cfRule>
  </conditionalFormatting>
  <conditionalFormatting sqref="C6">
    <cfRule type="expression" priority="13" dxfId="19">
      <formula>OR($I6="",LEFT($I6,1)="R")</formula>
    </cfRule>
  </conditionalFormatting>
  <conditionalFormatting sqref="A6:H6">
    <cfRule type="expression" priority="14" dxfId="20">
      <formula>LEFT($I6,1)="R"</formula>
    </cfRule>
  </conditionalFormatting>
  <conditionalFormatting sqref="A6">
    <cfRule type="expression" priority="15" dxfId="21">
      <formula>LEFT($I6,1)="R"</formula>
    </cfRule>
  </conditionalFormatting>
  <conditionalFormatting sqref="C7">
    <cfRule type="expression" priority="16" dxfId="19">
      <formula>OR($I7="",LEFT($I7,1)="R")</formula>
    </cfRule>
  </conditionalFormatting>
  <conditionalFormatting sqref="A7:H7">
    <cfRule type="expression" priority="17" dxfId="20">
      <formula>LEFT($I7,1)="R"</formula>
    </cfRule>
  </conditionalFormatting>
  <conditionalFormatting sqref="A7">
    <cfRule type="expression" priority="18" dxfId="21">
      <formula>LEFT($I7,1)="R"</formula>
    </cfRule>
  </conditionalFormatting>
  <conditionalFormatting sqref="C8">
    <cfRule type="expression" priority="19" dxfId="19">
      <formula>OR($I8="",LEFT($I8,1)="R")</formula>
    </cfRule>
  </conditionalFormatting>
  <conditionalFormatting sqref="A8:H8">
    <cfRule type="expression" priority="20" dxfId="20">
      <formula>LEFT($I8,1)="R"</formula>
    </cfRule>
  </conditionalFormatting>
  <conditionalFormatting sqref="A8">
    <cfRule type="expression" priority="21" dxfId="21">
      <formula>LEFT($I8,1)="R"</formula>
    </cfRule>
  </conditionalFormatting>
  <conditionalFormatting sqref="C9">
    <cfRule type="expression" priority="22" dxfId="19">
      <formula>OR($I9="",LEFT($I9,1)="R")</formula>
    </cfRule>
  </conditionalFormatting>
  <conditionalFormatting sqref="A9:H9">
    <cfRule type="expression" priority="23" dxfId="20">
      <formula>LEFT($I9,1)="R"</formula>
    </cfRule>
  </conditionalFormatting>
  <conditionalFormatting sqref="A9">
    <cfRule type="expression" priority="24" dxfId="21">
      <formula>LEFT($I9,1)="R"</formula>
    </cfRule>
  </conditionalFormatting>
  <conditionalFormatting sqref="C10">
    <cfRule type="expression" priority="25" dxfId="19">
      <formula>OR($I10="",LEFT($I10,1)="R")</formula>
    </cfRule>
  </conditionalFormatting>
  <conditionalFormatting sqref="A10:H10">
    <cfRule type="expression" priority="26" dxfId="20">
      <formula>LEFT($I10,1)="R"</formula>
    </cfRule>
  </conditionalFormatting>
  <conditionalFormatting sqref="A10">
    <cfRule type="expression" priority="27" dxfId="21">
      <formula>LEFT($I10,1)="R"</formula>
    </cfRule>
  </conditionalFormatting>
  <conditionalFormatting sqref="C11">
    <cfRule type="expression" priority="28" dxfId="19">
      <formula>OR($I11="",LEFT($I11,1)="R")</formula>
    </cfRule>
  </conditionalFormatting>
  <conditionalFormatting sqref="A11:H11">
    <cfRule type="expression" priority="29" dxfId="20">
      <formula>LEFT($I11,1)="R"</formula>
    </cfRule>
  </conditionalFormatting>
  <conditionalFormatting sqref="A11">
    <cfRule type="expression" priority="30" dxfId="21">
      <formula>LEFT($I11,1)="R"</formula>
    </cfRule>
  </conditionalFormatting>
  <dataValidations count="2">
    <dataValidation sqref="C2:C5" showDropDown="0" showInputMessage="0" showErrorMessage="1" allowBlank="1" type="list">
      <formula1>"Sim,Não"</formula1>
    </dataValidation>
    <dataValidation sqref="C2 C3 C4 C5 C6 C7 C8 C9 C10 C11" showDropDown="0" showInputMessage="0" showErrorMessage="0" allowBlank="1" type="list">
      <formula1>"Sim,Não"</formula1>
    </dataValidation>
  </dataValidations>
  <hyperlinks>
    <hyperlink xmlns:r="http://schemas.openxmlformats.org/officeDocument/2006/relationships" ref="G5" r:id="rId1"/>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G71"/>
  <sheetViews>
    <sheetView showGridLines="0" workbookViewId="0">
      <pane ySplit="2" topLeftCell="A3" activePane="bottomLeft" state="frozen"/>
      <selection pane="bottomLeft" activeCell="D1" sqref="D1"/>
      <selection pane="bottomLeft" activeCell="A3" sqref="A3"/>
      <selection pane="bottomRight" activeCell="D3" sqref="D3"/>
    </sheetView>
  </sheetViews>
  <sheetFormatPr baseColWidth="8" defaultColWidth="12.63" defaultRowHeight="15.75" customHeight="1"/>
  <cols>
    <col width="20" customWidth="1" style="58" min="1" max="1"/>
    <col width="5.2" customWidth="1" style="58" min="2" max="2"/>
    <col width="5.2" customWidth="1" style="58" min="3" max="3"/>
    <col width="5.2" customWidth="1" style="58" min="4" max="12"/>
    <col width="5.2" customWidth="1" style="58" min="5" max="5"/>
    <col width="5.2" customWidth="1" style="58" min="6" max="6"/>
    <col width="5.2" customWidth="1" style="58" min="7" max="7"/>
    <col width="5.2" customWidth="1" style="58" min="8" max="8"/>
    <col width="5.2" customWidth="1" style="58" min="9" max="9"/>
    <col width="5.2" customWidth="1" style="58" min="10" max="10"/>
    <col width="5.2" customWidth="1" style="58" min="11" max="11"/>
    <col width="5.2" customWidth="1" style="58" min="12" max="12"/>
    <col width="5.2" customWidth="1" style="58" min="13" max="13"/>
    <col width="5.2" customWidth="1" style="58" min="14" max="14"/>
    <col width="5.2" customWidth="1" style="58" min="15" max="34"/>
    <col width="5.2" customWidth="1" style="58" min="16" max="16"/>
    <col width="5.2" customWidth="1" style="58" min="17" max="17"/>
    <col width="5.2" customWidth="1" style="58" min="18" max="18"/>
    <col width="5.2" customWidth="1" style="58" min="19" max="19"/>
    <col width="5.2" customWidth="1" style="58" min="20" max="20"/>
    <col width="5.2" customWidth="1" style="58" min="21" max="21"/>
    <col width="5.2" customWidth="1" style="58" min="22" max="22"/>
    <col width="5.2" customWidth="1" style="58" min="23" max="23"/>
    <col width="5.2" customWidth="1" style="58" min="24" max="24"/>
    <col width="5.2" customWidth="1" style="58" min="25" max="25"/>
    <col width="5.2" customWidth="1" style="58" min="26" max="26"/>
    <col width="5.2" customWidth="1" style="58" min="27" max="27"/>
    <col width="5.2" customWidth="1" style="58" min="28" max="28"/>
    <col width="5.2" customWidth="1" style="58" min="29" max="29"/>
    <col width="5.2" customWidth="1" style="58" min="30" max="30"/>
    <col width="5.2" customWidth="1" style="58" min="31" max="31"/>
    <col width="5.2" customWidth="1" style="58" min="32" max="32"/>
  </cols>
  <sheetData>
    <row r="1" ht="24" customHeight="1" s="58">
      <c r="A1" s="88" t="inlineStr">
        <is>
          <t>ANÁLISE · atendimentos do mês  (lê a aba Home)</t>
        </is>
      </c>
      <c r="B1" s="89" t="n"/>
      <c r="C1" s="89" t="n"/>
      <c r="D1" s="89" t="n"/>
      <c r="E1" s="89" t="n"/>
      <c r="F1" s="89" t="n"/>
      <c r="G1" s="89" t="n"/>
      <c r="H1" s="89" t="n"/>
      <c r="I1" s="89" t="n"/>
      <c r="J1" s="89" t="n"/>
      <c r="K1" s="89" t="n"/>
      <c r="L1" s="89" t="n"/>
      <c r="M1" s="89" t="n"/>
      <c r="N1" s="89" t="n"/>
      <c r="O1" s="89" t="n"/>
      <c r="P1" s="89" t="n"/>
      <c r="Q1" s="89" t="n"/>
      <c r="R1" s="89" t="n"/>
      <c r="S1" s="89" t="n"/>
      <c r="T1" s="89" t="n"/>
      <c r="U1" s="89" t="n"/>
      <c r="V1" s="89" t="n"/>
      <c r="W1" s="89" t="n"/>
      <c r="X1" s="89" t="n"/>
      <c r="Y1" s="89" t="n"/>
      <c r="Z1" s="89" t="n"/>
      <c r="AA1" s="89" t="n"/>
      <c r="AB1" s="89" t="n"/>
      <c r="AC1" s="89" t="n"/>
      <c r="AD1" s="89" t="n"/>
      <c r="AE1" s="89" t="n"/>
      <c r="AF1" s="89" t="n"/>
    </row>
    <row r="2">
      <c r="A2" s="90" t="inlineStr">
        <is>
          <t>Mês</t>
        </is>
      </c>
      <c r="B2" s="91" t="inlineStr">
        <is>
          <t>Fevereiro</t>
        </is>
      </c>
      <c r="C2" s="90" t="inlineStr">
        <is>
          <t>Ano</t>
        </is>
      </c>
      <c r="D2" s="91" t="n">
        <v>2026</v>
      </c>
      <c r="E2" s="8" t="n"/>
      <c r="F2" s="92">
        <f>MATCH($B$2,{"Janeiro","Fevereiro","Março","Abril","Maio","Junho","Julho","Agosto","Setembro","Outubro","Novembro","Dezembro"},0)</f>
        <v/>
      </c>
      <c r="G2" s="8" t="n"/>
      <c r="H2" s="8" t="n"/>
      <c r="I2" s="8" t="n"/>
      <c r="J2" s="8" t="n"/>
      <c r="K2" s="8" t="n"/>
      <c r="L2" s="8" t="n"/>
      <c r="M2" s="8" t="n"/>
      <c r="N2" s="8" t="n"/>
      <c r="O2" s="8" t="n"/>
      <c r="P2" s="8" t="n"/>
      <c r="Q2" s="8" t="n"/>
      <c r="R2" s="8" t="n"/>
      <c r="S2" s="8" t="n"/>
      <c r="T2" s="8" t="n"/>
      <c r="U2" s="8" t="n"/>
      <c r="V2" s="8" t="n"/>
      <c r="W2" s="8" t="n"/>
      <c r="X2" s="8" t="n"/>
      <c r="Y2" s="8" t="n"/>
      <c r="Z2" s="8" t="n"/>
      <c r="AA2" s="8" t="n"/>
      <c r="AB2" s="8" t="n"/>
      <c r="AC2" s="8" t="n"/>
      <c r="AD2" s="8" t="n"/>
      <c r="AE2" s="8" t="n"/>
      <c r="AF2" s="8" t="n"/>
      <c r="AG2" s="8" t="n"/>
    </row>
    <row r="4">
      <c r="A4" s="90" t="inlineStr">
        <is>
          <t>Atendimentos</t>
        </is>
      </c>
      <c r="B4" s="89" t="n"/>
      <c r="D4" s="90" t="inlineStr">
        <is>
          <t>Encerrados</t>
        </is>
      </c>
      <c r="E4" s="89" t="n"/>
      <c r="G4" s="90" t="inlineStr">
        <is>
          <t>Aguardando resposta</t>
        </is>
      </c>
      <c r="H4" s="89" t="n"/>
      <c r="J4" s="90" t="inlineStr">
        <is>
          <t>Em aberto (outra área)</t>
        </is>
      </c>
      <c r="K4" s="89" t="n"/>
      <c r="M4" s="90" t="inlineStr">
        <is>
          <t>Com Scout</t>
        </is>
      </c>
      <c r="N4" s="89" t="n"/>
      <c r="P4" s="90" t="inlineStr">
        <is>
          <t>Com CAR</t>
        </is>
      </c>
      <c r="Q4" s="89" t="n"/>
      <c r="S4" s="90" t="inlineStr">
        <is>
          <t>Pushback</t>
        </is>
      </c>
      <c r="T4" s="89" t="n"/>
      <c r="V4" s="90" t="inlineStr">
        <is>
          <t>Elegíveis a PSAT</t>
        </is>
      </c>
      <c r="W4" s="89" t="n"/>
      <c r="Y4" s="90" t="inlineStr">
        <is>
          <t>Uber One</t>
        </is>
      </c>
      <c r="Z4" s="89" t="n"/>
      <c r="AB4" s="90" t="inlineStr">
        <is>
          <t>Média por dia</t>
        </is>
      </c>
      <c r="AC4" s="89" t="n"/>
    </row>
    <row r="5" ht="30" customHeight="1" s="58">
      <c r="A5" s="93">
        <f>COUNTIFS(Home!$D$3:$D$976,$F$2,Home!$E$3:$E$976,$D$2)</f>
        <v/>
      </c>
      <c r="B5" s="94" t="n"/>
      <c r="D5" s="93">
        <f>COUNTIFS(Home!$D$3:$D$976,$F$2,Home!$E$3:$E$976,$D$2,Home!$V$3:$V$976,"Encerrado")</f>
        <v/>
      </c>
      <c r="E5" s="94" t="n"/>
      <c r="G5" s="93">
        <f>COUNTIFS(Home!$D$3:$D$976,$F$2,Home!$E$3:$E$976,$D$2,Home!$V$3:$V$976,"Aguardando resposta")</f>
        <v/>
      </c>
      <c r="H5" s="94" t="n"/>
      <c r="J5" s="93">
        <f>COUNTIFS(Home!$D$3:$D$976,$F$2,Home!$E$3:$E$976,$D$2,Home!$V$3:$V$976,"Em Aberto")</f>
        <v/>
      </c>
      <c r="K5" s="94" t="n"/>
      <c r="M5" s="93">
        <f>COUNTIFS(Home!$D$3:$D$976,$F$2,Home!$E$3:$E$976,$D$2,Home!$Z$3:$Z$976,TRUE)</f>
        <v/>
      </c>
      <c r="N5" s="94" t="n"/>
      <c r="P5" s="93">
        <f>COUNTIFS(Home!$D$3:$D$976,$F$2,Home!$E$3:$E$976,$D$2,Home!$AA$3:$AA$976,TRUE)</f>
        <v/>
      </c>
      <c r="Q5" s="94" t="n"/>
      <c r="S5" s="93">
        <f>COUNTIFS(Home!$D$3:$D$976,$F$2,Home!$E$3:$E$976,$D$2,Home!$AB$3:$AB$976,TRUE)</f>
        <v/>
      </c>
      <c r="T5" s="94" t="n"/>
      <c r="V5" s="93">
        <f>COUNTIFS(Home!$D$3:$D$976,$F$2,Home!$E$3:$E$976,$D$2,Home!$AC$3:$AC$976,TRUE)</f>
        <v/>
      </c>
      <c r="W5" s="94" t="n"/>
      <c r="Y5" s="93">
        <f>COUNTIFS(Home!$D$3:$D$976,$F$2,Home!$E$3:$E$976,$D$2,Home!$L$3:$L$976,TRUE)</f>
        <v/>
      </c>
      <c r="Z5" s="94" t="n"/>
      <c r="AB5" s="93">
        <f>IFERROR(ROUND($A$5/COUNTIFS(Home!$D$3:$D$976,$F$2,Home!$E$3:$E$976,$D$2,Home!$A$3:$A$976,"&gt;0"),1),0)</f>
        <v/>
      </c>
      <c r="AC5" s="94" t="n"/>
    </row>
    <row r="7" ht="24" customHeight="1" s="58">
      <c r="A7" s="88" t="inlineStr">
        <is>
          <t>POR DIA · atendimentos e status</t>
        </is>
      </c>
      <c r="B7" s="89" t="n"/>
      <c r="C7" s="89" t="n"/>
      <c r="D7" s="89" t="n"/>
      <c r="E7" s="89" t="n"/>
      <c r="F7" s="89" t="n"/>
      <c r="G7" s="89" t="n"/>
      <c r="H7" s="89" t="n"/>
      <c r="I7" s="89" t="n"/>
      <c r="J7" s="89" t="n"/>
      <c r="K7" s="89" t="n"/>
      <c r="L7" s="89" t="n"/>
      <c r="M7" s="89" t="n"/>
      <c r="N7" s="89" t="n"/>
      <c r="O7" s="89" t="n"/>
      <c r="P7" s="89" t="n"/>
      <c r="Q7" s="89" t="n"/>
      <c r="R7" s="89" t="n"/>
      <c r="S7" s="89" t="n"/>
      <c r="T7" s="89" t="n"/>
      <c r="U7" s="89" t="n"/>
      <c r="V7" s="89" t="n"/>
      <c r="W7" s="89" t="n"/>
      <c r="X7" s="89" t="n"/>
      <c r="Y7" s="89" t="n"/>
      <c r="Z7" s="89" t="n"/>
      <c r="AA7" s="89" t="n"/>
      <c r="AB7" s="89" t="n"/>
      <c r="AC7" s="89" t="n"/>
      <c r="AD7" s="89" t="n"/>
      <c r="AE7" s="89" t="n"/>
      <c r="AF7" s="89" t="n"/>
    </row>
    <row r="8">
      <c r="A8" s="90" t="inlineStr">
        <is>
          <t>Dia</t>
        </is>
      </c>
      <c r="B8" s="95" t="n">
        <v>1</v>
      </c>
      <c r="C8" s="95" t="n">
        <v>2</v>
      </c>
      <c r="D8" s="95" t="n">
        <v>3</v>
      </c>
      <c r="E8" s="95" t="n">
        <v>4</v>
      </c>
      <c r="F8" s="95" t="n">
        <v>5</v>
      </c>
      <c r="G8" s="95" t="n">
        <v>6</v>
      </c>
      <c r="H8" s="95" t="n">
        <v>7</v>
      </c>
      <c r="I8" s="95" t="n">
        <v>8</v>
      </c>
      <c r="J8" s="95" t="n">
        <v>9</v>
      </c>
      <c r="K8" s="95" t="n">
        <v>10</v>
      </c>
      <c r="L8" s="95" t="n">
        <v>11</v>
      </c>
      <c r="M8" s="95" t="n">
        <v>12</v>
      </c>
      <c r="N8" s="95" t="n">
        <v>13</v>
      </c>
      <c r="O8" s="95" t="n">
        <v>14</v>
      </c>
      <c r="P8" s="95" t="n">
        <v>15</v>
      </c>
      <c r="Q8" s="95" t="n">
        <v>16</v>
      </c>
      <c r="R8" s="95" t="n">
        <v>17</v>
      </c>
      <c r="S8" s="95" t="n">
        <v>18</v>
      </c>
      <c r="T8" s="95" t="n">
        <v>19</v>
      </c>
      <c r="U8" s="95" t="n">
        <v>20</v>
      </c>
      <c r="V8" s="95" t="n">
        <v>21</v>
      </c>
      <c r="W8" s="95" t="n">
        <v>22</v>
      </c>
      <c r="X8" s="95" t="n">
        <v>23</v>
      </c>
      <c r="Y8" s="95" t="n">
        <v>24</v>
      </c>
      <c r="Z8" s="95" t="n">
        <v>25</v>
      </c>
      <c r="AA8" s="95" t="n">
        <v>26</v>
      </c>
      <c r="AB8" s="95" t="n">
        <v>27</v>
      </c>
      <c r="AC8" s="95" t="n">
        <v>28</v>
      </c>
      <c r="AD8" s="95" t="n">
        <v>29</v>
      </c>
      <c r="AE8" s="95" t="n">
        <v>30</v>
      </c>
      <c r="AF8" s="95" t="n">
        <v>31</v>
      </c>
    </row>
    <row r="9">
      <c r="A9" s="90" t="inlineStr">
        <is>
          <t>Atendimentos</t>
        </is>
      </c>
      <c r="B9" s="96">
        <f>IF(DAY(DATE($D$2,$F$2+1,0))&lt;1,"",COUNTIFS(Home!$D$3:$D$976,$F$2,Home!$E$3:$E$976,$D$2,Home!$C$3:$C$976,1))</f>
        <v/>
      </c>
      <c r="C9" s="96">
        <f>IF(DAY(DATE($D$2,$F$2+1,0))&lt;2,"",COUNTIFS(Home!$D$3:$D$976,$F$2,Home!$E$3:$E$976,$D$2,Home!$C$3:$C$976,2))</f>
        <v/>
      </c>
      <c r="D9" s="96">
        <f>IF(DAY(DATE($D$2,$F$2+1,0))&lt;3,"",COUNTIFS(Home!$D$3:$D$976,$F$2,Home!$E$3:$E$976,$D$2,Home!$C$3:$C$976,3))</f>
        <v/>
      </c>
      <c r="E9" s="96">
        <f>IF(DAY(DATE($D$2,$F$2+1,0))&lt;4,"",COUNTIFS(Home!$D$3:$D$976,$F$2,Home!$E$3:$E$976,$D$2,Home!$C$3:$C$976,4))</f>
        <v/>
      </c>
      <c r="F9" s="96">
        <f>IF(DAY(DATE($D$2,$F$2+1,0))&lt;5,"",COUNTIFS(Home!$D$3:$D$976,$F$2,Home!$E$3:$E$976,$D$2,Home!$C$3:$C$976,5))</f>
        <v/>
      </c>
      <c r="G9" s="96">
        <f>IF(DAY(DATE($D$2,$F$2+1,0))&lt;6,"",COUNTIFS(Home!$D$3:$D$976,$F$2,Home!$E$3:$E$976,$D$2,Home!$C$3:$C$976,6))</f>
        <v/>
      </c>
      <c r="H9" s="96">
        <f>IF(DAY(DATE($D$2,$F$2+1,0))&lt;7,"",COUNTIFS(Home!$D$3:$D$976,$F$2,Home!$E$3:$E$976,$D$2,Home!$C$3:$C$976,7))</f>
        <v/>
      </c>
      <c r="I9" s="96">
        <f>IF(DAY(DATE($D$2,$F$2+1,0))&lt;8,"",COUNTIFS(Home!$D$3:$D$976,$F$2,Home!$E$3:$E$976,$D$2,Home!$C$3:$C$976,8))</f>
        <v/>
      </c>
      <c r="J9" s="96">
        <f>IF(DAY(DATE($D$2,$F$2+1,0))&lt;9,"",COUNTIFS(Home!$D$3:$D$976,$F$2,Home!$E$3:$E$976,$D$2,Home!$C$3:$C$976,9))</f>
        <v/>
      </c>
      <c r="K9" s="96">
        <f>IF(DAY(DATE($D$2,$F$2+1,0))&lt;10,"",COUNTIFS(Home!$D$3:$D$976,$F$2,Home!$E$3:$E$976,$D$2,Home!$C$3:$C$976,10))</f>
        <v/>
      </c>
      <c r="L9" s="96">
        <f>IF(DAY(DATE($D$2,$F$2+1,0))&lt;11,"",COUNTIFS(Home!$D$3:$D$976,$F$2,Home!$E$3:$E$976,$D$2,Home!$C$3:$C$976,11))</f>
        <v/>
      </c>
      <c r="M9" s="96">
        <f>IF(DAY(DATE($D$2,$F$2+1,0))&lt;12,"",COUNTIFS(Home!$D$3:$D$976,$F$2,Home!$E$3:$E$976,$D$2,Home!$C$3:$C$976,12))</f>
        <v/>
      </c>
      <c r="N9" s="96">
        <f>IF(DAY(DATE($D$2,$F$2+1,0))&lt;13,"",COUNTIFS(Home!$D$3:$D$976,$F$2,Home!$E$3:$E$976,$D$2,Home!$C$3:$C$976,13))</f>
        <v/>
      </c>
      <c r="O9" s="96">
        <f>IF(DAY(DATE($D$2,$F$2+1,0))&lt;14,"",COUNTIFS(Home!$D$3:$D$976,$F$2,Home!$E$3:$E$976,$D$2,Home!$C$3:$C$976,14))</f>
        <v/>
      </c>
      <c r="P9" s="96">
        <f>IF(DAY(DATE($D$2,$F$2+1,0))&lt;15,"",COUNTIFS(Home!$D$3:$D$976,$F$2,Home!$E$3:$E$976,$D$2,Home!$C$3:$C$976,15))</f>
        <v/>
      </c>
      <c r="Q9" s="96">
        <f>IF(DAY(DATE($D$2,$F$2+1,0))&lt;16,"",COUNTIFS(Home!$D$3:$D$976,$F$2,Home!$E$3:$E$976,$D$2,Home!$C$3:$C$976,16))</f>
        <v/>
      </c>
      <c r="R9" s="96">
        <f>IF(DAY(DATE($D$2,$F$2+1,0))&lt;17,"",COUNTIFS(Home!$D$3:$D$976,$F$2,Home!$E$3:$E$976,$D$2,Home!$C$3:$C$976,17))</f>
        <v/>
      </c>
      <c r="S9" s="96">
        <f>IF(DAY(DATE($D$2,$F$2+1,0))&lt;18,"",COUNTIFS(Home!$D$3:$D$976,$F$2,Home!$E$3:$E$976,$D$2,Home!$C$3:$C$976,18))</f>
        <v/>
      </c>
      <c r="T9" s="96">
        <f>IF(DAY(DATE($D$2,$F$2+1,0))&lt;19,"",COUNTIFS(Home!$D$3:$D$976,$F$2,Home!$E$3:$E$976,$D$2,Home!$C$3:$C$976,19))</f>
        <v/>
      </c>
      <c r="U9" s="96">
        <f>IF(DAY(DATE($D$2,$F$2+1,0))&lt;20,"",COUNTIFS(Home!$D$3:$D$976,$F$2,Home!$E$3:$E$976,$D$2,Home!$C$3:$C$976,20))</f>
        <v/>
      </c>
      <c r="V9" s="96">
        <f>IF(DAY(DATE($D$2,$F$2+1,0))&lt;21,"",COUNTIFS(Home!$D$3:$D$976,$F$2,Home!$E$3:$E$976,$D$2,Home!$C$3:$C$976,21))</f>
        <v/>
      </c>
      <c r="W9" s="96">
        <f>IF(DAY(DATE($D$2,$F$2+1,0))&lt;22,"",COUNTIFS(Home!$D$3:$D$976,$F$2,Home!$E$3:$E$976,$D$2,Home!$C$3:$C$976,22))</f>
        <v/>
      </c>
      <c r="X9" s="96">
        <f>IF(DAY(DATE($D$2,$F$2+1,0))&lt;23,"",COUNTIFS(Home!$D$3:$D$976,$F$2,Home!$E$3:$E$976,$D$2,Home!$C$3:$C$976,23))</f>
        <v/>
      </c>
      <c r="Y9" s="96">
        <f>IF(DAY(DATE($D$2,$F$2+1,0))&lt;24,"",COUNTIFS(Home!$D$3:$D$976,$F$2,Home!$E$3:$E$976,$D$2,Home!$C$3:$C$976,24))</f>
        <v/>
      </c>
      <c r="Z9" s="96">
        <f>IF(DAY(DATE($D$2,$F$2+1,0))&lt;25,"",COUNTIFS(Home!$D$3:$D$976,$F$2,Home!$E$3:$E$976,$D$2,Home!$C$3:$C$976,25))</f>
        <v/>
      </c>
      <c r="AA9" s="96">
        <f>IF(DAY(DATE($D$2,$F$2+1,0))&lt;26,"",COUNTIFS(Home!$D$3:$D$976,$F$2,Home!$E$3:$E$976,$D$2,Home!$C$3:$C$976,26))</f>
        <v/>
      </c>
      <c r="AB9" s="96">
        <f>IF(DAY(DATE($D$2,$F$2+1,0))&lt;27,"",COUNTIFS(Home!$D$3:$D$976,$F$2,Home!$E$3:$E$976,$D$2,Home!$C$3:$C$976,27))</f>
        <v/>
      </c>
      <c r="AC9" s="96">
        <f>IF(DAY(DATE($D$2,$F$2+1,0))&lt;28,"",COUNTIFS(Home!$D$3:$D$976,$F$2,Home!$E$3:$E$976,$D$2,Home!$C$3:$C$976,28))</f>
        <v/>
      </c>
      <c r="AD9" s="96">
        <f>IF(DAY(DATE($D$2,$F$2+1,0))&lt;29,"",COUNTIFS(Home!$D$3:$D$976,$F$2,Home!$E$3:$E$976,$D$2,Home!$C$3:$C$976,29))</f>
        <v/>
      </c>
      <c r="AE9" s="96">
        <f>IF(DAY(DATE($D$2,$F$2+1,0))&lt;30,"",COUNTIFS(Home!$D$3:$D$976,$F$2,Home!$E$3:$E$976,$D$2,Home!$C$3:$C$976,30))</f>
        <v/>
      </c>
      <c r="AF9" s="96">
        <f>IF(DAY(DATE($D$2,$F$2+1,0))&lt;31,"",COUNTIFS(Home!$D$3:$D$976,$F$2,Home!$E$3:$E$976,$D$2,Home!$C$3:$C$976,31))</f>
        <v/>
      </c>
    </row>
    <row r="10">
      <c r="A10" s="90" t="inlineStr">
        <is>
          <t>Encerrados</t>
        </is>
      </c>
      <c r="B10" s="96">
        <f>IF(DAY(DATE($D$2,$F$2+1,0))&lt;1,"",COUNTIFS(Home!$D$3:$D$976,$F$2,Home!$E$3:$E$976,$D$2,Home!$C$3:$C$976,1,Home!$V$3:$V$976,"Encerrado"))</f>
        <v/>
      </c>
      <c r="C10" s="96">
        <f>IF(DAY(DATE($D$2,$F$2+1,0))&lt;2,"",COUNTIFS(Home!$D$3:$D$976,$F$2,Home!$E$3:$E$976,$D$2,Home!$C$3:$C$976,2,Home!$V$3:$V$976,"Encerrado"))</f>
        <v/>
      </c>
      <c r="D10" s="96">
        <f>IF(DAY(DATE($D$2,$F$2+1,0))&lt;3,"",COUNTIFS(Home!$D$3:$D$976,$F$2,Home!$E$3:$E$976,$D$2,Home!$C$3:$C$976,3,Home!$V$3:$V$976,"Encerrado"))</f>
        <v/>
      </c>
      <c r="E10" s="96">
        <f>IF(DAY(DATE($D$2,$F$2+1,0))&lt;4,"",COUNTIFS(Home!$D$3:$D$976,$F$2,Home!$E$3:$E$976,$D$2,Home!$C$3:$C$976,4,Home!$V$3:$V$976,"Encerrado"))</f>
        <v/>
      </c>
      <c r="F10" s="96">
        <f>IF(DAY(DATE($D$2,$F$2+1,0))&lt;5,"",COUNTIFS(Home!$D$3:$D$976,$F$2,Home!$E$3:$E$976,$D$2,Home!$C$3:$C$976,5,Home!$V$3:$V$976,"Encerrado"))</f>
        <v/>
      </c>
      <c r="G10" s="96">
        <f>IF(DAY(DATE($D$2,$F$2+1,0))&lt;6,"",COUNTIFS(Home!$D$3:$D$976,$F$2,Home!$E$3:$E$976,$D$2,Home!$C$3:$C$976,6,Home!$V$3:$V$976,"Encerrado"))</f>
        <v/>
      </c>
      <c r="H10" s="96">
        <f>IF(DAY(DATE($D$2,$F$2+1,0))&lt;7,"",COUNTIFS(Home!$D$3:$D$976,$F$2,Home!$E$3:$E$976,$D$2,Home!$C$3:$C$976,7,Home!$V$3:$V$976,"Encerrado"))</f>
        <v/>
      </c>
      <c r="I10" s="96">
        <f>IF(DAY(DATE($D$2,$F$2+1,0))&lt;8,"",COUNTIFS(Home!$D$3:$D$976,$F$2,Home!$E$3:$E$976,$D$2,Home!$C$3:$C$976,8,Home!$V$3:$V$976,"Encerrado"))</f>
        <v/>
      </c>
      <c r="J10" s="96">
        <f>IF(DAY(DATE($D$2,$F$2+1,0))&lt;9,"",COUNTIFS(Home!$D$3:$D$976,$F$2,Home!$E$3:$E$976,$D$2,Home!$C$3:$C$976,9,Home!$V$3:$V$976,"Encerrado"))</f>
        <v/>
      </c>
      <c r="K10" s="96">
        <f>IF(DAY(DATE($D$2,$F$2+1,0))&lt;10,"",COUNTIFS(Home!$D$3:$D$976,$F$2,Home!$E$3:$E$976,$D$2,Home!$C$3:$C$976,10,Home!$V$3:$V$976,"Encerrado"))</f>
        <v/>
      </c>
      <c r="L10" s="96">
        <f>IF(DAY(DATE($D$2,$F$2+1,0))&lt;11,"",COUNTIFS(Home!$D$3:$D$976,$F$2,Home!$E$3:$E$976,$D$2,Home!$C$3:$C$976,11,Home!$V$3:$V$976,"Encerrado"))</f>
        <v/>
      </c>
      <c r="M10" s="96">
        <f>IF(DAY(DATE($D$2,$F$2+1,0))&lt;12,"",COUNTIFS(Home!$D$3:$D$976,$F$2,Home!$E$3:$E$976,$D$2,Home!$C$3:$C$976,12,Home!$V$3:$V$976,"Encerrado"))</f>
        <v/>
      </c>
      <c r="N10" s="96">
        <f>IF(DAY(DATE($D$2,$F$2+1,0))&lt;13,"",COUNTIFS(Home!$D$3:$D$976,$F$2,Home!$E$3:$E$976,$D$2,Home!$C$3:$C$976,13,Home!$V$3:$V$976,"Encerrado"))</f>
        <v/>
      </c>
      <c r="O10" s="96">
        <f>IF(DAY(DATE($D$2,$F$2+1,0))&lt;14,"",COUNTIFS(Home!$D$3:$D$976,$F$2,Home!$E$3:$E$976,$D$2,Home!$C$3:$C$976,14,Home!$V$3:$V$976,"Encerrado"))</f>
        <v/>
      </c>
      <c r="P10" s="96">
        <f>IF(DAY(DATE($D$2,$F$2+1,0))&lt;15,"",COUNTIFS(Home!$D$3:$D$976,$F$2,Home!$E$3:$E$976,$D$2,Home!$C$3:$C$976,15,Home!$V$3:$V$976,"Encerrado"))</f>
        <v/>
      </c>
      <c r="Q10" s="96">
        <f>IF(DAY(DATE($D$2,$F$2+1,0))&lt;16,"",COUNTIFS(Home!$D$3:$D$976,$F$2,Home!$E$3:$E$976,$D$2,Home!$C$3:$C$976,16,Home!$V$3:$V$976,"Encerrado"))</f>
        <v/>
      </c>
      <c r="R10" s="96">
        <f>IF(DAY(DATE($D$2,$F$2+1,0))&lt;17,"",COUNTIFS(Home!$D$3:$D$976,$F$2,Home!$E$3:$E$976,$D$2,Home!$C$3:$C$976,17,Home!$V$3:$V$976,"Encerrado"))</f>
        <v/>
      </c>
      <c r="S10" s="96">
        <f>IF(DAY(DATE($D$2,$F$2+1,0))&lt;18,"",COUNTIFS(Home!$D$3:$D$976,$F$2,Home!$E$3:$E$976,$D$2,Home!$C$3:$C$976,18,Home!$V$3:$V$976,"Encerrado"))</f>
        <v/>
      </c>
      <c r="T10" s="96">
        <f>IF(DAY(DATE($D$2,$F$2+1,0))&lt;19,"",COUNTIFS(Home!$D$3:$D$976,$F$2,Home!$E$3:$E$976,$D$2,Home!$C$3:$C$976,19,Home!$V$3:$V$976,"Encerrado"))</f>
        <v/>
      </c>
      <c r="U10" s="96">
        <f>IF(DAY(DATE($D$2,$F$2+1,0))&lt;20,"",COUNTIFS(Home!$D$3:$D$976,$F$2,Home!$E$3:$E$976,$D$2,Home!$C$3:$C$976,20,Home!$V$3:$V$976,"Encerrado"))</f>
        <v/>
      </c>
      <c r="V10" s="96">
        <f>IF(DAY(DATE($D$2,$F$2+1,0))&lt;21,"",COUNTIFS(Home!$D$3:$D$976,$F$2,Home!$E$3:$E$976,$D$2,Home!$C$3:$C$976,21,Home!$V$3:$V$976,"Encerrado"))</f>
        <v/>
      </c>
      <c r="W10" s="96">
        <f>IF(DAY(DATE($D$2,$F$2+1,0))&lt;22,"",COUNTIFS(Home!$D$3:$D$976,$F$2,Home!$E$3:$E$976,$D$2,Home!$C$3:$C$976,22,Home!$V$3:$V$976,"Encerrado"))</f>
        <v/>
      </c>
      <c r="X10" s="96">
        <f>IF(DAY(DATE($D$2,$F$2+1,0))&lt;23,"",COUNTIFS(Home!$D$3:$D$976,$F$2,Home!$E$3:$E$976,$D$2,Home!$C$3:$C$976,23,Home!$V$3:$V$976,"Encerrado"))</f>
        <v/>
      </c>
      <c r="Y10" s="96">
        <f>IF(DAY(DATE($D$2,$F$2+1,0))&lt;24,"",COUNTIFS(Home!$D$3:$D$976,$F$2,Home!$E$3:$E$976,$D$2,Home!$C$3:$C$976,24,Home!$V$3:$V$976,"Encerrado"))</f>
        <v/>
      </c>
      <c r="Z10" s="96">
        <f>IF(DAY(DATE($D$2,$F$2+1,0))&lt;25,"",COUNTIFS(Home!$D$3:$D$976,$F$2,Home!$E$3:$E$976,$D$2,Home!$C$3:$C$976,25,Home!$V$3:$V$976,"Encerrado"))</f>
        <v/>
      </c>
      <c r="AA10" s="96">
        <f>IF(DAY(DATE($D$2,$F$2+1,0))&lt;26,"",COUNTIFS(Home!$D$3:$D$976,$F$2,Home!$E$3:$E$976,$D$2,Home!$C$3:$C$976,26,Home!$V$3:$V$976,"Encerrado"))</f>
        <v/>
      </c>
      <c r="AB10" s="96">
        <f>IF(DAY(DATE($D$2,$F$2+1,0))&lt;27,"",COUNTIFS(Home!$D$3:$D$976,$F$2,Home!$E$3:$E$976,$D$2,Home!$C$3:$C$976,27,Home!$V$3:$V$976,"Encerrado"))</f>
        <v/>
      </c>
      <c r="AC10" s="96">
        <f>IF(DAY(DATE($D$2,$F$2+1,0))&lt;28,"",COUNTIFS(Home!$D$3:$D$976,$F$2,Home!$E$3:$E$976,$D$2,Home!$C$3:$C$976,28,Home!$V$3:$V$976,"Encerrado"))</f>
        <v/>
      </c>
      <c r="AD10" s="96">
        <f>IF(DAY(DATE($D$2,$F$2+1,0))&lt;29,"",COUNTIFS(Home!$D$3:$D$976,$F$2,Home!$E$3:$E$976,$D$2,Home!$C$3:$C$976,29,Home!$V$3:$V$976,"Encerrado"))</f>
        <v/>
      </c>
      <c r="AE10" s="96">
        <f>IF(DAY(DATE($D$2,$F$2+1,0))&lt;30,"",COUNTIFS(Home!$D$3:$D$976,$F$2,Home!$E$3:$E$976,$D$2,Home!$C$3:$C$976,30,Home!$V$3:$V$976,"Encerrado"))</f>
        <v/>
      </c>
      <c r="AF10" s="96">
        <f>IF(DAY(DATE($D$2,$F$2+1,0))&lt;31,"",COUNTIFS(Home!$D$3:$D$976,$F$2,Home!$E$3:$E$976,$D$2,Home!$C$3:$C$976,31,Home!$V$3:$V$976,"Encerrado"))</f>
        <v/>
      </c>
    </row>
    <row r="11">
      <c r="A11" s="90" t="inlineStr">
        <is>
          <t>Aguardando</t>
        </is>
      </c>
      <c r="B11" s="96">
        <f>IF(DAY(DATE($D$2,$F$2+1,0))&lt;1,"",COUNTIFS(Home!$D$3:$D$976,$F$2,Home!$E$3:$E$976,$D$2,Home!$C$3:$C$976,1,Home!$V$3:$V$976,"Aguardando resposta"))</f>
        <v/>
      </c>
      <c r="C11" s="96">
        <f>IF(DAY(DATE($D$2,$F$2+1,0))&lt;2,"",COUNTIFS(Home!$D$3:$D$976,$F$2,Home!$E$3:$E$976,$D$2,Home!$C$3:$C$976,2,Home!$V$3:$V$976,"Aguardando resposta"))</f>
        <v/>
      </c>
      <c r="D11" s="96">
        <f>IF(DAY(DATE($D$2,$F$2+1,0))&lt;3,"",COUNTIFS(Home!$D$3:$D$976,$F$2,Home!$E$3:$E$976,$D$2,Home!$C$3:$C$976,3,Home!$V$3:$V$976,"Aguardando resposta"))</f>
        <v/>
      </c>
      <c r="E11" s="96">
        <f>IF(DAY(DATE($D$2,$F$2+1,0))&lt;4,"",COUNTIFS(Home!$D$3:$D$976,$F$2,Home!$E$3:$E$976,$D$2,Home!$C$3:$C$976,4,Home!$V$3:$V$976,"Aguardando resposta"))</f>
        <v/>
      </c>
      <c r="F11" s="96">
        <f>IF(DAY(DATE($D$2,$F$2+1,0))&lt;5,"",COUNTIFS(Home!$D$3:$D$976,$F$2,Home!$E$3:$E$976,$D$2,Home!$C$3:$C$976,5,Home!$V$3:$V$976,"Aguardando resposta"))</f>
        <v/>
      </c>
      <c r="G11" s="96">
        <f>IF(DAY(DATE($D$2,$F$2+1,0))&lt;6,"",COUNTIFS(Home!$D$3:$D$976,$F$2,Home!$E$3:$E$976,$D$2,Home!$C$3:$C$976,6,Home!$V$3:$V$976,"Aguardando resposta"))</f>
        <v/>
      </c>
      <c r="H11" s="96">
        <f>IF(DAY(DATE($D$2,$F$2+1,0))&lt;7,"",COUNTIFS(Home!$D$3:$D$976,$F$2,Home!$E$3:$E$976,$D$2,Home!$C$3:$C$976,7,Home!$V$3:$V$976,"Aguardando resposta"))</f>
        <v/>
      </c>
      <c r="I11" s="96">
        <f>IF(DAY(DATE($D$2,$F$2+1,0))&lt;8,"",COUNTIFS(Home!$D$3:$D$976,$F$2,Home!$E$3:$E$976,$D$2,Home!$C$3:$C$976,8,Home!$V$3:$V$976,"Aguardando resposta"))</f>
        <v/>
      </c>
      <c r="J11" s="96">
        <f>IF(DAY(DATE($D$2,$F$2+1,0))&lt;9,"",COUNTIFS(Home!$D$3:$D$976,$F$2,Home!$E$3:$E$976,$D$2,Home!$C$3:$C$976,9,Home!$V$3:$V$976,"Aguardando resposta"))</f>
        <v/>
      </c>
      <c r="K11" s="96">
        <f>IF(DAY(DATE($D$2,$F$2+1,0))&lt;10,"",COUNTIFS(Home!$D$3:$D$976,$F$2,Home!$E$3:$E$976,$D$2,Home!$C$3:$C$976,10,Home!$V$3:$V$976,"Aguardando resposta"))</f>
        <v/>
      </c>
      <c r="L11" s="96">
        <f>IF(DAY(DATE($D$2,$F$2+1,0))&lt;11,"",COUNTIFS(Home!$D$3:$D$976,$F$2,Home!$E$3:$E$976,$D$2,Home!$C$3:$C$976,11,Home!$V$3:$V$976,"Aguardando resposta"))</f>
        <v/>
      </c>
      <c r="M11" s="96">
        <f>IF(DAY(DATE($D$2,$F$2+1,0))&lt;12,"",COUNTIFS(Home!$D$3:$D$976,$F$2,Home!$E$3:$E$976,$D$2,Home!$C$3:$C$976,12,Home!$V$3:$V$976,"Aguardando resposta"))</f>
        <v/>
      </c>
      <c r="N11" s="96">
        <f>IF(DAY(DATE($D$2,$F$2+1,0))&lt;13,"",COUNTIFS(Home!$D$3:$D$976,$F$2,Home!$E$3:$E$976,$D$2,Home!$C$3:$C$976,13,Home!$V$3:$V$976,"Aguardando resposta"))</f>
        <v/>
      </c>
      <c r="O11" s="96">
        <f>IF(DAY(DATE($D$2,$F$2+1,0))&lt;14,"",COUNTIFS(Home!$D$3:$D$976,$F$2,Home!$E$3:$E$976,$D$2,Home!$C$3:$C$976,14,Home!$V$3:$V$976,"Aguardando resposta"))</f>
        <v/>
      </c>
      <c r="P11" s="96">
        <f>IF(DAY(DATE($D$2,$F$2+1,0))&lt;15,"",COUNTIFS(Home!$D$3:$D$976,$F$2,Home!$E$3:$E$976,$D$2,Home!$C$3:$C$976,15,Home!$V$3:$V$976,"Aguardando resposta"))</f>
        <v/>
      </c>
      <c r="Q11" s="96">
        <f>IF(DAY(DATE($D$2,$F$2+1,0))&lt;16,"",COUNTIFS(Home!$D$3:$D$976,$F$2,Home!$E$3:$E$976,$D$2,Home!$C$3:$C$976,16,Home!$V$3:$V$976,"Aguardando resposta"))</f>
        <v/>
      </c>
      <c r="R11" s="96">
        <f>IF(DAY(DATE($D$2,$F$2+1,0))&lt;17,"",COUNTIFS(Home!$D$3:$D$976,$F$2,Home!$E$3:$E$976,$D$2,Home!$C$3:$C$976,17,Home!$V$3:$V$976,"Aguardando resposta"))</f>
        <v/>
      </c>
      <c r="S11" s="96">
        <f>IF(DAY(DATE($D$2,$F$2+1,0))&lt;18,"",COUNTIFS(Home!$D$3:$D$976,$F$2,Home!$E$3:$E$976,$D$2,Home!$C$3:$C$976,18,Home!$V$3:$V$976,"Aguardando resposta"))</f>
        <v/>
      </c>
      <c r="T11" s="96">
        <f>IF(DAY(DATE($D$2,$F$2+1,0))&lt;19,"",COUNTIFS(Home!$D$3:$D$976,$F$2,Home!$E$3:$E$976,$D$2,Home!$C$3:$C$976,19,Home!$V$3:$V$976,"Aguardando resposta"))</f>
        <v/>
      </c>
      <c r="U11" s="96">
        <f>IF(DAY(DATE($D$2,$F$2+1,0))&lt;20,"",COUNTIFS(Home!$D$3:$D$976,$F$2,Home!$E$3:$E$976,$D$2,Home!$C$3:$C$976,20,Home!$V$3:$V$976,"Aguardando resposta"))</f>
        <v/>
      </c>
      <c r="V11" s="96">
        <f>IF(DAY(DATE($D$2,$F$2+1,0))&lt;21,"",COUNTIFS(Home!$D$3:$D$976,$F$2,Home!$E$3:$E$976,$D$2,Home!$C$3:$C$976,21,Home!$V$3:$V$976,"Aguardando resposta"))</f>
        <v/>
      </c>
      <c r="W11" s="96">
        <f>IF(DAY(DATE($D$2,$F$2+1,0))&lt;22,"",COUNTIFS(Home!$D$3:$D$976,$F$2,Home!$E$3:$E$976,$D$2,Home!$C$3:$C$976,22,Home!$V$3:$V$976,"Aguardando resposta"))</f>
        <v/>
      </c>
      <c r="X11" s="96">
        <f>IF(DAY(DATE($D$2,$F$2+1,0))&lt;23,"",COUNTIFS(Home!$D$3:$D$976,$F$2,Home!$E$3:$E$976,$D$2,Home!$C$3:$C$976,23,Home!$V$3:$V$976,"Aguardando resposta"))</f>
        <v/>
      </c>
      <c r="Y11" s="96">
        <f>IF(DAY(DATE($D$2,$F$2+1,0))&lt;24,"",COUNTIFS(Home!$D$3:$D$976,$F$2,Home!$E$3:$E$976,$D$2,Home!$C$3:$C$976,24,Home!$V$3:$V$976,"Aguardando resposta"))</f>
        <v/>
      </c>
      <c r="Z11" s="96">
        <f>IF(DAY(DATE($D$2,$F$2+1,0))&lt;25,"",COUNTIFS(Home!$D$3:$D$976,$F$2,Home!$E$3:$E$976,$D$2,Home!$C$3:$C$976,25,Home!$V$3:$V$976,"Aguardando resposta"))</f>
        <v/>
      </c>
      <c r="AA11" s="96">
        <f>IF(DAY(DATE($D$2,$F$2+1,0))&lt;26,"",COUNTIFS(Home!$D$3:$D$976,$F$2,Home!$E$3:$E$976,$D$2,Home!$C$3:$C$976,26,Home!$V$3:$V$976,"Aguardando resposta"))</f>
        <v/>
      </c>
      <c r="AB11" s="96">
        <f>IF(DAY(DATE($D$2,$F$2+1,0))&lt;27,"",COUNTIFS(Home!$D$3:$D$976,$F$2,Home!$E$3:$E$976,$D$2,Home!$C$3:$C$976,27,Home!$V$3:$V$976,"Aguardando resposta"))</f>
        <v/>
      </c>
      <c r="AC11" s="96">
        <f>IF(DAY(DATE($D$2,$F$2+1,0))&lt;28,"",COUNTIFS(Home!$D$3:$D$976,$F$2,Home!$E$3:$E$976,$D$2,Home!$C$3:$C$976,28,Home!$V$3:$V$976,"Aguardando resposta"))</f>
        <v/>
      </c>
      <c r="AD11" s="96">
        <f>IF(DAY(DATE($D$2,$F$2+1,0))&lt;29,"",COUNTIFS(Home!$D$3:$D$976,$F$2,Home!$E$3:$E$976,$D$2,Home!$C$3:$C$976,29,Home!$V$3:$V$976,"Aguardando resposta"))</f>
        <v/>
      </c>
      <c r="AE11" s="96">
        <f>IF(DAY(DATE($D$2,$F$2+1,0))&lt;30,"",COUNTIFS(Home!$D$3:$D$976,$F$2,Home!$E$3:$E$976,$D$2,Home!$C$3:$C$976,30,Home!$V$3:$V$976,"Aguardando resposta"))</f>
        <v/>
      </c>
      <c r="AF11" s="96">
        <f>IF(DAY(DATE($D$2,$F$2+1,0))&lt;31,"",COUNTIFS(Home!$D$3:$D$976,$F$2,Home!$E$3:$E$976,$D$2,Home!$C$3:$C$976,31,Home!$V$3:$V$976,"Aguardando resposta"))</f>
        <v/>
      </c>
    </row>
    <row r="12">
      <c r="A12" s="90" t="inlineStr">
        <is>
          <t>Em aberto</t>
        </is>
      </c>
      <c r="B12" s="96">
        <f>IF(DAY(DATE($D$2,$F$2+1,0))&lt;1,"",COUNTIFS(Home!$D$3:$D$976,$F$2,Home!$E$3:$E$976,$D$2,Home!$C$3:$C$976,1,Home!$V$3:$V$976,"Em Aberto"))</f>
        <v/>
      </c>
      <c r="C12" s="96">
        <f>IF(DAY(DATE($D$2,$F$2+1,0))&lt;2,"",COUNTIFS(Home!$D$3:$D$976,$F$2,Home!$E$3:$E$976,$D$2,Home!$C$3:$C$976,2,Home!$V$3:$V$976,"Em Aberto"))</f>
        <v/>
      </c>
      <c r="D12" s="96">
        <f>IF(DAY(DATE($D$2,$F$2+1,0))&lt;3,"",COUNTIFS(Home!$D$3:$D$976,$F$2,Home!$E$3:$E$976,$D$2,Home!$C$3:$C$976,3,Home!$V$3:$V$976,"Em Aberto"))</f>
        <v/>
      </c>
      <c r="E12" s="96">
        <f>IF(DAY(DATE($D$2,$F$2+1,0))&lt;4,"",COUNTIFS(Home!$D$3:$D$976,$F$2,Home!$E$3:$E$976,$D$2,Home!$C$3:$C$976,4,Home!$V$3:$V$976,"Em Aberto"))</f>
        <v/>
      </c>
      <c r="F12" s="96">
        <f>IF(DAY(DATE($D$2,$F$2+1,0))&lt;5,"",COUNTIFS(Home!$D$3:$D$976,$F$2,Home!$E$3:$E$976,$D$2,Home!$C$3:$C$976,5,Home!$V$3:$V$976,"Em Aberto"))</f>
        <v/>
      </c>
      <c r="G12" s="96">
        <f>IF(DAY(DATE($D$2,$F$2+1,0))&lt;6,"",COUNTIFS(Home!$D$3:$D$976,$F$2,Home!$E$3:$E$976,$D$2,Home!$C$3:$C$976,6,Home!$V$3:$V$976,"Em Aberto"))</f>
        <v/>
      </c>
      <c r="H12" s="96">
        <f>IF(DAY(DATE($D$2,$F$2+1,0))&lt;7,"",COUNTIFS(Home!$D$3:$D$976,$F$2,Home!$E$3:$E$976,$D$2,Home!$C$3:$C$976,7,Home!$V$3:$V$976,"Em Aberto"))</f>
        <v/>
      </c>
      <c r="I12" s="96">
        <f>IF(DAY(DATE($D$2,$F$2+1,0))&lt;8,"",COUNTIFS(Home!$D$3:$D$976,$F$2,Home!$E$3:$E$976,$D$2,Home!$C$3:$C$976,8,Home!$V$3:$V$976,"Em Aberto"))</f>
        <v/>
      </c>
      <c r="J12" s="96">
        <f>IF(DAY(DATE($D$2,$F$2+1,0))&lt;9,"",COUNTIFS(Home!$D$3:$D$976,$F$2,Home!$E$3:$E$976,$D$2,Home!$C$3:$C$976,9,Home!$V$3:$V$976,"Em Aberto"))</f>
        <v/>
      </c>
      <c r="K12" s="96">
        <f>IF(DAY(DATE($D$2,$F$2+1,0))&lt;10,"",COUNTIFS(Home!$D$3:$D$976,$F$2,Home!$E$3:$E$976,$D$2,Home!$C$3:$C$976,10,Home!$V$3:$V$976,"Em Aberto"))</f>
        <v/>
      </c>
      <c r="L12" s="96">
        <f>IF(DAY(DATE($D$2,$F$2+1,0))&lt;11,"",COUNTIFS(Home!$D$3:$D$976,$F$2,Home!$E$3:$E$976,$D$2,Home!$C$3:$C$976,11,Home!$V$3:$V$976,"Em Aberto"))</f>
        <v/>
      </c>
      <c r="M12" s="96">
        <f>IF(DAY(DATE($D$2,$F$2+1,0))&lt;12,"",COUNTIFS(Home!$D$3:$D$976,$F$2,Home!$E$3:$E$976,$D$2,Home!$C$3:$C$976,12,Home!$V$3:$V$976,"Em Aberto"))</f>
        <v/>
      </c>
      <c r="N12" s="96">
        <f>IF(DAY(DATE($D$2,$F$2+1,0))&lt;13,"",COUNTIFS(Home!$D$3:$D$976,$F$2,Home!$E$3:$E$976,$D$2,Home!$C$3:$C$976,13,Home!$V$3:$V$976,"Em Aberto"))</f>
        <v/>
      </c>
      <c r="O12" s="96">
        <f>IF(DAY(DATE($D$2,$F$2+1,0))&lt;14,"",COUNTIFS(Home!$D$3:$D$976,$F$2,Home!$E$3:$E$976,$D$2,Home!$C$3:$C$976,14,Home!$V$3:$V$976,"Em Aberto"))</f>
        <v/>
      </c>
      <c r="P12" s="96">
        <f>IF(DAY(DATE($D$2,$F$2+1,0))&lt;15,"",COUNTIFS(Home!$D$3:$D$976,$F$2,Home!$E$3:$E$976,$D$2,Home!$C$3:$C$976,15,Home!$V$3:$V$976,"Em Aberto"))</f>
        <v/>
      </c>
      <c r="Q12" s="96">
        <f>IF(DAY(DATE($D$2,$F$2+1,0))&lt;16,"",COUNTIFS(Home!$D$3:$D$976,$F$2,Home!$E$3:$E$976,$D$2,Home!$C$3:$C$976,16,Home!$V$3:$V$976,"Em Aberto"))</f>
        <v/>
      </c>
      <c r="R12" s="96">
        <f>IF(DAY(DATE($D$2,$F$2+1,0))&lt;17,"",COUNTIFS(Home!$D$3:$D$976,$F$2,Home!$E$3:$E$976,$D$2,Home!$C$3:$C$976,17,Home!$V$3:$V$976,"Em Aberto"))</f>
        <v/>
      </c>
      <c r="S12" s="96">
        <f>IF(DAY(DATE($D$2,$F$2+1,0))&lt;18,"",COUNTIFS(Home!$D$3:$D$976,$F$2,Home!$E$3:$E$976,$D$2,Home!$C$3:$C$976,18,Home!$V$3:$V$976,"Em Aberto"))</f>
        <v/>
      </c>
      <c r="T12" s="96">
        <f>IF(DAY(DATE($D$2,$F$2+1,0))&lt;19,"",COUNTIFS(Home!$D$3:$D$976,$F$2,Home!$E$3:$E$976,$D$2,Home!$C$3:$C$976,19,Home!$V$3:$V$976,"Em Aberto"))</f>
        <v/>
      </c>
      <c r="U12" s="96">
        <f>IF(DAY(DATE($D$2,$F$2+1,0))&lt;20,"",COUNTIFS(Home!$D$3:$D$976,$F$2,Home!$E$3:$E$976,$D$2,Home!$C$3:$C$976,20,Home!$V$3:$V$976,"Em Aberto"))</f>
        <v/>
      </c>
      <c r="V12" s="96">
        <f>IF(DAY(DATE($D$2,$F$2+1,0))&lt;21,"",COUNTIFS(Home!$D$3:$D$976,$F$2,Home!$E$3:$E$976,$D$2,Home!$C$3:$C$976,21,Home!$V$3:$V$976,"Em Aberto"))</f>
        <v/>
      </c>
      <c r="W12" s="96">
        <f>IF(DAY(DATE($D$2,$F$2+1,0))&lt;22,"",COUNTIFS(Home!$D$3:$D$976,$F$2,Home!$E$3:$E$976,$D$2,Home!$C$3:$C$976,22,Home!$V$3:$V$976,"Em Aberto"))</f>
        <v/>
      </c>
      <c r="X12" s="96">
        <f>IF(DAY(DATE($D$2,$F$2+1,0))&lt;23,"",COUNTIFS(Home!$D$3:$D$976,$F$2,Home!$E$3:$E$976,$D$2,Home!$C$3:$C$976,23,Home!$V$3:$V$976,"Em Aberto"))</f>
        <v/>
      </c>
      <c r="Y12" s="96">
        <f>IF(DAY(DATE($D$2,$F$2+1,0))&lt;24,"",COUNTIFS(Home!$D$3:$D$976,$F$2,Home!$E$3:$E$976,$D$2,Home!$C$3:$C$976,24,Home!$V$3:$V$976,"Em Aberto"))</f>
        <v/>
      </c>
      <c r="Z12" s="96">
        <f>IF(DAY(DATE($D$2,$F$2+1,0))&lt;25,"",COUNTIFS(Home!$D$3:$D$976,$F$2,Home!$E$3:$E$976,$D$2,Home!$C$3:$C$976,25,Home!$V$3:$V$976,"Em Aberto"))</f>
        <v/>
      </c>
      <c r="AA12" s="96">
        <f>IF(DAY(DATE($D$2,$F$2+1,0))&lt;26,"",COUNTIFS(Home!$D$3:$D$976,$F$2,Home!$E$3:$E$976,$D$2,Home!$C$3:$C$976,26,Home!$V$3:$V$976,"Em Aberto"))</f>
        <v/>
      </c>
      <c r="AB12" s="96">
        <f>IF(DAY(DATE($D$2,$F$2+1,0))&lt;27,"",COUNTIFS(Home!$D$3:$D$976,$F$2,Home!$E$3:$E$976,$D$2,Home!$C$3:$C$976,27,Home!$V$3:$V$976,"Em Aberto"))</f>
        <v/>
      </c>
      <c r="AC12" s="96">
        <f>IF(DAY(DATE($D$2,$F$2+1,0))&lt;28,"",COUNTIFS(Home!$D$3:$D$976,$F$2,Home!$E$3:$E$976,$D$2,Home!$C$3:$C$976,28,Home!$V$3:$V$976,"Em Aberto"))</f>
        <v/>
      </c>
      <c r="AD12" s="96">
        <f>IF(DAY(DATE($D$2,$F$2+1,0))&lt;29,"",COUNTIFS(Home!$D$3:$D$976,$F$2,Home!$E$3:$E$976,$D$2,Home!$C$3:$C$976,29,Home!$V$3:$V$976,"Em Aberto"))</f>
        <v/>
      </c>
      <c r="AE12" s="96">
        <f>IF(DAY(DATE($D$2,$F$2+1,0))&lt;30,"",COUNTIFS(Home!$D$3:$D$976,$F$2,Home!$E$3:$E$976,$D$2,Home!$C$3:$C$976,30,Home!$V$3:$V$976,"Em Aberto"))</f>
        <v/>
      </c>
      <c r="AF12" s="96">
        <f>IF(DAY(DATE($D$2,$F$2+1,0))&lt;31,"",COUNTIFS(Home!$D$3:$D$976,$F$2,Home!$E$3:$E$976,$D$2,Home!$C$3:$C$976,31,Home!$V$3:$V$976,"Em Aberto"))</f>
        <v/>
      </c>
    </row>
    <row r="13">
      <c r="A13" s="90" t="inlineStr">
        <is>
          <t>Pushback</t>
        </is>
      </c>
      <c r="B13" s="96">
        <f>IF(DAY(DATE($D$2,$F$2+1,0))&lt;1,"",COUNTIFS(Home!$D$3:$D$976,$F$2,Home!$E$3:$E$976,$D$2,Home!$C$3:$C$976,1,Home!$AB$3:$AB$976,TRUE))</f>
        <v/>
      </c>
      <c r="C13" s="96">
        <f>IF(DAY(DATE($D$2,$F$2+1,0))&lt;2,"",COUNTIFS(Home!$D$3:$D$976,$F$2,Home!$E$3:$E$976,$D$2,Home!$C$3:$C$976,2,Home!$AB$3:$AB$976,TRUE))</f>
        <v/>
      </c>
      <c r="D13" s="96">
        <f>IF(DAY(DATE($D$2,$F$2+1,0))&lt;3,"",COUNTIFS(Home!$D$3:$D$976,$F$2,Home!$E$3:$E$976,$D$2,Home!$C$3:$C$976,3,Home!$AB$3:$AB$976,TRUE))</f>
        <v/>
      </c>
      <c r="E13" s="96">
        <f>IF(DAY(DATE($D$2,$F$2+1,0))&lt;4,"",COUNTIFS(Home!$D$3:$D$976,$F$2,Home!$E$3:$E$976,$D$2,Home!$C$3:$C$976,4,Home!$AB$3:$AB$976,TRUE))</f>
        <v/>
      </c>
      <c r="F13" s="96">
        <f>IF(DAY(DATE($D$2,$F$2+1,0))&lt;5,"",COUNTIFS(Home!$D$3:$D$976,$F$2,Home!$E$3:$E$976,$D$2,Home!$C$3:$C$976,5,Home!$AB$3:$AB$976,TRUE))</f>
        <v/>
      </c>
      <c r="G13" s="96">
        <f>IF(DAY(DATE($D$2,$F$2+1,0))&lt;6,"",COUNTIFS(Home!$D$3:$D$976,$F$2,Home!$E$3:$E$976,$D$2,Home!$C$3:$C$976,6,Home!$AB$3:$AB$976,TRUE))</f>
        <v/>
      </c>
      <c r="H13" s="96">
        <f>IF(DAY(DATE($D$2,$F$2+1,0))&lt;7,"",COUNTIFS(Home!$D$3:$D$976,$F$2,Home!$E$3:$E$976,$D$2,Home!$C$3:$C$976,7,Home!$AB$3:$AB$976,TRUE))</f>
        <v/>
      </c>
      <c r="I13" s="96">
        <f>IF(DAY(DATE($D$2,$F$2+1,0))&lt;8,"",COUNTIFS(Home!$D$3:$D$976,$F$2,Home!$E$3:$E$976,$D$2,Home!$C$3:$C$976,8,Home!$AB$3:$AB$976,TRUE))</f>
        <v/>
      </c>
      <c r="J13" s="96">
        <f>IF(DAY(DATE($D$2,$F$2+1,0))&lt;9,"",COUNTIFS(Home!$D$3:$D$976,$F$2,Home!$E$3:$E$976,$D$2,Home!$C$3:$C$976,9,Home!$AB$3:$AB$976,TRUE))</f>
        <v/>
      </c>
      <c r="K13" s="96">
        <f>IF(DAY(DATE($D$2,$F$2+1,0))&lt;10,"",COUNTIFS(Home!$D$3:$D$976,$F$2,Home!$E$3:$E$976,$D$2,Home!$C$3:$C$976,10,Home!$AB$3:$AB$976,TRUE))</f>
        <v/>
      </c>
      <c r="L13" s="96">
        <f>IF(DAY(DATE($D$2,$F$2+1,0))&lt;11,"",COUNTIFS(Home!$D$3:$D$976,$F$2,Home!$E$3:$E$976,$D$2,Home!$C$3:$C$976,11,Home!$AB$3:$AB$976,TRUE))</f>
        <v/>
      </c>
      <c r="M13" s="96">
        <f>IF(DAY(DATE($D$2,$F$2+1,0))&lt;12,"",COUNTIFS(Home!$D$3:$D$976,$F$2,Home!$E$3:$E$976,$D$2,Home!$C$3:$C$976,12,Home!$AB$3:$AB$976,TRUE))</f>
        <v/>
      </c>
      <c r="N13" s="96">
        <f>IF(DAY(DATE($D$2,$F$2+1,0))&lt;13,"",COUNTIFS(Home!$D$3:$D$976,$F$2,Home!$E$3:$E$976,$D$2,Home!$C$3:$C$976,13,Home!$AB$3:$AB$976,TRUE))</f>
        <v/>
      </c>
      <c r="O13" s="96">
        <f>IF(DAY(DATE($D$2,$F$2+1,0))&lt;14,"",COUNTIFS(Home!$D$3:$D$976,$F$2,Home!$E$3:$E$976,$D$2,Home!$C$3:$C$976,14,Home!$AB$3:$AB$976,TRUE))</f>
        <v/>
      </c>
      <c r="P13" s="96">
        <f>IF(DAY(DATE($D$2,$F$2+1,0))&lt;15,"",COUNTIFS(Home!$D$3:$D$976,$F$2,Home!$E$3:$E$976,$D$2,Home!$C$3:$C$976,15,Home!$AB$3:$AB$976,TRUE))</f>
        <v/>
      </c>
      <c r="Q13" s="96">
        <f>IF(DAY(DATE($D$2,$F$2+1,0))&lt;16,"",COUNTIFS(Home!$D$3:$D$976,$F$2,Home!$E$3:$E$976,$D$2,Home!$C$3:$C$976,16,Home!$AB$3:$AB$976,TRUE))</f>
        <v/>
      </c>
      <c r="R13" s="96">
        <f>IF(DAY(DATE($D$2,$F$2+1,0))&lt;17,"",COUNTIFS(Home!$D$3:$D$976,$F$2,Home!$E$3:$E$976,$D$2,Home!$C$3:$C$976,17,Home!$AB$3:$AB$976,TRUE))</f>
        <v/>
      </c>
      <c r="S13" s="96">
        <f>IF(DAY(DATE($D$2,$F$2+1,0))&lt;18,"",COUNTIFS(Home!$D$3:$D$976,$F$2,Home!$E$3:$E$976,$D$2,Home!$C$3:$C$976,18,Home!$AB$3:$AB$976,TRUE))</f>
        <v/>
      </c>
      <c r="T13" s="96">
        <f>IF(DAY(DATE($D$2,$F$2+1,0))&lt;19,"",COUNTIFS(Home!$D$3:$D$976,$F$2,Home!$E$3:$E$976,$D$2,Home!$C$3:$C$976,19,Home!$AB$3:$AB$976,TRUE))</f>
        <v/>
      </c>
      <c r="U13" s="96">
        <f>IF(DAY(DATE($D$2,$F$2+1,0))&lt;20,"",COUNTIFS(Home!$D$3:$D$976,$F$2,Home!$E$3:$E$976,$D$2,Home!$C$3:$C$976,20,Home!$AB$3:$AB$976,TRUE))</f>
        <v/>
      </c>
      <c r="V13" s="96">
        <f>IF(DAY(DATE($D$2,$F$2+1,0))&lt;21,"",COUNTIFS(Home!$D$3:$D$976,$F$2,Home!$E$3:$E$976,$D$2,Home!$C$3:$C$976,21,Home!$AB$3:$AB$976,TRUE))</f>
        <v/>
      </c>
      <c r="W13" s="96">
        <f>IF(DAY(DATE($D$2,$F$2+1,0))&lt;22,"",COUNTIFS(Home!$D$3:$D$976,$F$2,Home!$E$3:$E$976,$D$2,Home!$C$3:$C$976,22,Home!$AB$3:$AB$976,TRUE))</f>
        <v/>
      </c>
      <c r="X13" s="96">
        <f>IF(DAY(DATE($D$2,$F$2+1,0))&lt;23,"",COUNTIFS(Home!$D$3:$D$976,$F$2,Home!$E$3:$E$976,$D$2,Home!$C$3:$C$976,23,Home!$AB$3:$AB$976,TRUE))</f>
        <v/>
      </c>
      <c r="Y13" s="96">
        <f>IF(DAY(DATE($D$2,$F$2+1,0))&lt;24,"",COUNTIFS(Home!$D$3:$D$976,$F$2,Home!$E$3:$E$976,$D$2,Home!$C$3:$C$976,24,Home!$AB$3:$AB$976,TRUE))</f>
        <v/>
      </c>
      <c r="Z13" s="96">
        <f>IF(DAY(DATE($D$2,$F$2+1,0))&lt;25,"",COUNTIFS(Home!$D$3:$D$976,$F$2,Home!$E$3:$E$976,$D$2,Home!$C$3:$C$976,25,Home!$AB$3:$AB$976,TRUE))</f>
        <v/>
      </c>
      <c r="AA13" s="96">
        <f>IF(DAY(DATE($D$2,$F$2+1,0))&lt;26,"",COUNTIFS(Home!$D$3:$D$976,$F$2,Home!$E$3:$E$976,$D$2,Home!$C$3:$C$976,26,Home!$AB$3:$AB$976,TRUE))</f>
        <v/>
      </c>
      <c r="AB13" s="96">
        <f>IF(DAY(DATE($D$2,$F$2+1,0))&lt;27,"",COUNTIFS(Home!$D$3:$D$976,$F$2,Home!$E$3:$E$976,$D$2,Home!$C$3:$C$976,27,Home!$AB$3:$AB$976,TRUE))</f>
        <v/>
      </c>
      <c r="AC13" s="96">
        <f>IF(DAY(DATE($D$2,$F$2+1,0))&lt;28,"",COUNTIFS(Home!$D$3:$D$976,$F$2,Home!$E$3:$E$976,$D$2,Home!$C$3:$C$976,28,Home!$AB$3:$AB$976,TRUE))</f>
        <v/>
      </c>
      <c r="AD13" s="96">
        <f>IF(DAY(DATE($D$2,$F$2+1,0))&lt;29,"",COUNTIFS(Home!$D$3:$D$976,$F$2,Home!$E$3:$E$976,$D$2,Home!$C$3:$C$976,29,Home!$AB$3:$AB$976,TRUE))</f>
        <v/>
      </c>
      <c r="AE13" s="96">
        <f>IF(DAY(DATE($D$2,$F$2+1,0))&lt;30,"",COUNTIFS(Home!$D$3:$D$976,$F$2,Home!$E$3:$E$976,$D$2,Home!$C$3:$C$976,30,Home!$AB$3:$AB$976,TRUE))</f>
        <v/>
      </c>
      <c r="AF13" s="96">
        <f>IF(DAY(DATE($D$2,$F$2+1,0))&lt;31,"",COUNTIFS(Home!$D$3:$D$976,$F$2,Home!$E$3:$E$976,$D$2,Home!$C$3:$C$976,31,Home!$AB$3:$AB$976,TRUE))</f>
        <v/>
      </c>
    </row>
    <row r="14">
      <c r="A14" s="90" t="inlineStr">
        <is>
          <t>Scout</t>
        </is>
      </c>
      <c r="B14" s="96">
        <f>IF(DAY(DATE($D$2,$F$2+1,0))&lt;1,"",COUNTIFS(Home!$D$3:$D$976,$F$2,Home!$E$3:$E$976,$D$2,Home!$C$3:$C$976,1,Home!$Z$3:$Z$976,TRUE))</f>
        <v/>
      </c>
      <c r="C14" s="96">
        <f>IF(DAY(DATE($D$2,$F$2+1,0))&lt;2,"",COUNTIFS(Home!$D$3:$D$976,$F$2,Home!$E$3:$E$976,$D$2,Home!$C$3:$C$976,2,Home!$Z$3:$Z$976,TRUE))</f>
        <v/>
      </c>
      <c r="D14" s="96">
        <f>IF(DAY(DATE($D$2,$F$2+1,0))&lt;3,"",COUNTIFS(Home!$D$3:$D$976,$F$2,Home!$E$3:$E$976,$D$2,Home!$C$3:$C$976,3,Home!$Z$3:$Z$976,TRUE))</f>
        <v/>
      </c>
      <c r="E14" s="96">
        <f>IF(DAY(DATE($D$2,$F$2+1,0))&lt;4,"",COUNTIFS(Home!$D$3:$D$976,$F$2,Home!$E$3:$E$976,$D$2,Home!$C$3:$C$976,4,Home!$Z$3:$Z$976,TRUE))</f>
        <v/>
      </c>
      <c r="F14" s="96">
        <f>IF(DAY(DATE($D$2,$F$2+1,0))&lt;5,"",COUNTIFS(Home!$D$3:$D$976,$F$2,Home!$E$3:$E$976,$D$2,Home!$C$3:$C$976,5,Home!$Z$3:$Z$976,TRUE))</f>
        <v/>
      </c>
      <c r="G14" s="96">
        <f>IF(DAY(DATE($D$2,$F$2+1,0))&lt;6,"",COUNTIFS(Home!$D$3:$D$976,$F$2,Home!$E$3:$E$976,$D$2,Home!$C$3:$C$976,6,Home!$Z$3:$Z$976,TRUE))</f>
        <v/>
      </c>
      <c r="H14" s="96">
        <f>IF(DAY(DATE($D$2,$F$2+1,0))&lt;7,"",COUNTIFS(Home!$D$3:$D$976,$F$2,Home!$E$3:$E$976,$D$2,Home!$C$3:$C$976,7,Home!$Z$3:$Z$976,TRUE))</f>
        <v/>
      </c>
      <c r="I14" s="96">
        <f>IF(DAY(DATE($D$2,$F$2+1,0))&lt;8,"",COUNTIFS(Home!$D$3:$D$976,$F$2,Home!$E$3:$E$976,$D$2,Home!$C$3:$C$976,8,Home!$Z$3:$Z$976,TRUE))</f>
        <v/>
      </c>
      <c r="J14" s="96">
        <f>IF(DAY(DATE($D$2,$F$2+1,0))&lt;9,"",COUNTIFS(Home!$D$3:$D$976,$F$2,Home!$E$3:$E$976,$D$2,Home!$C$3:$C$976,9,Home!$Z$3:$Z$976,TRUE))</f>
        <v/>
      </c>
      <c r="K14" s="96">
        <f>IF(DAY(DATE($D$2,$F$2+1,0))&lt;10,"",COUNTIFS(Home!$D$3:$D$976,$F$2,Home!$E$3:$E$976,$D$2,Home!$C$3:$C$976,10,Home!$Z$3:$Z$976,TRUE))</f>
        <v/>
      </c>
      <c r="L14" s="96">
        <f>IF(DAY(DATE($D$2,$F$2+1,0))&lt;11,"",COUNTIFS(Home!$D$3:$D$976,$F$2,Home!$E$3:$E$976,$D$2,Home!$C$3:$C$976,11,Home!$Z$3:$Z$976,TRUE))</f>
        <v/>
      </c>
      <c r="M14" s="96">
        <f>IF(DAY(DATE($D$2,$F$2+1,0))&lt;12,"",COUNTIFS(Home!$D$3:$D$976,$F$2,Home!$E$3:$E$976,$D$2,Home!$C$3:$C$976,12,Home!$Z$3:$Z$976,TRUE))</f>
        <v/>
      </c>
      <c r="N14" s="96">
        <f>IF(DAY(DATE($D$2,$F$2+1,0))&lt;13,"",COUNTIFS(Home!$D$3:$D$976,$F$2,Home!$E$3:$E$976,$D$2,Home!$C$3:$C$976,13,Home!$Z$3:$Z$976,TRUE))</f>
        <v/>
      </c>
      <c r="O14" s="96">
        <f>IF(DAY(DATE($D$2,$F$2+1,0))&lt;14,"",COUNTIFS(Home!$D$3:$D$976,$F$2,Home!$E$3:$E$976,$D$2,Home!$C$3:$C$976,14,Home!$Z$3:$Z$976,TRUE))</f>
        <v/>
      </c>
      <c r="P14" s="96">
        <f>IF(DAY(DATE($D$2,$F$2+1,0))&lt;15,"",COUNTIFS(Home!$D$3:$D$976,$F$2,Home!$E$3:$E$976,$D$2,Home!$C$3:$C$976,15,Home!$Z$3:$Z$976,TRUE))</f>
        <v/>
      </c>
      <c r="Q14" s="96">
        <f>IF(DAY(DATE($D$2,$F$2+1,0))&lt;16,"",COUNTIFS(Home!$D$3:$D$976,$F$2,Home!$E$3:$E$976,$D$2,Home!$C$3:$C$976,16,Home!$Z$3:$Z$976,TRUE))</f>
        <v/>
      </c>
      <c r="R14" s="96">
        <f>IF(DAY(DATE($D$2,$F$2+1,0))&lt;17,"",COUNTIFS(Home!$D$3:$D$976,$F$2,Home!$E$3:$E$976,$D$2,Home!$C$3:$C$976,17,Home!$Z$3:$Z$976,TRUE))</f>
        <v/>
      </c>
      <c r="S14" s="96">
        <f>IF(DAY(DATE($D$2,$F$2+1,0))&lt;18,"",COUNTIFS(Home!$D$3:$D$976,$F$2,Home!$E$3:$E$976,$D$2,Home!$C$3:$C$976,18,Home!$Z$3:$Z$976,TRUE))</f>
        <v/>
      </c>
      <c r="T14" s="96">
        <f>IF(DAY(DATE($D$2,$F$2+1,0))&lt;19,"",COUNTIFS(Home!$D$3:$D$976,$F$2,Home!$E$3:$E$976,$D$2,Home!$C$3:$C$976,19,Home!$Z$3:$Z$976,TRUE))</f>
        <v/>
      </c>
      <c r="U14" s="96">
        <f>IF(DAY(DATE($D$2,$F$2+1,0))&lt;20,"",COUNTIFS(Home!$D$3:$D$976,$F$2,Home!$E$3:$E$976,$D$2,Home!$C$3:$C$976,20,Home!$Z$3:$Z$976,TRUE))</f>
        <v/>
      </c>
      <c r="V14" s="96">
        <f>IF(DAY(DATE($D$2,$F$2+1,0))&lt;21,"",COUNTIFS(Home!$D$3:$D$976,$F$2,Home!$E$3:$E$976,$D$2,Home!$C$3:$C$976,21,Home!$Z$3:$Z$976,TRUE))</f>
        <v/>
      </c>
      <c r="W14" s="96">
        <f>IF(DAY(DATE($D$2,$F$2+1,0))&lt;22,"",COUNTIFS(Home!$D$3:$D$976,$F$2,Home!$E$3:$E$976,$D$2,Home!$C$3:$C$976,22,Home!$Z$3:$Z$976,TRUE))</f>
        <v/>
      </c>
      <c r="X14" s="96">
        <f>IF(DAY(DATE($D$2,$F$2+1,0))&lt;23,"",COUNTIFS(Home!$D$3:$D$976,$F$2,Home!$E$3:$E$976,$D$2,Home!$C$3:$C$976,23,Home!$Z$3:$Z$976,TRUE))</f>
        <v/>
      </c>
      <c r="Y14" s="96">
        <f>IF(DAY(DATE($D$2,$F$2+1,0))&lt;24,"",COUNTIFS(Home!$D$3:$D$976,$F$2,Home!$E$3:$E$976,$D$2,Home!$C$3:$C$976,24,Home!$Z$3:$Z$976,TRUE))</f>
        <v/>
      </c>
      <c r="Z14" s="96">
        <f>IF(DAY(DATE($D$2,$F$2+1,0))&lt;25,"",COUNTIFS(Home!$D$3:$D$976,$F$2,Home!$E$3:$E$976,$D$2,Home!$C$3:$C$976,25,Home!$Z$3:$Z$976,TRUE))</f>
        <v/>
      </c>
      <c r="AA14" s="96">
        <f>IF(DAY(DATE($D$2,$F$2+1,0))&lt;26,"",COUNTIFS(Home!$D$3:$D$976,$F$2,Home!$E$3:$E$976,$D$2,Home!$C$3:$C$976,26,Home!$Z$3:$Z$976,TRUE))</f>
        <v/>
      </c>
      <c r="AB14" s="96">
        <f>IF(DAY(DATE($D$2,$F$2+1,0))&lt;27,"",COUNTIFS(Home!$D$3:$D$976,$F$2,Home!$E$3:$E$976,$D$2,Home!$C$3:$C$976,27,Home!$Z$3:$Z$976,TRUE))</f>
        <v/>
      </c>
      <c r="AC14" s="96">
        <f>IF(DAY(DATE($D$2,$F$2+1,0))&lt;28,"",COUNTIFS(Home!$D$3:$D$976,$F$2,Home!$E$3:$E$976,$D$2,Home!$C$3:$C$976,28,Home!$Z$3:$Z$976,TRUE))</f>
        <v/>
      </c>
      <c r="AD14" s="96">
        <f>IF(DAY(DATE($D$2,$F$2+1,0))&lt;29,"",COUNTIFS(Home!$D$3:$D$976,$F$2,Home!$E$3:$E$976,$D$2,Home!$C$3:$C$976,29,Home!$Z$3:$Z$976,TRUE))</f>
        <v/>
      </c>
      <c r="AE14" s="96">
        <f>IF(DAY(DATE($D$2,$F$2+1,0))&lt;30,"",COUNTIFS(Home!$D$3:$D$976,$F$2,Home!$E$3:$E$976,$D$2,Home!$C$3:$C$976,30,Home!$Z$3:$Z$976,TRUE))</f>
        <v/>
      </c>
      <c r="AF14" s="96">
        <f>IF(DAY(DATE($D$2,$F$2+1,0))&lt;31,"",COUNTIFS(Home!$D$3:$D$976,$F$2,Home!$E$3:$E$976,$D$2,Home!$C$3:$C$976,31,Home!$Z$3:$Z$976,TRUE))</f>
        <v/>
      </c>
    </row>
    <row r="16" ht="24" customHeight="1" s="58">
      <c r="A16" s="88" t="inlineStr">
        <is>
          <t>MAPA DE CALOR · hora do dia × dia do mês</t>
        </is>
      </c>
      <c r="B16" s="89" t="n"/>
      <c r="C16" s="89" t="n"/>
      <c r="D16" s="89" t="n"/>
      <c r="E16" s="89" t="n"/>
      <c r="F16" s="89" t="n"/>
      <c r="G16" s="89" t="n"/>
      <c r="H16" s="89" t="n"/>
      <c r="I16" s="89" t="n"/>
      <c r="J16" s="89" t="n"/>
      <c r="K16" s="89" t="n"/>
      <c r="L16" s="89" t="n"/>
      <c r="M16" s="89" t="n"/>
      <c r="N16" s="89" t="n"/>
      <c r="O16" s="89" t="n"/>
      <c r="P16" s="89" t="n"/>
      <c r="Q16" s="89" t="n"/>
      <c r="R16" s="89" t="n"/>
      <c r="S16" s="89" t="n"/>
      <c r="T16" s="89" t="n"/>
      <c r="U16" s="89" t="n"/>
      <c r="V16" s="89" t="n"/>
      <c r="W16" s="89" t="n"/>
      <c r="X16" s="89" t="n"/>
      <c r="Y16" s="89" t="n"/>
      <c r="Z16" s="89" t="n"/>
      <c r="AA16" s="89" t="n"/>
      <c r="AB16" s="89" t="n"/>
      <c r="AC16" s="89" t="n"/>
      <c r="AD16" s="89" t="n"/>
      <c r="AE16" s="89" t="n"/>
      <c r="AF16" s="89" t="n"/>
    </row>
    <row r="17">
      <c r="A17" s="90" t="inlineStr">
        <is>
          <t>Hora</t>
        </is>
      </c>
      <c r="B17" s="95" t="n">
        <v>1</v>
      </c>
      <c r="C17" s="95" t="n">
        <v>2</v>
      </c>
      <c r="D17" s="95" t="n">
        <v>3</v>
      </c>
      <c r="E17" s="95" t="n">
        <v>4</v>
      </c>
      <c r="F17" s="95" t="n">
        <v>5</v>
      </c>
      <c r="G17" s="95" t="n">
        <v>6</v>
      </c>
      <c r="H17" s="95" t="n">
        <v>7</v>
      </c>
      <c r="I17" s="95" t="n">
        <v>8</v>
      </c>
      <c r="J17" s="95" t="n">
        <v>9</v>
      </c>
      <c r="K17" s="95" t="n">
        <v>10</v>
      </c>
      <c r="L17" s="95" t="n">
        <v>11</v>
      </c>
      <c r="M17" s="95" t="n">
        <v>12</v>
      </c>
      <c r="N17" s="95" t="n">
        <v>13</v>
      </c>
      <c r="O17" s="95" t="n">
        <v>14</v>
      </c>
      <c r="P17" s="95" t="n">
        <v>15</v>
      </c>
      <c r="Q17" s="95" t="n">
        <v>16</v>
      </c>
      <c r="R17" s="95" t="n">
        <v>17</v>
      </c>
      <c r="S17" s="95" t="n">
        <v>18</v>
      </c>
      <c r="T17" s="95" t="n">
        <v>19</v>
      </c>
      <c r="U17" s="95" t="n">
        <v>20</v>
      </c>
      <c r="V17" s="95" t="n">
        <v>21</v>
      </c>
      <c r="W17" s="95" t="n">
        <v>22</v>
      </c>
      <c r="X17" s="95" t="n">
        <v>23</v>
      </c>
      <c r="Y17" s="95" t="n">
        <v>24</v>
      </c>
      <c r="Z17" s="95" t="n">
        <v>25</v>
      </c>
      <c r="AA17" s="95" t="n">
        <v>26</v>
      </c>
      <c r="AB17" s="95" t="n">
        <v>27</v>
      </c>
      <c r="AC17" s="95" t="n">
        <v>28</v>
      </c>
      <c r="AD17" s="95" t="n">
        <v>29</v>
      </c>
      <c r="AE17" s="95" t="n">
        <v>30</v>
      </c>
      <c r="AF17" s="95" t="n">
        <v>31</v>
      </c>
    </row>
    <row r="18" ht="14" customHeight="1" s="58">
      <c r="A18" s="90" t="inlineStr">
        <is>
          <t>00h</t>
        </is>
      </c>
      <c r="B18" s="97">
        <f>IF(DAY(DATE($D$2,$F$2+1,0))&lt;1,"",COUNTIFS(Home!$D$3:$D$976,$F$2,Home!$E$3:$E$976,$D$2,Home!$C$3:$C$976,1,Home!$AE$3:$AE$976,0))</f>
        <v/>
      </c>
      <c r="C18" s="97">
        <f>IF(DAY(DATE($D$2,$F$2+1,0))&lt;2,"",COUNTIFS(Home!$D$3:$D$976,$F$2,Home!$E$3:$E$976,$D$2,Home!$C$3:$C$976,2,Home!$AE$3:$AE$976,0))</f>
        <v/>
      </c>
      <c r="D18" s="97">
        <f>IF(DAY(DATE($D$2,$F$2+1,0))&lt;3,"",COUNTIFS(Home!$D$3:$D$976,$F$2,Home!$E$3:$E$976,$D$2,Home!$C$3:$C$976,3,Home!$AE$3:$AE$976,0))</f>
        <v/>
      </c>
      <c r="E18" s="97">
        <f>IF(DAY(DATE($D$2,$F$2+1,0))&lt;4,"",COUNTIFS(Home!$D$3:$D$976,$F$2,Home!$E$3:$E$976,$D$2,Home!$C$3:$C$976,4,Home!$AE$3:$AE$976,0))</f>
        <v/>
      </c>
      <c r="F18" s="97">
        <f>IF(DAY(DATE($D$2,$F$2+1,0))&lt;5,"",COUNTIFS(Home!$D$3:$D$976,$F$2,Home!$E$3:$E$976,$D$2,Home!$C$3:$C$976,5,Home!$AE$3:$AE$976,0))</f>
        <v/>
      </c>
      <c r="G18" s="97">
        <f>IF(DAY(DATE($D$2,$F$2+1,0))&lt;6,"",COUNTIFS(Home!$D$3:$D$976,$F$2,Home!$E$3:$E$976,$D$2,Home!$C$3:$C$976,6,Home!$AE$3:$AE$976,0))</f>
        <v/>
      </c>
      <c r="H18" s="97">
        <f>IF(DAY(DATE($D$2,$F$2+1,0))&lt;7,"",COUNTIFS(Home!$D$3:$D$976,$F$2,Home!$E$3:$E$976,$D$2,Home!$C$3:$C$976,7,Home!$AE$3:$AE$976,0))</f>
        <v/>
      </c>
      <c r="I18" s="97">
        <f>IF(DAY(DATE($D$2,$F$2+1,0))&lt;8,"",COUNTIFS(Home!$D$3:$D$976,$F$2,Home!$E$3:$E$976,$D$2,Home!$C$3:$C$976,8,Home!$AE$3:$AE$976,0))</f>
        <v/>
      </c>
      <c r="J18" s="97">
        <f>IF(DAY(DATE($D$2,$F$2+1,0))&lt;9,"",COUNTIFS(Home!$D$3:$D$976,$F$2,Home!$E$3:$E$976,$D$2,Home!$C$3:$C$976,9,Home!$AE$3:$AE$976,0))</f>
        <v/>
      </c>
      <c r="K18" s="97">
        <f>IF(DAY(DATE($D$2,$F$2+1,0))&lt;10,"",COUNTIFS(Home!$D$3:$D$976,$F$2,Home!$E$3:$E$976,$D$2,Home!$C$3:$C$976,10,Home!$AE$3:$AE$976,0))</f>
        <v/>
      </c>
      <c r="L18" s="97">
        <f>IF(DAY(DATE($D$2,$F$2+1,0))&lt;11,"",COUNTIFS(Home!$D$3:$D$976,$F$2,Home!$E$3:$E$976,$D$2,Home!$C$3:$C$976,11,Home!$AE$3:$AE$976,0))</f>
        <v/>
      </c>
      <c r="M18" s="97">
        <f>IF(DAY(DATE($D$2,$F$2+1,0))&lt;12,"",COUNTIFS(Home!$D$3:$D$976,$F$2,Home!$E$3:$E$976,$D$2,Home!$C$3:$C$976,12,Home!$AE$3:$AE$976,0))</f>
        <v/>
      </c>
      <c r="N18" s="97">
        <f>IF(DAY(DATE($D$2,$F$2+1,0))&lt;13,"",COUNTIFS(Home!$D$3:$D$976,$F$2,Home!$E$3:$E$976,$D$2,Home!$C$3:$C$976,13,Home!$AE$3:$AE$976,0))</f>
        <v/>
      </c>
      <c r="O18" s="97">
        <f>IF(DAY(DATE($D$2,$F$2+1,0))&lt;14,"",COUNTIFS(Home!$D$3:$D$976,$F$2,Home!$E$3:$E$976,$D$2,Home!$C$3:$C$976,14,Home!$AE$3:$AE$976,0))</f>
        <v/>
      </c>
      <c r="P18" s="97">
        <f>IF(DAY(DATE($D$2,$F$2+1,0))&lt;15,"",COUNTIFS(Home!$D$3:$D$976,$F$2,Home!$E$3:$E$976,$D$2,Home!$C$3:$C$976,15,Home!$AE$3:$AE$976,0))</f>
        <v/>
      </c>
      <c r="Q18" s="97">
        <f>IF(DAY(DATE($D$2,$F$2+1,0))&lt;16,"",COUNTIFS(Home!$D$3:$D$976,$F$2,Home!$E$3:$E$976,$D$2,Home!$C$3:$C$976,16,Home!$AE$3:$AE$976,0))</f>
        <v/>
      </c>
      <c r="R18" s="97">
        <f>IF(DAY(DATE($D$2,$F$2+1,0))&lt;17,"",COUNTIFS(Home!$D$3:$D$976,$F$2,Home!$E$3:$E$976,$D$2,Home!$C$3:$C$976,17,Home!$AE$3:$AE$976,0))</f>
        <v/>
      </c>
      <c r="S18" s="97">
        <f>IF(DAY(DATE($D$2,$F$2+1,0))&lt;18,"",COUNTIFS(Home!$D$3:$D$976,$F$2,Home!$E$3:$E$976,$D$2,Home!$C$3:$C$976,18,Home!$AE$3:$AE$976,0))</f>
        <v/>
      </c>
      <c r="T18" s="97">
        <f>IF(DAY(DATE($D$2,$F$2+1,0))&lt;19,"",COUNTIFS(Home!$D$3:$D$976,$F$2,Home!$E$3:$E$976,$D$2,Home!$C$3:$C$976,19,Home!$AE$3:$AE$976,0))</f>
        <v/>
      </c>
      <c r="U18" s="97">
        <f>IF(DAY(DATE($D$2,$F$2+1,0))&lt;20,"",COUNTIFS(Home!$D$3:$D$976,$F$2,Home!$E$3:$E$976,$D$2,Home!$C$3:$C$976,20,Home!$AE$3:$AE$976,0))</f>
        <v/>
      </c>
      <c r="V18" s="97">
        <f>IF(DAY(DATE($D$2,$F$2+1,0))&lt;21,"",COUNTIFS(Home!$D$3:$D$976,$F$2,Home!$E$3:$E$976,$D$2,Home!$C$3:$C$976,21,Home!$AE$3:$AE$976,0))</f>
        <v/>
      </c>
      <c r="W18" s="97">
        <f>IF(DAY(DATE($D$2,$F$2+1,0))&lt;22,"",COUNTIFS(Home!$D$3:$D$976,$F$2,Home!$E$3:$E$976,$D$2,Home!$C$3:$C$976,22,Home!$AE$3:$AE$976,0))</f>
        <v/>
      </c>
      <c r="X18" s="97">
        <f>IF(DAY(DATE($D$2,$F$2+1,0))&lt;23,"",COUNTIFS(Home!$D$3:$D$976,$F$2,Home!$E$3:$E$976,$D$2,Home!$C$3:$C$976,23,Home!$AE$3:$AE$976,0))</f>
        <v/>
      </c>
      <c r="Y18" s="97">
        <f>IF(DAY(DATE($D$2,$F$2+1,0))&lt;24,"",COUNTIFS(Home!$D$3:$D$976,$F$2,Home!$E$3:$E$976,$D$2,Home!$C$3:$C$976,24,Home!$AE$3:$AE$976,0))</f>
        <v/>
      </c>
      <c r="Z18" s="97">
        <f>IF(DAY(DATE($D$2,$F$2+1,0))&lt;25,"",COUNTIFS(Home!$D$3:$D$976,$F$2,Home!$E$3:$E$976,$D$2,Home!$C$3:$C$976,25,Home!$AE$3:$AE$976,0))</f>
        <v/>
      </c>
      <c r="AA18" s="97">
        <f>IF(DAY(DATE($D$2,$F$2+1,0))&lt;26,"",COUNTIFS(Home!$D$3:$D$976,$F$2,Home!$E$3:$E$976,$D$2,Home!$C$3:$C$976,26,Home!$AE$3:$AE$976,0))</f>
        <v/>
      </c>
      <c r="AB18" s="97">
        <f>IF(DAY(DATE($D$2,$F$2+1,0))&lt;27,"",COUNTIFS(Home!$D$3:$D$976,$F$2,Home!$E$3:$E$976,$D$2,Home!$C$3:$C$976,27,Home!$AE$3:$AE$976,0))</f>
        <v/>
      </c>
      <c r="AC18" s="97">
        <f>IF(DAY(DATE($D$2,$F$2+1,0))&lt;28,"",COUNTIFS(Home!$D$3:$D$976,$F$2,Home!$E$3:$E$976,$D$2,Home!$C$3:$C$976,28,Home!$AE$3:$AE$976,0))</f>
        <v/>
      </c>
      <c r="AD18" s="97">
        <f>IF(DAY(DATE($D$2,$F$2+1,0))&lt;29,"",COUNTIFS(Home!$D$3:$D$976,$F$2,Home!$E$3:$E$976,$D$2,Home!$C$3:$C$976,29,Home!$AE$3:$AE$976,0))</f>
        <v/>
      </c>
      <c r="AE18" s="97">
        <f>IF(DAY(DATE($D$2,$F$2+1,0))&lt;30,"",COUNTIFS(Home!$D$3:$D$976,$F$2,Home!$E$3:$E$976,$D$2,Home!$C$3:$C$976,30,Home!$AE$3:$AE$976,0))</f>
        <v/>
      </c>
      <c r="AF18" s="97">
        <f>IF(DAY(DATE($D$2,$F$2+1,0))&lt;31,"",COUNTIFS(Home!$D$3:$D$976,$F$2,Home!$E$3:$E$976,$D$2,Home!$C$3:$C$976,31,Home!$AE$3:$AE$976,0))</f>
        <v/>
      </c>
    </row>
    <row r="19" ht="14" customHeight="1" s="58">
      <c r="A19" s="90" t="inlineStr">
        <is>
          <t>01h</t>
        </is>
      </c>
      <c r="B19" s="97">
        <f>IF(DAY(DATE($D$2,$F$2+1,0))&lt;1,"",COUNTIFS(Home!$D$3:$D$976,$F$2,Home!$E$3:$E$976,$D$2,Home!$C$3:$C$976,1,Home!$AE$3:$AE$976,1))</f>
        <v/>
      </c>
      <c r="C19" s="97">
        <f>IF(DAY(DATE($D$2,$F$2+1,0))&lt;2,"",COUNTIFS(Home!$D$3:$D$976,$F$2,Home!$E$3:$E$976,$D$2,Home!$C$3:$C$976,2,Home!$AE$3:$AE$976,1))</f>
        <v/>
      </c>
      <c r="D19" s="97">
        <f>IF(DAY(DATE($D$2,$F$2+1,0))&lt;3,"",COUNTIFS(Home!$D$3:$D$976,$F$2,Home!$E$3:$E$976,$D$2,Home!$C$3:$C$976,3,Home!$AE$3:$AE$976,1))</f>
        <v/>
      </c>
      <c r="E19" s="97">
        <f>IF(DAY(DATE($D$2,$F$2+1,0))&lt;4,"",COUNTIFS(Home!$D$3:$D$976,$F$2,Home!$E$3:$E$976,$D$2,Home!$C$3:$C$976,4,Home!$AE$3:$AE$976,1))</f>
        <v/>
      </c>
      <c r="F19" s="97">
        <f>IF(DAY(DATE($D$2,$F$2+1,0))&lt;5,"",COUNTIFS(Home!$D$3:$D$976,$F$2,Home!$E$3:$E$976,$D$2,Home!$C$3:$C$976,5,Home!$AE$3:$AE$976,1))</f>
        <v/>
      </c>
      <c r="G19" s="97">
        <f>IF(DAY(DATE($D$2,$F$2+1,0))&lt;6,"",COUNTIFS(Home!$D$3:$D$976,$F$2,Home!$E$3:$E$976,$D$2,Home!$C$3:$C$976,6,Home!$AE$3:$AE$976,1))</f>
        <v/>
      </c>
      <c r="H19" s="97">
        <f>IF(DAY(DATE($D$2,$F$2+1,0))&lt;7,"",COUNTIFS(Home!$D$3:$D$976,$F$2,Home!$E$3:$E$976,$D$2,Home!$C$3:$C$976,7,Home!$AE$3:$AE$976,1))</f>
        <v/>
      </c>
      <c r="I19" s="97">
        <f>IF(DAY(DATE($D$2,$F$2+1,0))&lt;8,"",COUNTIFS(Home!$D$3:$D$976,$F$2,Home!$E$3:$E$976,$D$2,Home!$C$3:$C$976,8,Home!$AE$3:$AE$976,1))</f>
        <v/>
      </c>
      <c r="J19" s="97">
        <f>IF(DAY(DATE($D$2,$F$2+1,0))&lt;9,"",COUNTIFS(Home!$D$3:$D$976,$F$2,Home!$E$3:$E$976,$D$2,Home!$C$3:$C$976,9,Home!$AE$3:$AE$976,1))</f>
        <v/>
      </c>
      <c r="K19" s="97">
        <f>IF(DAY(DATE($D$2,$F$2+1,0))&lt;10,"",COUNTIFS(Home!$D$3:$D$976,$F$2,Home!$E$3:$E$976,$D$2,Home!$C$3:$C$976,10,Home!$AE$3:$AE$976,1))</f>
        <v/>
      </c>
      <c r="L19" s="97">
        <f>IF(DAY(DATE($D$2,$F$2+1,0))&lt;11,"",COUNTIFS(Home!$D$3:$D$976,$F$2,Home!$E$3:$E$976,$D$2,Home!$C$3:$C$976,11,Home!$AE$3:$AE$976,1))</f>
        <v/>
      </c>
      <c r="M19" s="97">
        <f>IF(DAY(DATE($D$2,$F$2+1,0))&lt;12,"",COUNTIFS(Home!$D$3:$D$976,$F$2,Home!$E$3:$E$976,$D$2,Home!$C$3:$C$976,12,Home!$AE$3:$AE$976,1))</f>
        <v/>
      </c>
      <c r="N19" s="97">
        <f>IF(DAY(DATE($D$2,$F$2+1,0))&lt;13,"",COUNTIFS(Home!$D$3:$D$976,$F$2,Home!$E$3:$E$976,$D$2,Home!$C$3:$C$976,13,Home!$AE$3:$AE$976,1))</f>
        <v/>
      </c>
      <c r="O19" s="97">
        <f>IF(DAY(DATE($D$2,$F$2+1,0))&lt;14,"",COUNTIFS(Home!$D$3:$D$976,$F$2,Home!$E$3:$E$976,$D$2,Home!$C$3:$C$976,14,Home!$AE$3:$AE$976,1))</f>
        <v/>
      </c>
      <c r="P19" s="97">
        <f>IF(DAY(DATE($D$2,$F$2+1,0))&lt;15,"",COUNTIFS(Home!$D$3:$D$976,$F$2,Home!$E$3:$E$976,$D$2,Home!$C$3:$C$976,15,Home!$AE$3:$AE$976,1))</f>
        <v/>
      </c>
      <c r="Q19" s="97">
        <f>IF(DAY(DATE($D$2,$F$2+1,0))&lt;16,"",COUNTIFS(Home!$D$3:$D$976,$F$2,Home!$E$3:$E$976,$D$2,Home!$C$3:$C$976,16,Home!$AE$3:$AE$976,1))</f>
        <v/>
      </c>
      <c r="R19" s="97">
        <f>IF(DAY(DATE($D$2,$F$2+1,0))&lt;17,"",COUNTIFS(Home!$D$3:$D$976,$F$2,Home!$E$3:$E$976,$D$2,Home!$C$3:$C$976,17,Home!$AE$3:$AE$976,1))</f>
        <v/>
      </c>
      <c r="S19" s="97">
        <f>IF(DAY(DATE($D$2,$F$2+1,0))&lt;18,"",COUNTIFS(Home!$D$3:$D$976,$F$2,Home!$E$3:$E$976,$D$2,Home!$C$3:$C$976,18,Home!$AE$3:$AE$976,1))</f>
        <v/>
      </c>
      <c r="T19" s="97">
        <f>IF(DAY(DATE($D$2,$F$2+1,0))&lt;19,"",COUNTIFS(Home!$D$3:$D$976,$F$2,Home!$E$3:$E$976,$D$2,Home!$C$3:$C$976,19,Home!$AE$3:$AE$976,1))</f>
        <v/>
      </c>
      <c r="U19" s="97">
        <f>IF(DAY(DATE($D$2,$F$2+1,0))&lt;20,"",COUNTIFS(Home!$D$3:$D$976,$F$2,Home!$E$3:$E$976,$D$2,Home!$C$3:$C$976,20,Home!$AE$3:$AE$976,1))</f>
        <v/>
      </c>
      <c r="V19" s="97">
        <f>IF(DAY(DATE($D$2,$F$2+1,0))&lt;21,"",COUNTIFS(Home!$D$3:$D$976,$F$2,Home!$E$3:$E$976,$D$2,Home!$C$3:$C$976,21,Home!$AE$3:$AE$976,1))</f>
        <v/>
      </c>
      <c r="W19" s="97">
        <f>IF(DAY(DATE($D$2,$F$2+1,0))&lt;22,"",COUNTIFS(Home!$D$3:$D$976,$F$2,Home!$E$3:$E$976,$D$2,Home!$C$3:$C$976,22,Home!$AE$3:$AE$976,1))</f>
        <v/>
      </c>
      <c r="X19" s="97">
        <f>IF(DAY(DATE($D$2,$F$2+1,0))&lt;23,"",COUNTIFS(Home!$D$3:$D$976,$F$2,Home!$E$3:$E$976,$D$2,Home!$C$3:$C$976,23,Home!$AE$3:$AE$976,1))</f>
        <v/>
      </c>
      <c r="Y19" s="97">
        <f>IF(DAY(DATE($D$2,$F$2+1,0))&lt;24,"",COUNTIFS(Home!$D$3:$D$976,$F$2,Home!$E$3:$E$976,$D$2,Home!$C$3:$C$976,24,Home!$AE$3:$AE$976,1))</f>
        <v/>
      </c>
      <c r="Z19" s="97">
        <f>IF(DAY(DATE($D$2,$F$2+1,0))&lt;25,"",COUNTIFS(Home!$D$3:$D$976,$F$2,Home!$E$3:$E$976,$D$2,Home!$C$3:$C$976,25,Home!$AE$3:$AE$976,1))</f>
        <v/>
      </c>
      <c r="AA19" s="97">
        <f>IF(DAY(DATE($D$2,$F$2+1,0))&lt;26,"",COUNTIFS(Home!$D$3:$D$976,$F$2,Home!$E$3:$E$976,$D$2,Home!$C$3:$C$976,26,Home!$AE$3:$AE$976,1))</f>
        <v/>
      </c>
      <c r="AB19" s="97">
        <f>IF(DAY(DATE($D$2,$F$2+1,0))&lt;27,"",COUNTIFS(Home!$D$3:$D$976,$F$2,Home!$E$3:$E$976,$D$2,Home!$C$3:$C$976,27,Home!$AE$3:$AE$976,1))</f>
        <v/>
      </c>
      <c r="AC19" s="97">
        <f>IF(DAY(DATE($D$2,$F$2+1,0))&lt;28,"",COUNTIFS(Home!$D$3:$D$976,$F$2,Home!$E$3:$E$976,$D$2,Home!$C$3:$C$976,28,Home!$AE$3:$AE$976,1))</f>
        <v/>
      </c>
      <c r="AD19" s="97">
        <f>IF(DAY(DATE($D$2,$F$2+1,0))&lt;29,"",COUNTIFS(Home!$D$3:$D$976,$F$2,Home!$E$3:$E$976,$D$2,Home!$C$3:$C$976,29,Home!$AE$3:$AE$976,1))</f>
        <v/>
      </c>
      <c r="AE19" s="97">
        <f>IF(DAY(DATE($D$2,$F$2+1,0))&lt;30,"",COUNTIFS(Home!$D$3:$D$976,$F$2,Home!$E$3:$E$976,$D$2,Home!$C$3:$C$976,30,Home!$AE$3:$AE$976,1))</f>
        <v/>
      </c>
      <c r="AF19" s="97">
        <f>IF(DAY(DATE($D$2,$F$2+1,0))&lt;31,"",COUNTIFS(Home!$D$3:$D$976,$F$2,Home!$E$3:$E$976,$D$2,Home!$C$3:$C$976,31,Home!$AE$3:$AE$976,1))</f>
        <v/>
      </c>
    </row>
    <row r="20" ht="14" customHeight="1" s="58">
      <c r="A20" s="90" t="inlineStr">
        <is>
          <t>02h</t>
        </is>
      </c>
      <c r="B20" s="97">
        <f>IF(DAY(DATE($D$2,$F$2+1,0))&lt;1,"",COUNTIFS(Home!$D$3:$D$976,$F$2,Home!$E$3:$E$976,$D$2,Home!$C$3:$C$976,1,Home!$AE$3:$AE$976,2))</f>
        <v/>
      </c>
      <c r="C20" s="97">
        <f>IF(DAY(DATE($D$2,$F$2+1,0))&lt;2,"",COUNTIFS(Home!$D$3:$D$976,$F$2,Home!$E$3:$E$976,$D$2,Home!$C$3:$C$976,2,Home!$AE$3:$AE$976,2))</f>
        <v/>
      </c>
      <c r="D20" s="97">
        <f>IF(DAY(DATE($D$2,$F$2+1,0))&lt;3,"",COUNTIFS(Home!$D$3:$D$976,$F$2,Home!$E$3:$E$976,$D$2,Home!$C$3:$C$976,3,Home!$AE$3:$AE$976,2))</f>
        <v/>
      </c>
      <c r="E20" s="97">
        <f>IF(DAY(DATE($D$2,$F$2+1,0))&lt;4,"",COUNTIFS(Home!$D$3:$D$976,$F$2,Home!$E$3:$E$976,$D$2,Home!$C$3:$C$976,4,Home!$AE$3:$AE$976,2))</f>
        <v/>
      </c>
      <c r="F20" s="97">
        <f>IF(DAY(DATE($D$2,$F$2+1,0))&lt;5,"",COUNTIFS(Home!$D$3:$D$976,$F$2,Home!$E$3:$E$976,$D$2,Home!$C$3:$C$976,5,Home!$AE$3:$AE$976,2))</f>
        <v/>
      </c>
      <c r="G20" s="97">
        <f>IF(DAY(DATE($D$2,$F$2+1,0))&lt;6,"",COUNTIFS(Home!$D$3:$D$976,$F$2,Home!$E$3:$E$976,$D$2,Home!$C$3:$C$976,6,Home!$AE$3:$AE$976,2))</f>
        <v/>
      </c>
      <c r="H20" s="97">
        <f>IF(DAY(DATE($D$2,$F$2+1,0))&lt;7,"",COUNTIFS(Home!$D$3:$D$976,$F$2,Home!$E$3:$E$976,$D$2,Home!$C$3:$C$976,7,Home!$AE$3:$AE$976,2))</f>
        <v/>
      </c>
      <c r="I20" s="97">
        <f>IF(DAY(DATE($D$2,$F$2+1,0))&lt;8,"",COUNTIFS(Home!$D$3:$D$976,$F$2,Home!$E$3:$E$976,$D$2,Home!$C$3:$C$976,8,Home!$AE$3:$AE$976,2))</f>
        <v/>
      </c>
      <c r="J20" s="97">
        <f>IF(DAY(DATE($D$2,$F$2+1,0))&lt;9,"",COUNTIFS(Home!$D$3:$D$976,$F$2,Home!$E$3:$E$976,$D$2,Home!$C$3:$C$976,9,Home!$AE$3:$AE$976,2))</f>
        <v/>
      </c>
      <c r="K20" s="97">
        <f>IF(DAY(DATE($D$2,$F$2+1,0))&lt;10,"",COUNTIFS(Home!$D$3:$D$976,$F$2,Home!$E$3:$E$976,$D$2,Home!$C$3:$C$976,10,Home!$AE$3:$AE$976,2))</f>
        <v/>
      </c>
      <c r="L20" s="97">
        <f>IF(DAY(DATE($D$2,$F$2+1,0))&lt;11,"",COUNTIFS(Home!$D$3:$D$976,$F$2,Home!$E$3:$E$976,$D$2,Home!$C$3:$C$976,11,Home!$AE$3:$AE$976,2))</f>
        <v/>
      </c>
      <c r="M20" s="97">
        <f>IF(DAY(DATE($D$2,$F$2+1,0))&lt;12,"",COUNTIFS(Home!$D$3:$D$976,$F$2,Home!$E$3:$E$976,$D$2,Home!$C$3:$C$976,12,Home!$AE$3:$AE$976,2))</f>
        <v/>
      </c>
      <c r="N20" s="97">
        <f>IF(DAY(DATE($D$2,$F$2+1,0))&lt;13,"",COUNTIFS(Home!$D$3:$D$976,$F$2,Home!$E$3:$E$976,$D$2,Home!$C$3:$C$976,13,Home!$AE$3:$AE$976,2))</f>
        <v/>
      </c>
      <c r="O20" s="97">
        <f>IF(DAY(DATE($D$2,$F$2+1,0))&lt;14,"",COUNTIFS(Home!$D$3:$D$976,$F$2,Home!$E$3:$E$976,$D$2,Home!$C$3:$C$976,14,Home!$AE$3:$AE$976,2))</f>
        <v/>
      </c>
      <c r="P20" s="97">
        <f>IF(DAY(DATE($D$2,$F$2+1,0))&lt;15,"",COUNTIFS(Home!$D$3:$D$976,$F$2,Home!$E$3:$E$976,$D$2,Home!$C$3:$C$976,15,Home!$AE$3:$AE$976,2))</f>
        <v/>
      </c>
      <c r="Q20" s="97">
        <f>IF(DAY(DATE($D$2,$F$2+1,0))&lt;16,"",COUNTIFS(Home!$D$3:$D$976,$F$2,Home!$E$3:$E$976,$D$2,Home!$C$3:$C$976,16,Home!$AE$3:$AE$976,2))</f>
        <v/>
      </c>
      <c r="R20" s="97">
        <f>IF(DAY(DATE($D$2,$F$2+1,0))&lt;17,"",COUNTIFS(Home!$D$3:$D$976,$F$2,Home!$E$3:$E$976,$D$2,Home!$C$3:$C$976,17,Home!$AE$3:$AE$976,2))</f>
        <v/>
      </c>
      <c r="S20" s="97">
        <f>IF(DAY(DATE($D$2,$F$2+1,0))&lt;18,"",COUNTIFS(Home!$D$3:$D$976,$F$2,Home!$E$3:$E$976,$D$2,Home!$C$3:$C$976,18,Home!$AE$3:$AE$976,2))</f>
        <v/>
      </c>
      <c r="T20" s="97">
        <f>IF(DAY(DATE($D$2,$F$2+1,0))&lt;19,"",COUNTIFS(Home!$D$3:$D$976,$F$2,Home!$E$3:$E$976,$D$2,Home!$C$3:$C$976,19,Home!$AE$3:$AE$976,2))</f>
        <v/>
      </c>
      <c r="U20" s="97">
        <f>IF(DAY(DATE($D$2,$F$2+1,0))&lt;20,"",COUNTIFS(Home!$D$3:$D$976,$F$2,Home!$E$3:$E$976,$D$2,Home!$C$3:$C$976,20,Home!$AE$3:$AE$976,2))</f>
        <v/>
      </c>
      <c r="V20" s="97">
        <f>IF(DAY(DATE($D$2,$F$2+1,0))&lt;21,"",COUNTIFS(Home!$D$3:$D$976,$F$2,Home!$E$3:$E$976,$D$2,Home!$C$3:$C$976,21,Home!$AE$3:$AE$976,2))</f>
        <v/>
      </c>
      <c r="W20" s="97">
        <f>IF(DAY(DATE($D$2,$F$2+1,0))&lt;22,"",COUNTIFS(Home!$D$3:$D$976,$F$2,Home!$E$3:$E$976,$D$2,Home!$C$3:$C$976,22,Home!$AE$3:$AE$976,2))</f>
        <v/>
      </c>
      <c r="X20" s="97">
        <f>IF(DAY(DATE($D$2,$F$2+1,0))&lt;23,"",COUNTIFS(Home!$D$3:$D$976,$F$2,Home!$E$3:$E$976,$D$2,Home!$C$3:$C$976,23,Home!$AE$3:$AE$976,2))</f>
        <v/>
      </c>
      <c r="Y20" s="97">
        <f>IF(DAY(DATE($D$2,$F$2+1,0))&lt;24,"",COUNTIFS(Home!$D$3:$D$976,$F$2,Home!$E$3:$E$976,$D$2,Home!$C$3:$C$976,24,Home!$AE$3:$AE$976,2))</f>
        <v/>
      </c>
      <c r="Z20" s="97">
        <f>IF(DAY(DATE($D$2,$F$2+1,0))&lt;25,"",COUNTIFS(Home!$D$3:$D$976,$F$2,Home!$E$3:$E$976,$D$2,Home!$C$3:$C$976,25,Home!$AE$3:$AE$976,2))</f>
        <v/>
      </c>
      <c r="AA20" s="97">
        <f>IF(DAY(DATE($D$2,$F$2+1,0))&lt;26,"",COUNTIFS(Home!$D$3:$D$976,$F$2,Home!$E$3:$E$976,$D$2,Home!$C$3:$C$976,26,Home!$AE$3:$AE$976,2))</f>
        <v/>
      </c>
      <c r="AB20" s="97">
        <f>IF(DAY(DATE($D$2,$F$2+1,0))&lt;27,"",COUNTIFS(Home!$D$3:$D$976,$F$2,Home!$E$3:$E$976,$D$2,Home!$C$3:$C$976,27,Home!$AE$3:$AE$976,2))</f>
        <v/>
      </c>
      <c r="AC20" s="97">
        <f>IF(DAY(DATE($D$2,$F$2+1,0))&lt;28,"",COUNTIFS(Home!$D$3:$D$976,$F$2,Home!$E$3:$E$976,$D$2,Home!$C$3:$C$976,28,Home!$AE$3:$AE$976,2))</f>
        <v/>
      </c>
      <c r="AD20" s="97">
        <f>IF(DAY(DATE($D$2,$F$2+1,0))&lt;29,"",COUNTIFS(Home!$D$3:$D$976,$F$2,Home!$E$3:$E$976,$D$2,Home!$C$3:$C$976,29,Home!$AE$3:$AE$976,2))</f>
        <v/>
      </c>
      <c r="AE20" s="97">
        <f>IF(DAY(DATE($D$2,$F$2+1,0))&lt;30,"",COUNTIFS(Home!$D$3:$D$976,$F$2,Home!$E$3:$E$976,$D$2,Home!$C$3:$C$976,30,Home!$AE$3:$AE$976,2))</f>
        <v/>
      </c>
      <c r="AF20" s="97">
        <f>IF(DAY(DATE($D$2,$F$2+1,0))&lt;31,"",COUNTIFS(Home!$D$3:$D$976,$F$2,Home!$E$3:$E$976,$D$2,Home!$C$3:$C$976,31,Home!$AE$3:$AE$976,2))</f>
        <v/>
      </c>
    </row>
    <row r="21" ht="14" customHeight="1" s="58">
      <c r="A21" s="90" t="inlineStr">
        <is>
          <t>03h</t>
        </is>
      </c>
      <c r="B21" s="97">
        <f>IF(DAY(DATE($D$2,$F$2+1,0))&lt;1,"",COUNTIFS(Home!$D$3:$D$976,$F$2,Home!$E$3:$E$976,$D$2,Home!$C$3:$C$976,1,Home!$AE$3:$AE$976,3))</f>
        <v/>
      </c>
      <c r="C21" s="97">
        <f>IF(DAY(DATE($D$2,$F$2+1,0))&lt;2,"",COUNTIFS(Home!$D$3:$D$976,$F$2,Home!$E$3:$E$976,$D$2,Home!$C$3:$C$976,2,Home!$AE$3:$AE$976,3))</f>
        <v/>
      </c>
      <c r="D21" s="97">
        <f>IF(DAY(DATE($D$2,$F$2+1,0))&lt;3,"",COUNTIFS(Home!$D$3:$D$976,$F$2,Home!$E$3:$E$976,$D$2,Home!$C$3:$C$976,3,Home!$AE$3:$AE$976,3))</f>
        <v/>
      </c>
      <c r="E21" s="97">
        <f>IF(DAY(DATE($D$2,$F$2+1,0))&lt;4,"",COUNTIFS(Home!$D$3:$D$976,$F$2,Home!$E$3:$E$976,$D$2,Home!$C$3:$C$976,4,Home!$AE$3:$AE$976,3))</f>
        <v/>
      </c>
      <c r="F21" s="97">
        <f>IF(DAY(DATE($D$2,$F$2+1,0))&lt;5,"",COUNTIFS(Home!$D$3:$D$976,$F$2,Home!$E$3:$E$976,$D$2,Home!$C$3:$C$976,5,Home!$AE$3:$AE$976,3))</f>
        <v/>
      </c>
      <c r="G21" s="97">
        <f>IF(DAY(DATE($D$2,$F$2+1,0))&lt;6,"",COUNTIFS(Home!$D$3:$D$976,$F$2,Home!$E$3:$E$976,$D$2,Home!$C$3:$C$976,6,Home!$AE$3:$AE$976,3))</f>
        <v/>
      </c>
      <c r="H21" s="97">
        <f>IF(DAY(DATE($D$2,$F$2+1,0))&lt;7,"",COUNTIFS(Home!$D$3:$D$976,$F$2,Home!$E$3:$E$976,$D$2,Home!$C$3:$C$976,7,Home!$AE$3:$AE$976,3))</f>
        <v/>
      </c>
      <c r="I21" s="97">
        <f>IF(DAY(DATE($D$2,$F$2+1,0))&lt;8,"",COUNTIFS(Home!$D$3:$D$976,$F$2,Home!$E$3:$E$976,$D$2,Home!$C$3:$C$976,8,Home!$AE$3:$AE$976,3))</f>
        <v/>
      </c>
      <c r="J21" s="97">
        <f>IF(DAY(DATE($D$2,$F$2+1,0))&lt;9,"",COUNTIFS(Home!$D$3:$D$976,$F$2,Home!$E$3:$E$976,$D$2,Home!$C$3:$C$976,9,Home!$AE$3:$AE$976,3))</f>
        <v/>
      </c>
      <c r="K21" s="97">
        <f>IF(DAY(DATE($D$2,$F$2+1,0))&lt;10,"",COUNTIFS(Home!$D$3:$D$976,$F$2,Home!$E$3:$E$976,$D$2,Home!$C$3:$C$976,10,Home!$AE$3:$AE$976,3))</f>
        <v/>
      </c>
      <c r="L21" s="97">
        <f>IF(DAY(DATE($D$2,$F$2+1,0))&lt;11,"",COUNTIFS(Home!$D$3:$D$976,$F$2,Home!$E$3:$E$976,$D$2,Home!$C$3:$C$976,11,Home!$AE$3:$AE$976,3))</f>
        <v/>
      </c>
      <c r="M21" s="97">
        <f>IF(DAY(DATE($D$2,$F$2+1,0))&lt;12,"",COUNTIFS(Home!$D$3:$D$976,$F$2,Home!$E$3:$E$976,$D$2,Home!$C$3:$C$976,12,Home!$AE$3:$AE$976,3))</f>
        <v/>
      </c>
      <c r="N21" s="97">
        <f>IF(DAY(DATE($D$2,$F$2+1,0))&lt;13,"",COUNTIFS(Home!$D$3:$D$976,$F$2,Home!$E$3:$E$976,$D$2,Home!$C$3:$C$976,13,Home!$AE$3:$AE$976,3))</f>
        <v/>
      </c>
      <c r="O21" s="97">
        <f>IF(DAY(DATE($D$2,$F$2+1,0))&lt;14,"",COUNTIFS(Home!$D$3:$D$976,$F$2,Home!$E$3:$E$976,$D$2,Home!$C$3:$C$976,14,Home!$AE$3:$AE$976,3))</f>
        <v/>
      </c>
      <c r="P21" s="97">
        <f>IF(DAY(DATE($D$2,$F$2+1,0))&lt;15,"",COUNTIFS(Home!$D$3:$D$976,$F$2,Home!$E$3:$E$976,$D$2,Home!$C$3:$C$976,15,Home!$AE$3:$AE$976,3))</f>
        <v/>
      </c>
      <c r="Q21" s="97">
        <f>IF(DAY(DATE($D$2,$F$2+1,0))&lt;16,"",COUNTIFS(Home!$D$3:$D$976,$F$2,Home!$E$3:$E$976,$D$2,Home!$C$3:$C$976,16,Home!$AE$3:$AE$976,3))</f>
        <v/>
      </c>
      <c r="R21" s="97">
        <f>IF(DAY(DATE($D$2,$F$2+1,0))&lt;17,"",COUNTIFS(Home!$D$3:$D$976,$F$2,Home!$E$3:$E$976,$D$2,Home!$C$3:$C$976,17,Home!$AE$3:$AE$976,3))</f>
        <v/>
      </c>
      <c r="S21" s="97">
        <f>IF(DAY(DATE($D$2,$F$2+1,0))&lt;18,"",COUNTIFS(Home!$D$3:$D$976,$F$2,Home!$E$3:$E$976,$D$2,Home!$C$3:$C$976,18,Home!$AE$3:$AE$976,3))</f>
        <v/>
      </c>
      <c r="T21" s="97">
        <f>IF(DAY(DATE($D$2,$F$2+1,0))&lt;19,"",COUNTIFS(Home!$D$3:$D$976,$F$2,Home!$E$3:$E$976,$D$2,Home!$C$3:$C$976,19,Home!$AE$3:$AE$976,3))</f>
        <v/>
      </c>
      <c r="U21" s="97">
        <f>IF(DAY(DATE($D$2,$F$2+1,0))&lt;20,"",COUNTIFS(Home!$D$3:$D$976,$F$2,Home!$E$3:$E$976,$D$2,Home!$C$3:$C$976,20,Home!$AE$3:$AE$976,3))</f>
        <v/>
      </c>
      <c r="V21" s="97">
        <f>IF(DAY(DATE($D$2,$F$2+1,0))&lt;21,"",COUNTIFS(Home!$D$3:$D$976,$F$2,Home!$E$3:$E$976,$D$2,Home!$C$3:$C$976,21,Home!$AE$3:$AE$976,3))</f>
        <v/>
      </c>
      <c r="W21" s="97">
        <f>IF(DAY(DATE($D$2,$F$2+1,0))&lt;22,"",COUNTIFS(Home!$D$3:$D$976,$F$2,Home!$E$3:$E$976,$D$2,Home!$C$3:$C$976,22,Home!$AE$3:$AE$976,3))</f>
        <v/>
      </c>
      <c r="X21" s="97">
        <f>IF(DAY(DATE($D$2,$F$2+1,0))&lt;23,"",COUNTIFS(Home!$D$3:$D$976,$F$2,Home!$E$3:$E$976,$D$2,Home!$C$3:$C$976,23,Home!$AE$3:$AE$976,3))</f>
        <v/>
      </c>
      <c r="Y21" s="97">
        <f>IF(DAY(DATE($D$2,$F$2+1,0))&lt;24,"",COUNTIFS(Home!$D$3:$D$976,$F$2,Home!$E$3:$E$976,$D$2,Home!$C$3:$C$976,24,Home!$AE$3:$AE$976,3))</f>
        <v/>
      </c>
      <c r="Z21" s="97">
        <f>IF(DAY(DATE($D$2,$F$2+1,0))&lt;25,"",COUNTIFS(Home!$D$3:$D$976,$F$2,Home!$E$3:$E$976,$D$2,Home!$C$3:$C$976,25,Home!$AE$3:$AE$976,3))</f>
        <v/>
      </c>
      <c r="AA21" s="97">
        <f>IF(DAY(DATE($D$2,$F$2+1,0))&lt;26,"",COUNTIFS(Home!$D$3:$D$976,$F$2,Home!$E$3:$E$976,$D$2,Home!$C$3:$C$976,26,Home!$AE$3:$AE$976,3))</f>
        <v/>
      </c>
      <c r="AB21" s="97">
        <f>IF(DAY(DATE($D$2,$F$2+1,0))&lt;27,"",COUNTIFS(Home!$D$3:$D$976,$F$2,Home!$E$3:$E$976,$D$2,Home!$C$3:$C$976,27,Home!$AE$3:$AE$976,3))</f>
        <v/>
      </c>
      <c r="AC21" s="97">
        <f>IF(DAY(DATE($D$2,$F$2+1,0))&lt;28,"",COUNTIFS(Home!$D$3:$D$976,$F$2,Home!$E$3:$E$976,$D$2,Home!$C$3:$C$976,28,Home!$AE$3:$AE$976,3))</f>
        <v/>
      </c>
      <c r="AD21" s="97">
        <f>IF(DAY(DATE($D$2,$F$2+1,0))&lt;29,"",COUNTIFS(Home!$D$3:$D$976,$F$2,Home!$E$3:$E$976,$D$2,Home!$C$3:$C$976,29,Home!$AE$3:$AE$976,3))</f>
        <v/>
      </c>
      <c r="AE21" s="97">
        <f>IF(DAY(DATE($D$2,$F$2+1,0))&lt;30,"",COUNTIFS(Home!$D$3:$D$976,$F$2,Home!$E$3:$E$976,$D$2,Home!$C$3:$C$976,30,Home!$AE$3:$AE$976,3))</f>
        <v/>
      </c>
      <c r="AF21" s="97">
        <f>IF(DAY(DATE($D$2,$F$2+1,0))&lt;31,"",COUNTIFS(Home!$D$3:$D$976,$F$2,Home!$E$3:$E$976,$D$2,Home!$C$3:$C$976,31,Home!$AE$3:$AE$976,3))</f>
        <v/>
      </c>
    </row>
    <row r="22" ht="14" customHeight="1" s="58">
      <c r="A22" s="90" t="inlineStr">
        <is>
          <t>04h</t>
        </is>
      </c>
      <c r="B22" s="97">
        <f>IF(DAY(DATE($D$2,$F$2+1,0))&lt;1,"",COUNTIFS(Home!$D$3:$D$976,$F$2,Home!$E$3:$E$976,$D$2,Home!$C$3:$C$976,1,Home!$AE$3:$AE$976,4))</f>
        <v/>
      </c>
      <c r="C22" s="97">
        <f>IF(DAY(DATE($D$2,$F$2+1,0))&lt;2,"",COUNTIFS(Home!$D$3:$D$976,$F$2,Home!$E$3:$E$976,$D$2,Home!$C$3:$C$976,2,Home!$AE$3:$AE$976,4))</f>
        <v/>
      </c>
      <c r="D22" s="97">
        <f>IF(DAY(DATE($D$2,$F$2+1,0))&lt;3,"",COUNTIFS(Home!$D$3:$D$976,$F$2,Home!$E$3:$E$976,$D$2,Home!$C$3:$C$976,3,Home!$AE$3:$AE$976,4))</f>
        <v/>
      </c>
      <c r="E22" s="97">
        <f>IF(DAY(DATE($D$2,$F$2+1,0))&lt;4,"",COUNTIFS(Home!$D$3:$D$976,$F$2,Home!$E$3:$E$976,$D$2,Home!$C$3:$C$976,4,Home!$AE$3:$AE$976,4))</f>
        <v/>
      </c>
      <c r="F22" s="97">
        <f>IF(DAY(DATE($D$2,$F$2+1,0))&lt;5,"",COUNTIFS(Home!$D$3:$D$976,$F$2,Home!$E$3:$E$976,$D$2,Home!$C$3:$C$976,5,Home!$AE$3:$AE$976,4))</f>
        <v/>
      </c>
      <c r="G22" s="97">
        <f>IF(DAY(DATE($D$2,$F$2+1,0))&lt;6,"",COUNTIFS(Home!$D$3:$D$976,$F$2,Home!$E$3:$E$976,$D$2,Home!$C$3:$C$976,6,Home!$AE$3:$AE$976,4))</f>
        <v/>
      </c>
      <c r="H22" s="97">
        <f>IF(DAY(DATE($D$2,$F$2+1,0))&lt;7,"",COUNTIFS(Home!$D$3:$D$976,$F$2,Home!$E$3:$E$976,$D$2,Home!$C$3:$C$976,7,Home!$AE$3:$AE$976,4))</f>
        <v/>
      </c>
      <c r="I22" s="97">
        <f>IF(DAY(DATE($D$2,$F$2+1,0))&lt;8,"",COUNTIFS(Home!$D$3:$D$976,$F$2,Home!$E$3:$E$976,$D$2,Home!$C$3:$C$976,8,Home!$AE$3:$AE$976,4))</f>
        <v/>
      </c>
      <c r="J22" s="97">
        <f>IF(DAY(DATE($D$2,$F$2+1,0))&lt;9,"",COUNTIFS(Home!$D$3:$D$976,$F$2,Home!$E$3:$E$976,$D$2,Home!$C$3:$C$976,9,Home!$AE$3:$AE$976,4))</f>
        <v/>
      </c>
      <c r="K22" s="97">
        <f>IF(DAY(DATE($D$2,$F$2+1,0))&lt;10,"",COUNTIFS(Home!$D$3:$D$976,$F$2,Home!$E$3:$E$976,$D$2,Home!$C$3:$C$976,10,Home!$AE$3:$AE$976,4))</f>
        <v/>
      </c>
      <c r="L22" s="97">
        <f>IF(DAY(DATE($D$2,$F$2+1,0))&lt;11,"",COUNTIFS(Home!$D$3:$D$976,$F$2,Home!$E$3:$E$976,$D$2,Home!$C$3:$C$976,11,Home!$AE$3:$AE$976,4))</f>
        <v/>
      </c>
      <c r="M22" s="97">
        <f>IF(DAY(DATE($D$2,$F$2+1,0))&lt;12,"",COUNTIFS(Home!$D$3:$D$976,$F$2,Home!$E$3:$E$976,$D$2,Home!$C$3:$C$976,12,Home!$AE$3:$AE$976,4))</f>
        <v/>
      </c>
      <c r="N22" s="97">
        <f>IF(DAY(DATE($D$2,$F$2+1,0))&lt;13,"",COUNTIFS(Home!$D$3:$D$976,$F$2,Home!$E$3:$E$976,$D$2,Home!$C$3:$C$976,13,Home!$AE$3:$AE$976,4))</f>
        <v/>
      </c>
      <c r="O22" s="97">
        <f>IF(DAY(DATE($D$2,$F$2+1,0))&lt;14,"",COUNTIFS(Home!$D$3:$D$976,$F$2,Home!$E$3:$E$976,$D$2,Home!$C$3:$C$976,14,Home!$AE$3:$AE$976,4))</f>
        <v/>
      </c>
      <c r="P22" s="97">
        <f>IF(DAY(DATE($D$2,$F$2+1,0))&lt;15,"",COUNTIFS(Home!$D$3:$D$976,$F$2,Home!$E$3:$E$976,$D$2,Home!$C$3:$C$976,15,Home!$AE$3:$AE$976,4))</f>
        <v/>
      </c>
      <c r="Q22" s="97">
        <f>IF(DAY(DATE($D$2,$F$2+1,0))&lt;16,"",COUNTIFS(Home!$D$3:$D$976,$F$2,Home!$E$3:$E$976,$D$2,Home!$C$3:$C$976,16,Home!$AE$3:$AE$976,4))</f>
        <v/>
      </c>
      <c r="R22" s="97">
        <f>IF(DAY(DATE($D$2,$F$2+1,0))&lt;17,"",COUNTIFS(Home!$D$3:$D$976,$F$2,Home!$E$3:$E$976,$D$2,Home!$C$3:$C$976,17,Home!$AE$3:$AE$976,4))</f>
        <v/>
      </c>
      <c r="S22" s="97">
        <f>IF(DAY(DATE($D$2,$F$2+1,0))&lt;18,"",COUNTIFS(Home!$D$3:$D$976,$F$2,Home!$E$3:$E$976,$D$2,Home!$C$3:$C$976,18,Home!$AE$3:$AE$976,4))</f>
        <v/>
      </c>
      <c r="T22" s="97">
        <f>IF(DAY(DATE($D$2,$F$2+1,0))&lt;19,"",COUNTIFS(Home!$D$3:$D$976,$F$2,Home!$E$3:$E$976,$D$2,Home!$C$3:$C$976,19,Home!$AE$3:$AE$976,4))</f>
        <v/>
      </c>
      <c r="U22" s="97">
        <f>IF(DAY(DATE($D$2,$F$2+1,0))&lt;20,"",COUNTIFS(Home!$D$3:$D$976,$F$2,Home!$E$3:$E$976,$D$2,Home!$C$3:$C$976,20,Home!$AE$3:$AE$976,4))</f>
        <v/>
      </c>
      <c r="V22" s="97">
        <f>IF(DAY(DATE($D$2,$F$2+1,0))&lt;21,"",COUNTIFS(Home!$D$3:$D$976,$F$2,Home!$E$3:$E$976,$D$2,Home!$C$3:$C$976,21,Home!$AE$3:$AE$976,4))</f>
        <v/>
      </c>
      <c r="W22" s="97">
        <f>IF(DAY(DATE($D$2,$F$2+1,0))&lt;22,"",COUNTIFS(Home!$D$3:$D$976,$F$2,Home!$E$3:$E$976,$D$2,Home!$C$3:$C$976,22,Home!$AE$3:$AE$976,4))</f>
        <v/>
      </c>
      <c r="X22" s="97">
        <f>IF(DAY(DATE($D$2,$F$2+1,0))&lt;23,"",COUNTIFS(Home!$D$3:$D$976,$F$2,Home!$E$3:$E$976,$D$2,Home!$C$3:$C$976,23,Home!$AE$3:$AE$976,4))</f>
        <v/>
      </c>
      <c r="Y22" s="97">
        <f>IF(DAY(DATE($D$2,$F$2+1,0))&lt;24,"",COUNTIFS(Home!$D$3:$D$976,$F$2,Home!$E$3:$E$976,$D$2,Home!$C$3:$C$976,24,Home!$AE$3:$AE$976,4))</f>
        <v/>
      </c>
      <c r="Z22" s="97">
        <f>IF(DAY(DATE($D$2,$F$2+1,0))&lt;25,"",COUNTIFS(Home!$D$3:$D$976,$F$2,Home!$E$3:$E$976,$D$2,Home!$C$3:$C$976,25,Home!$AE$3:$AE$976,4))</f>
        <v/>
      </c>
      <c r="AA22" s="97">
        <f>IF(DAY(DATE($D$2,$F$2+1,0))&lt;26,"",COUNTIFS(Home!$D$3:$D$976,$F$2,Home!$E$3:$E$976,$D$2,Home!$C$3:$C$976,26,Home!$AE$3:$AE$976,4))</f>
        <v/>
      </c>
      <c r="AB22" s="97">
        <f>IF(DAY(DATE($D$2,$F$2+1,0))&lt;27,"",COUNTIFS(Home!$D$3:$D$976,$F$2,Home!$E$3:$E$976,$D$2,Home!$C$3:$C$976,27,Home!$AE$3:$AE$976,4))</f>
        <v/>
      </c>
      <c r="AC22" s="97">
        <f>IF(DAY(DATE($D$2,$F$2+1,0))&lt;28,"",COUNTIFS(Home!$D$3:$D$976,$F$2,Home!$E$3:$E$976,$D$2,Home!$C$3:$C$976,28,Home!$AE$3:$AE$976,4))</f>
        <v/>
      </c>
      <c r="AD22" s="97">
        <f>IF(DAY(DATE($D$2,$F$2+1,0))&lt;29,"",COUNTIFS(Home!$D$3:$D$976,$F$2,Home!$E$3:$E$976,$D$2,Home!$C$3:$C$976,29,Home!$AE$3:$AE$976,4))</f>
        <v/>
      </c>
      <c r="AE22" s="97">
        <f>IF(DAY(DATE($D$2,$F$2+1,0))&lt;30,"",COUNTIFS(Home!$D$3:$D$976,$F$2,Home!$E$3:$E$976,$D$2,Home!$C$3:$C$976,30,Home!$AE$3:$AE$976,4))</f>
        <v/>
      </c>
      <c r="AF22" s="97">
        <f>IF(DAY(DATE($D$2,$F$2+1,0))&lt;31,"",COUNTIFS(Home!$D$3:$D$976,$F$2,Home!$E$3:$E$976,$D$2,Home!$C$3:$C$976,31,Home!$AE$3:$AE$976,4))</f>
        <v/>
      </c>
    </row>
    <row r="23" ht="14" customHeight="1" s="58">
      <c r="A23" s="90" t="inlineStr">
        <is>
          <t>05h</t>
        </is>
      </c>
      <c r="B23" s="97">
        <f>IF(DAY(DATE($D$2,$F$2+1,0))&lt;1,"",COUNTIFS(Home!$D$3:$D$976,$F$2,Home!$E$3:$E$976,$D$2,Home!$C$3:$C$976,1,Home!$AE$3:$AE$976,5))</f>
        <v/>
      </c>
      <c r="C23" s="97">
        <f>IF(DAY(DATE($D$2,$F$2+1,0))&lt;2,"",COUNTIFS(Home!$D$3:$D$976,$F$2,Home!$E$3:$E$976,$D$2,Home!$C$3:$C$976,2,Home!$AE$3:$AE$976,5))</f>
        <v/>
      </c>
      <c r="D23" s="97">
        <f>IF(DAY(DATE($D$2,$F$2+1,0))&lt;3,"",COUNTIFS(Home!$D$3:$D$976,$F$2,Home!$E$3:$E$976,$D$2,Home!$C$3:$C$976,3,Home!$AE$3:$AE$976,5))</f>
        <v/>
      </c>
      <c r="E23" s="97">
        <f>IF(DAY(DATE($D$2,$F$2+1,0))&lt;4,"",COUNTIFS(Home!$D$3:$D$976,$F$2,Home!$E$3:$E$976,$D$2,Home!$C$3:$C$976,4,Home!$AE$3:$AE$976,5))</f>
        <v/>
      </c>
      <c r="F23" s="97">
        <f>IF(DAY(DATE($D$2,$F$2+1,0))&lt;5,"",COUNTIFS(Home!$D$3:$D$976,$F$2,Home!$E$3:$E$976,$D$2,Home!$C$3:$C$976,5,Home!$AE$3:$AE$976,5))</f>
        <v/>
      </c>
      <c r="G23" s="97">
        <f>IF(DAY(DATE($D$2,$F$2+1,0))&lt;6,"",COUNTIFS(Home!$D$3:$D$976,$F$2,Home!$E$3:$E$976,$D$2,Home!$C$3:$C$976,6,Home!$AE$3:$AE$976,5))</f>
        <v/>
      </c>
      <c r="H23" s="97">
        <f>IF(DAY(DATE($D$2,$F$2+1,0))&lt;7,"",COUNTIFS(Home!$D$3:$D$976,$F$2,Home!$E$3:$E$976,$D$2,Home!$C$3:$C$976,7,Home!$AE$3:$AE$976,5))</f>
        <v/>
      </c>
      <c r="I23" s="97">
        <f>IF(DAY(DATE($D$2,$F$2+1,0))&lt;8,"",COUNTIFS(Home!$D$3:$D$976,$F$2,Home!$E$3:$E$976,$D$2,Home!$C$3:$C$976,8,Home!$AE$3:$AE$976,5))</f>
        <v/>
      </c>
      <c r="J23" s="97">
        <f>IF(DAY(DATE($D$2,$F$2+1,0))&lt;9,"",COUNTIFS(Home!$D$3:$D$976,$F$2,Home!$E$3:$E$976,$D$2,Home!$C$3:$C$976,9,Home!$AE$3:$AE$976,5))</f>
        <v/>
      </c>
      <c r="K23" s="97">
        <f>IF(DAY(DATE($D$2,$F$2+1,0))&lt;10,"",COUNTIFS(Home!$D$3:$D$976,$F$2,Home!$E$3:$E$976,$D$2,Home!$C$3:$C$976,10,Home!$AE$3:$AE$976,5))</f>
        <v/>
      </c>
      <c r="L23" s="97">
        <f>IF(DAY(DATE($D$2,$F$2+1,0))&lt;11,"",COUNTIFS(Home!$D$3:$D$976,$F$2,Home!$E$3:$E$976,$D$2,Home!$C$3:$C$976,11,Home!$AE$3:$AE$976,5))</f>
        <v/>
      </c>
      <c r="M23" s="97">
        <f>IF(DAY(DATE($D$2,$F$2+1,0))&lt;12,"",COUNTIFS(Home!$D$3:$D$976,$F$2,Home!$E$3:$E$976,$D$2,Home!$C$3:$C$976,12,Home!$AE$3:$AE$976,5))</f>
        <v/>
      </c>
      <c r="N23" s="97">
        <f>IF(DAY(DATE($D$2,$F$2+1,0))&lt;13,"",COUNTIFS(Home!$D$3:$D$976,$F$2,Home!$E$3:$E$976,$D$2,Home!$C$3:$C$976,13,Home!$AE$3:$AE$976,5))</f>
        <v/>
      </c>
      <c r="O23" s="97">
        <f>IF(DAY(DATE($D$2,$F$2+1,0))&lt;14,"",COUNTIFS(Home!$D$3:$D$976,$F$2,Home!$E$3:$E$976,$D$2,Home!$C$3:$C$976,14,Home!$AE$3:$AE$976,5))</f>
        <v/>
      </c>
      <c r="P23" s="97">
        <f>IF(DAY(DATE($D$2,$F$2+1,0))&lt;15,"",COUNTIFS(Home!$D$3:$D$976,$F$2,Home!$E$3:$E$976,$D$2,Home!$C$3:$C$976,15,Home!$AE$3:$AE$976,5))</f>
        <v/>
      </c>
      <c r="Q23" s="97">
        <f>IF(DAY(DATE($D$2,$F$2+1,0))&lt;16,"",COUNTIFS(Home!$D$3:$D$976,$F$2,Home!$E$3:$E$976,$D$2,Home!$C$3:$C$976,16,Home!$AE$3:$AE$976,5))</f>
        <v/>
      </c>
      <c r="R23" s="97">
        <f>IF(DAY(DATE($D$2,$F$2+1,0))&lt;17,"",COUNTIFS(Home!$D$3:$D$976,$F$2,Home!$E$3:$E$976,$D$2,Home!$C$3:$C$976,17,Home!$AE$3:$AE$976,5))</f>
        <v/>
      </c>
      <c r="S23" s="97">
        <f>IF(DAY(DATE($D$2,$F$2+1,0))&lt;18,"",COUNTIFS(Home!$D$3:$D$976,$F$2,Home!$E$3:$E$976,$D$2,Home!$C$3:$C$976,18,Home!$AE$3:$AE$976,5))</f>
        <v/>
      </c>
      <c r="T23" s="97">
        <f>IF(DAY(DATE($D$2,$F$2+1,0))&lt;19,"",COUNTIFS(Home!$D$3:$D$976,$F$2,Home!$E$3:$E$976,$D$2,Home!$C$3:$C$976,19,Home!$AE$3:$AE$976,5))</f>
        <v/>
      </c>
      <c r="U23" s="97">
        <f>IF(DAY(DATE($D$2,$F$2+1,0))&lt;20,"",COUNTIFS(Home!$D$3:$D$976,$F$2,Home!$E$3:$E$976,$D$2,Home!$C$3:$C$976,20,Home!$AE$3:$AE$976,5))</f>
        <v/>
      </c>
      <c r="V23" s="97">
        <f>IF(DAY(DATE($D$2,$F$2+1,0))&lt;21,"",COUNTIFS(Home!$D$3:$D$976,$F$2,Home!$E$3:$E$976,$D$2,Home!$C$3:$C$976,21,Home!$AE$3:$AE$976,5))</f>
        <v/>
      </c>
      <c r="W23" s="97">
        <f>IF(DAY(DATE($D$2,$F$2+1,0))&lt;22,"",COUNTIFS(Home!$D$3:$D$976,$F$2,Home!$E$3:$E$976,$D$2,Home!$C$3:$C$976,22,Home!$AE$3:$AE$976,5))</f>
        <v/>
      </c>
      <c r="X23" s="97">
        <f>IF(DAY(DATE($D$2,$F$2+1,0))&lt;23,"",COUNTIFS(Home!$D$3:$D$976,$F$2,Home!$E$3:$E$976,$D$2,Home!$C$3:$C$976,23,Home!$AE$3:$AE$976,5))</f>
        <v/>
      </c>
      <c r="Y23" s="97">
        <f>IF(DAY(DATE($D$2,$F$2+1,0))&lt;24,"",COUNTIFS(Home!$D$3:$D$976,$F$2,Home!$E$3:$E$976,$D$2,Home!$C$3:$C$976,24,Home!$AE$3:$AE$976,5))</f>
        <v/>
      </c>
      <c r="Z23" s="97">
        <f>IF(DAY(DATE($D$2,$F$2+1,0))&lt;25,"",COUNTIFS(Home!$D$3:$D$976,$F$2,Home!$E$3:$E$976,$D$2,Home!$C$3:$C$976,25,Home!$AE$3:$AE$976,5))</f>
        <v/>
      </c>
      <c r="AA23" s="97">
        <f>IF(DAY(DATE($D$2,$F$2+1,0))&lt;26,"",COUNTIFS(Home!$D$3:$D$976,$F$2,Home!$E$3:$E$976,$D$2,Home!$C$3:$C$976,26,Home!$AE$3:$AE$976,5))</f>
        <v/>
      </c>
      <c r="AB23" s="97">
        <f>IF(DAY(DATE($D$2,$F$2+1,0))&lt;27,"",COUNTIFS(Home!$D$3:$D$976,$F$2,Home!$E$3:$E$976,$D$2,Home!$C$3:$C$976,27,Home!$AE$3:$AE$976,5))</f>
        <v/>
      </c>
      <c r="AC23" s="97">
        <f>IF(DAY(DATE($D$2,$F$2+1,0))&lt;28,"",COUNTIFS(Home!$D$3:$D$976,$F$2,Home!$E$3:$E$976,$D$2,Home!$C$3:$C$976,28,Home!$AE$3:$AE$976,5))</f>
        <v/>
      </c>
      <c r="AD23" s="97">
        <f>IF(DAY(DATE($D$2,$F$2+1,0))&lt;29,"",COUNTIFS(Home!$D$3:$D$976,$F$2,Home!$E$3:$E$976,$D$2,Home!$C$3:$C$976,29,Home!$AE$3:$AE$976,5))</f>
        <v/>
      </c>
      <c r="AE23" s="97">
        <f>IF(DAY(DATE($D$2,$F$2+1,0))&lt;30,"",COUNTIFS(Home!$D$3:$D$976,$F$2,Home!$E$3:$E$976,$D$2,Home!$C$3:$C$976,30,Home!$AE$3:$AE$976,5))</f>
        <v/>
      </c>
      <c r="AF23" s="97">
        <f>IF(DAY(DATE($D$2,$F$2+1,0))&lt;31,"",COUNTIFS(Home!$D$3:$D$976,$F$2,Home!$E$3:$E$976,$D$2,Home!$C$3:$C$976,31,Home!$AE$3:$AE$976,5))</f>
        <v/>
      </c>
    </row>
    <row r="24" ht="14" customHeight="1" s="58">
      <c r="A24" s="90" t="inlineStr">
        <is>
          <t>06h</t>
        </is>
      </c>
      <c r="B24" s="97">
        <f>IF(DAY(DATE($D$2,$F$2+1,0))&lt;1,"",COUNTIFS(Home!$D$3:$D$976,$F$2,Home!$E$3:$E$976,$D$2,Home!$C$3:$C$976,1,Home!$AE$3:$AE$976,6))</f>
        <v/>
      </c>
      <c r="C24" s="97">
        <f>IF(DAY(DATE($D$2,$F$2+1,0))&lt;2,"",COUNTIFS(Home!$D$3:$D$976,$F$2,Home!$E$3:$E$976,$D$2,Home!$C$3:$C$976,2,Home!$AE$3:$AE$976,6))</f>
        <v/>
      </c>
      <c r="D24" s="97">
        <f>IF(DAY(DATE($D$2,$F$2+1,0))&lt;3,"",COUNTIFS(Home!$D$3:$D$976,$F$2,Home!$E$3:$E$976,$D$2,Home!$C$3:$C$976,3,Home!$AE$3:$AE$976,6))</f>
        <v/>
      </c>
      <c r="E24" s="97">
        <f>IF(DAY(DATE($D$2,$F$2+1,0))&lt;4,"",COUNTIFS(Home!$D$3:$D$976,$F$2,Home!$E$3:$E$976,$D$2,Home!$C$3:$C$976,4,Home!$AE$3:$AE$976,6))</f>
        <v/>
      </c>
      <c r="F24" s="97">
        <f>IF(DAY(DATE($D$2,$F$2+1,0))&lt;5,"",COUNTIFS(Home!$D$3:$D$976,$F$2,Home!$E$3:$E$976,$D$2,Home!$C$3:$C$976,5,Home!$AE$3:$AE$976,6))</f>
        <v/>
      </c>
      <c r="G24" s="97">
        <f>IF(DAY(DATE($D$2,$F$2+1,0))&lt;6,"",COUNTIFS(Home!$D$3:$D$976,$F$2,Home!$E$3:$E$976,$D$2,Home!$C$3:$C$976,6,Home!$AE$3:$AE$976,6))</f>
        <v/>
      </c>
      <c r="H24" s="97">
        <f>IF(DAY(DATE($D$2,$F$2+1,0))&lt;7,"",COUNTIFS(Home!$D$3:$D$976,$F$2,Home!$E$3:$E$976,$D$2,Home!$C$3:$C$976,7,Home!$AE$3:$AE$976,6))</f>
        <v/>
      </c>
      <c r="I24" s="97">
        <f>IF(DAY(DATE($D$2,$F$2+1,0))&lt;8,"",COUNTIFS(Home!$D$3:$D$976,$F$2,Home!$E$3:$E$976,$D$2,Home!$C$3:$C$976,8,Home!$AE$3:$AE$976,6))</f>
        <v/>
      </c>
      <c r="J24" s="97">
        <f>IF(DAY(DATE($D$2,$F$2+1,0))&lt;9,"",COUNTIFS(Home!$D$3:$D$976,$F$2,Home!$E$3:$E$976,$D$2,Home!$C$3:$C$976,9,Home!$AE$3:$AE$976,6))</f>
        <v/>
      </c>
      <c r="K24" s="97">
        <f>IF(DAY(DATE($D$2,$F$2+1,0))&lt;10,"",COUNTIFS(Home!$D$3:$D$976,$F$2,Home!$E$3:$E$976,$D$2,Home!$C$3:$C$976,10,Home!$AE$3:$AE$976,6))</f>
        <v/>
      </c>
      <c r="L24" s="97">
        <f>IF(DAY(DATE($D$2,$F$2+1,0))&lt;11,"",COUNTIFS(Home!$D$3:$D$976,$F$2,Home!$E$3:$E$976,$D$2,Home!$C$3:$C$976,11,Home!$AE$3:$AE$976,6))</f>
        <v/>
      </c>
      <c r="M24" s="97">
        <f>IF(DAY(DATE($D$2,$F$2+1,0))&lt;12,"",COUNTIFS(Home!$D$3:$D$976,$F$2,Home!$E$3:$E$976,$D$2,Home!$C$3:$C$976,12,Home!$AE$3:$AE$976,6))</f>
        <v/>
      </c>
      <c r="N24" s="97">
        <f>IF(DAY(DATE($D$2,$F$2+1,0))&lt;13,"",COUNTIFS(Home!$D$3:$D$976,$F$2,Home!$E$3:$E$976,$D$2,Home!$C$3:$C$976,13,Home!$AE$3:$AE$976,6))</f>
        <v/>
      </c>
      <c r="O24" s="97">
        <f>IF(DAY(DATE($D$2,$F$2+1,0))&lt;14,"",COUNTIFS(Home!$D$3:$D$976,$F$2,Home!$E$3:$E$976,$D$2,Home!$C$3:$C$976,14,Home!$AE$3:$AE$976,6))</f>
        <v/>
      </c>
      <c r="P24" s="97">
        <f>IF(DAY(DATE($D$2,$F$2+1,0))&lt;15,"",COUNTIFS(Home!$D$3:$D$976,$F$2,Home!$E$3:$E$976,$D$2,Home!$C$3:$C$976,15,Home!$AE$3:$AE$976,6))</f>
        <v/>
      </c>
      <c r="Q24" s="97">
        <f>IF(DAY(DATE($D$2,$F$2+1,0))&lt;16,"",COUNTIFS(Home!$D$3:$D$976,$F$2,Home!$E$3:$E$976,$D$2,Home!$C$3:$C$976,16,Home!$AE$3:$AE$976,6))</f>
        <v/>
      </c>
      <c r="R24" s="97">
        <f>IF(DAY(DATE($D$2,$F$2+1,0))&lt;17,"",COUNTIFS(Home!$D$3:$D$976,$F$2,Home!$E$3:$E$976,$D$2,Home!$C$3:$C$976,17,Home!$AE$3:$AE$976,6))</f>
        <v/>
      </c>
      <c r="S24" s="97">
        <f>IF(DAY(DATE($D$2,$F$2+1,0))&lt;18,"",COUNTIFS(Home!$D$3:$D$976,$F$2,Home!$E$3:$E$976,$D$2,Home!$C$3:$C$976,18,Home!$AE$3:$AE$976,6))</f>
        <v/>
      </c>
      <c r="T24" s="97">
        <f>IF(DAY(DATE($D$2,$F$2+1,0))&lt;19,"",COUNTIFS(Home!$D$3:$D$976,$F$2,Home!$E$3:$E$976,$D$2,Home!$C$3:$C$976,19,Home!$AE$3:$AE$976,6))</f>
        <v/>
      </c>
      <c r="U24" s="97">
        <f>IF(DAY(DATE($D$2,$F$2+1,0))&lt;20,"",COUNTIFS(Home!$D$3:$D$976,$F$2,Home!$E$3:$E$976,$D$2,Home!$C$3:$C$976,20,Home!$AE$3:$AE$976,6))</f>
        <v/>
      </c>
      <c r="V24" s="97">
        <f>IF(DAY(DATE($D$2,$F$2+1,0))&lt;21,"",COUNTIFS(Home!$D$3:$D$976,$F$2,Home!$E$3:$E$976,$D$2,Home!$C$3:$C$976,21,Home!$AE$3:$AE$976,6))</f>
        <v/>
      </c>
      <c r="W24" s="97">
        <f>IF(DAY(DATE($D$2,$F$2+1,0))&lt;22,"",COUNTIFS(Home!$D$3:$D$976,$F$2,Home!$E$3:$E$976,$D$2,Home!$C$3:$C$976,22,Home!$AE$3:$AE$976,6))</f>
        <v/>
      </c>
      <c r="X24" s="97">
        <f>IF(DAY(DATE($D$2,$F$2+1,0))&lt;23,"",COUNTIFS(Home!$D$3:$D$976,$F$2,Home!$E$3:$E$976,$D$2,Home!$C$3:$C$976,23,Home!$AE$3:$AE$976,6))</f>
        <v/>
      </c>
      <c r="Y24" s="97">
        <f>IF(DAY(DATE($D$2,$F$2+1,0))&lt;24,"",COUNTIFS(Home!$D$3:$D$976,$F$2,Home!$E$3:$E$976,$D$2,Home!$C$3:$C$976,24,Home!$AE$3:$AE$976,6))</f>
        <v/>
      </c>
      <c r="Z24" s="97">
        <f>IF(DAY(DATE($D$2,$F$2+1,0))&lt;25,"",COUNTIFS(Home!$D$3:$D$976,$F$2,Home!$E$3:$E$976,$D$2,Home!$C$3:$C$976,25,Home!$AE$3:$AE$976,6))</f>
        <v/>
      </c>
      <c r="AA24" s="97">
        <f>IF(DAY(DATE($D$2,$F$2+1,0))&lt;26,"",COUNTIFS(Home!$D$3:$D$976,$F$2,Home!$E$3:$E$976,$D$2,Home!$C$3:$C$976,26,Home!$AE$3:$AE$976,6))</f>
        <v/>
      </c>
      <c r="AB24" s="97">
        <f>IF(DAY(DATE($D$2,$F$2+1,0))&lt;27,"",COUNTIFS(Home!$D$3:$D$976,$F$2,Home!$E$3:$E$976,$D$2,Home!$C$3:$C$976,27,Home!$AE$3:$AE$976,6))</f>
        <v/>
      </c>
      <c r="AC24" s="97">
        <f>IF(DAY(DATE($D$2,$F$2+1,0))&lt;28,"",COUNTIFS(Home!$D$3:$D$976,$F$2,Home!$E$3:$E$976,$D$2,Home!$C$3:$C$976,28,Home!$AE$3:$AE$976,6))</f>
        <v/>
      </c>
      <c r="AD24" s="97">
        <f>IF(DAY(DATE($D$2,$F$2+1,0))&lt;29,"",COUNTIFS(Home!$D$3:$D$976,$F$2,Home!$E$3:$E$976,$D$2,Home!$C$3:$C$976,29,Home!$AE$3:$AE$976,6))</f>
        <v/>
      </c>
      <c r="AE24" s="97">
        <f>IF(DAY(DATE($D$2,$F$2+1,0))&lt;30,"",COUNTIFS(Home!$D$3:$D$976,$F$2,Home!$E$3:$E$976,$D$2,Home!$C$3:$C$976,30,Home!$AE$3:$AE$976,6))</f>
        <v/>
      </c>
      <c r="AF24" s="97">
        <f>IF(DAY(DATE($D$2,$F$2+1,0))&lt;31,"",COUNTIFS(Home!$D$3:$D$976,$F$2,Home!$E$3:$E$976,$D$2,Home!$C$3:$C$976,31,Home!$AE$3:$AE$976,6))</f>
        <v/>
      </c>
    </row>
    <row r="25" ht="14" customHeight="1" s="58">
      <c r="A25" s="90" t="inlineStr">
        <is>
          <t>07h</t>
        </is>
      </c>
      <c r="B25" s="97">
        <f>IF(DAY(DATE($D$2,$F$2+1,0))&lt;1,"",COUNTIFS(Home!$D$3:$D$976,$F$2,Home!$E$3:$E$976,$D$2,Home!$C$3:$C$976,1,Home!$AE$3:$AE$976,7))</f>
        <v/>
      </c>
      <c r="C25" s="97">
        <f>IF(DAY(DATE($D$2,$F$2+1,0))&lt;2,"",COUNTIFS(Home!$D$3:$D$976,$F$2,Home!$E$3:$E$976,$D$2,Home!$C$3:$C$976,2,Home!$AE$3:$AE$976,7))</f>
        <v/>
      </c>
      <c r="D25" s="97">
        <f>IF(DAY(DATE($D$2,$F$2+1,0))&lt;3,"",COUNTIFS(Home!$D$3:$D$976,$F$2,Home!$E$3:$E$976,$D$2,Home!$C$3:$C$976,3,Home!$AE$3:$AE$976,7))</f>
        <v/>
      </c>
      <c r="E25" s="97">
        <f>IF(DAY(DATE($D$2,$F$2+1,0))&lt;4,"",COUNTIFS(Home!$D$3:$D$976,$F$2,Home!$E$3:$E$976,$D$2,Home!$C$3:$C$976,4,Home!$AE$3:$AE$976,7))</f>
        <v/>
      </c>
      <c r="F25" s="97">
        <f>IF(DAY(DATE($D$2,$F$2+1,0))&lt;5,"",COUNTIFS(Home!$D$3:$D$976,$F$2,Home!$E$3:$E$976,$D$2,Home!$C$3:$C$976,5,Home!$AE$3:$AE$976,7))</f>
        <v/>
      </c>
      <c r="G25" s="97">
        <f>IF(DAY(DATE($D$2,$F$2+1,0))&lt;6,"",COUNTIFS(Home!$D$3:$D$976,$F$2,Home!$E$3:$E$976,$D$2,Home!$C$3:$C$976,6,Home!$AE$3:$AE$976,7))</f>
        <v/>
      </c>
      <c r="H25" s="97">
        <f>IF(DAY(DATE($D$2,$F$2+1,0))&lt;7,"",COUNTIFS(Home!$D$3:$D$976,$F$2,Home!$E$3:$E$976,$D$2,Home!$C$3:$C$976,7,Home!$AE$3:$AE$976,7))</f>
        <v/>
      </c>
      <c r="I25" s="97">
        <f>IF(DAY(DATE($D$2,$F$2+1,0))&lt;8,"",COUNTIFS(Home!$D$3:$D$976,$F$2,Home!$E$3:$E$976,$D$2,Home!$C$3:$C$976,8,Home!$AE$3:$AE$976,7))</f>
        <v/>
      </c>
      <c r="J25" s="97">
        <f>IF(DAY(DATE($D$2,$F$2+1,0))&lt;9,"",COUNTIFS(Home!$D$3:$D$976,$F$2,Home!$E$3:$E$976,$D$2,Home!$C$3:$C$976,9,Home!$AE$3:$AE$976,7))</f>
        <v/>
      </c>
      <c r="K25" s="97">
        <f>IF(DAY(DATE($D$2,$F$2+1,0))&lt;10,"",COUNTIFS(Home!$D$3:$D$976,$F$2,Home!$E$3:$E$976,$D$2,Home!$C$3:$C$976,10,Home!$AE$3:$AE$976,7))</f>
        <v/>
      </c>
      <c r="L25" s="97">
        <f>IF(DAY(DATE($D$2,$F$2+1,0))&lt;11,"",COUNTIFS(Home!$D$3:$D$976,$F$2,Home!$E$3:$E$976,$D$2,Home!$C$3:$C$976,11,Home!$AE$3:$AE$976,7))</f>
        <v/>
      </c>
      <c r="M25" s="97">
        <f>IF(DAY(DATE($D$2,$F$2+1,0))&lt;12,"",COUNTIFS(Home!$D$3:$D$976,$F$2,Home!$E$3:$E$976,$D$2,Home!$C$3:$C$976,12,Home!$AE$3:$AE$976,7))</f>
        <v/>
      </c>
      <c r="N25" s="97">
        <f>IF(DAY(DATE($D$2,$F$2+1,0))&lt;13,"",COUNTIFS(Home!$D$3:$D$976,$F$2,Home!$E$3:$E$976,$D$2,Home!$C$3:$C$976,13,Home!$AE$3:$AE$976,7))</f>
        <v/>
      </c>
      <c r="O25" s="97">
        <f>IF(DAY(DATE($D$2,$F$2+1,0))&lt;14,"",COUNTIFS(Home!$D$3:$D$976,$F$2,Home!$E$3:$E$976,$D$2,Home!$C$3:$C$976,14,Home!$AE$3:$AE$976,7))</f>
        <v/>
      </c>
      <c r="P25" s="97">
        <f>IF(DAY(DATE($D$2,$F$2+1,0))&lt;15,"",COUNTIFS(Home!$D$3:$D$976,$F$2,Home!$E$3:$E$976,$D$2,Home!$C$3:$C$976,15,Home!$AE$3:$AE$976,7))</f>
        <v/>
      </c>
      <c r="Q25" s="97">
        <f>IF(DAY(DATE($D$2,$F$2+1,0))&lt;16,"",COUNTIFS(Home!$D$3:$D$976,$F$2,Home!$E$3:$E$976,$D$2,Home!$C$3:$C$976,16,Home!$AE$3:$AE$976,7))</f>
        <v/>
      </c>
      <c r="R25" s="97">
        <f>IF(DAY(DATE($D$2,$F$2+1,0))&lt;17,"",COUNTIFS(Home!$D$3:$D$976,$F$2,Home!$E$3:$E$976,$D$2,Home!$C$3:$C$976,17,Home!$AE$3:$AE$976,7))</f>
        <v/>
      </c>
      <c r="S25" s="97">
        <f>IF(DAY(DATE($D$2,$F$2+1,0))&lt;18,"",COUNTIFS(Home!$D$3:$D$976,$F$2,Home!$E$3:$E$976,$D$2,Home!$C$3:$C$976,18,Home!$AE$3:$AE$976,7))</f>
        <v/>
      </c>
      <c r="T25" s="97">
        <f>IF(DAY(DATE($D$2,$F$2+1,0))&lt;19,"",COUNTIFS(Home!$D$3:$D$976,$F$2,Home!$E$3:$E$976,$D$2,Home!$C$3:$C$976,19,Home!$AE$3:$AE$976,7))</f>
        <v/>
      </c>
      <c r="U25" s="97">
        <f>IF(DAY(DATE($D$2,$F$2+1,0))&lt;20,"",COUNTIFS(Home!$D$3:$D$976,$F$2,Home!$E$3:$E$976,$D$2,Home!$C$3:$C$976,20,Home!$AE$3:$AE$976,7))</f>
        <v/>
      </c>
      <c r="V25" s="97">
        <f>IF(DAY(DATE($D$2,$F$2+1,0))&lt;21,"",COUNTIFS(Home!$D$3:$D$976,$F$2,Home!$E$3:$E$976,$D$2,Home!$C$3:$C$976,21,Home!$AE$3:$AE$976,7))</f>
        <v/>
      </c>
      <c r="W25" s="97">
        <f>IF(DAY(DATE($D$2,$F$2+1,0))&lt;22,"",COUNTIFS(Home!$D$3:$D$976,$F$2,Home!$E$3:$E$976,$D$2,Home!$C$3:$C$976,22,Home!$AE$3:$AE$976,7))</f>
        <v/>
      </c>
      <c r="X25" s="97">
        <f>IF(DAY(DATE($D$2,$F$2+1,0))&lt;23,"",COUNTIFS(Home!$D$3:$D$976,$F$2,Home!$E$3:$E$976,$D$2,Home!$C$3:$C$976,23,Home!$AE$3:$AE$976,7))</f>
        <v/>
      </c>
      <c r="Y25" s="97">
        <f>IF(DAY(DATE($D$2,$F$2+1,0))&lt;24,"",COUNTIFS(Home!$D$3:$D$976,$F$2,Home!$E$3:$E$976,$D$2,Home!$C$3:$C$976,24,Home!$AE$3:$AE$976,7))</f>
        <v/>
      </c>
      <c r="Z25" s="97">
        <f>IF(DAY(DATE($D$2,$F$2+1,0))&lt;25,"",COUNTIFS(Home!$D$3:$D$976,$F$2,Home!$E$3:$E$976,$D$2,Home!$C$3:$C$976,25,Home!$AE$3:$AE$976,7))</f>
        <v/>
      </c>
      <c r="AA25" s="97">
        <f>IF(DAY(DATE($D$2,$F$2+1,0))&lt;26,"",COUNTIFS(Home!$D$3:$D$976,$F$2,Home!$E$3:$E$976,$D$2,Home!$C$3:$C$976,26,Home!$AE$3:$AE$976,7))</f>
        <v/>
      </c>
      <c r="AB25" s="97">
        <f>IF(DAY(DATE($D$2,$F$2+1,0))&lt;27,"",COUNTIFS(Home!$D$3:$D$976,$F$2,Home!$E$3:$E$976,$D$2,Home!$C$3:$C$976,27,Home!$AE$3:$AE$976,7))</f>
        <v/>
      </c>
      <c r="AC25" s="97">
        <f>IF(DAY(DATE($D$2,$F$2+1,0))&lt;28,"",COUNTIFS(Home!$D$3:$D$976,$F$2,Home!$E$3:$E$976,$D$2,Home!$C$3:$C$976,28,Home!$AE$3:$AE$976,7))</f>
        <v/>
      </c>
      <c r="AD25" s="97">
        <f>IF(DAY(DATE($D$2,$F$2+1,0))&lt;29,"",COUNTIFS(Home!$D$3:$D$976,$F$2,Home!$E$3:$E$976,$D$2,Home!$C$3:$C$976,29,Home!$AE$3:$AE$976,7))</f>
        <v/>
      </c>
      <c r="AE25" s="97">
        <f>IF(DAY(DATE($D$2,$F$2+1,0))&lt;30,"",COUNTIFS(Home!$D$3:$D$976,$F$2,Home!$E$3:$E$976,$D$2,Home!$C$3:$C$976,30,Home!$AE$3:$AE$976,7))</f>
        <v/>
      </c>
      <c r="AF25" s="97">
        <f>IF(DAY(DATE($D$2,$F$2+1,0))&lt;31,"",COUNTIFS(Home!$D$3:$D$976,$F$2,Home!$E$3:$E$976,$D$2,Home!$C$3:$C$976,31,Home!$AE$3:$AE$976,7))</f>
        <v/>
      </c>
    </row>
    <row r="26" ht="14" customHeight="1" s="58">
      <c r="A26" s="90" t="inlineStr">
        <is>
          <t>08h</t>
        </is>
      </c>
      <c r="B26" s="97">
        <f>IF(DAY(DATE($D$2,$F$2+1,0))&lt;1,"",COUNTIFS(Home!$D$3:$D$976,$F$2,Home!$E$3:$E$976,$D$2,Home!$C$3:$C$976,1,Home!$AE$3:$AE$976,8))</f>
        <v/>
      </c>
      <c r="C26" s="97">
        <f>IF(DAY(DATE($D$2,$F$2+1,0))&lt;2,"",COUNTIFS(Home!$D$3:$D$976,$F$2,Home!$E$3:$E$976,$D$2,Home!$C$3:$C$976,2,Home!$AE$3:$AE$976,8))</f>
        <v/>
      </c>
      <c r="D26" s="97">
        <f>IF(DAY(DATE($D$2,$F$2+1,0))&lt;3,"",COUNTIFS(Home!$D$3:$D$976,$F$2,Home!$E$3:$E$976,$D$2,Home!$C$3:$C$976,3,Home!$AE$3:$AE$976,8))</f>
        <v/>
      </c>
      <c r="E26" s="97">
        <f>IF(DAY(DATE($D$2,$F$2+1,0))&lt;4,"",COUNTIFS(Home!$D$3:$D$976,$F$2,Home!$E$3:$E$976,$D$2,Home!$C$3:$C$976,4,Home!$AE$3:$AE$976,8))</f>
        <v/>
      </c>
      <c r="F26" s="97">
        <f>IF(DAY(DATE($D$2,$F$2+1,0))&lt;5,"",COUNTIFS(Home!$D$3:$D$976,$F$2,Home!$E$3:$E$976,$D$2,Home!$C$3:$C$976,5,Home!$AE$3:$AE$976,8))</f>
        <v/>
      </c>
      <c r="G26" s="97">
        <f>IF(DAY(DATE($D$2,$F$2+1,0))&lt;6,"",COUNTIFS(Home!$D$3:$D$976,$F$2,Home!$E$3:$E$976,$D$2,Home!$C$3:$C$976,6,Home!$AE$3:$AE$976,8))</f>
        <v/>
      </c>
      <c r="H26" s="97">
        <f>IF(DAY(DATE($D$2,$F$2+1,0))&lt;7,"",COUNTIFS(Home!$D$3:$D$976,$F$2,Home!$E$3:$E$976,$D$2,Home!$C$3:$C$976,7,Home!$AE$3:$AE$976,8))</f>
        <v/>
      </c>
      <c r="I26" s="97">
        <f>IF(DAY(DATE($D$2,$F$2+1,0))&lt;8,"",COUNTIFS(Home!$D$3:$D$976,$F$2,Home!$E$3:$E$976,$D$2,Home!$C$3:$C$976,8,Home!$AE$3:$AE$976,8))</f>
        <v/>
      </c>
      <c r="J26" s="97">
        <f>IF(DAY(DATE($D$2,$F$2+1,0))&lt;9,"",COUNTIFS(Home!$D$3:$D$976,$F$2,Home!$E$3:$E$976,$D$2,Home!$C$3:$C$976,9,Home!$AE$3:$AE$976,8))</f>
        <v/>
      </c>
      <c r="K26" s="97">
        <f>IF(DAY(DATE($D$2,$F$2+1,0))&lt;10,"",COUNTIFS(Home!$D$3:$D$976,$F$2,Home!$E$3:$E$976,$D$2,Home!$C$3:$C$976,10,Home!$AE$3:$AE$976,8))</f>
        <v/>
      </c>
      <c r="L26" s="97">
        <f>IF(DAY(DATE($D$2,$F$2+1,0))&lt;11,"",COUNTIFS(Home!$D$3:$D$976,$F$2,Home!$E$3:$E$976,$D$2,Home!$C$3:$C$976,11,Home!$AE$3:$AE$976,8))</f>
        <v/>
      </c>
      <c r="M26" s="97">
        <f>IF(DAY(DATE($D$2,$F$2+1,0))&lt;12,"",COUNTIFS(Home!$D$3:$D$976,$F$2,Home!$E$3:$E$976,$D$2,Home!$C$3:$C$976,12,Home!$AE$3:$AE$976,8))</f>
        <v/>
      </c>
      <c r="N26" s="97">
        <f>IF(DAY(DATE($D$2,$F$2+1,0))&lt;13,"",COUNTIFS(Home!$D$3:$D$976,$F$2,Home!$E$3:$E$976,$D$2,Home!$C$3:$C$976,13,Home!$AE$3:$AE$976,8))</f>
        <v/>
      </c>
      <c r="O26" s="97">
        <f>IF(DAY(DATE($D$2,$F$2+1,0))&lt;14,"",COUNTIFS(Home!$D$3:$D$976,$F$2,Home!$E$3:$E$976,$D$2,Home!$C$3:$C$976,14,Home!$AE$3:$AE$976,8))</f>
        <v/>
      </c>
      <c r="P26" s="97">
        <f>IF(DAY(DATE($D$2,$F$2+1,0))&lt;15,"",COUNTIFS(Home!$D$3:$D$976,$F$2,Home!$E$3:$E$976,$D$2,Home!$C$3:$C$976,15,Home!$AE$3:$AE$976,8))</f>
        <v/>
      </c>
      <c r="Q26" s="97">
        <f>IF(DAY(DATE($D$2,$F$2+1,0))&lt;16,"",COUNTIFS(Home!$D$3:$D$976,$F$2,Home!$E$3:$E$976,$D$2,Home!$C$3:$C$976,16,Home!$AE$3:$AE$976,8))</f>
        <v/>
      </c>
      <c r="R26" s="97">
        <f>IF(DAY(DATE($D$2,$F$2+1,0))&lt;17,"",COUNTIFS(Home!$D$3:$D$976,$F$2,Home!$E$3:$E$976,$D$2,Home!$C$3:$C$976,17,Home!$AE$3:$AE$976,8))</f>
        <v/>
      </c>
      <c r="S26" s="97">
        <f>IF(DAY(DATE($D$2,$F$2+1,0))&lt;18,"",COUNTIFS(Home!$D$3:$D$976,$F$2,Home!$E$3:$E$976,$D$2,Home!$C$3:$C$976,18,Home!$AE$3:$AE$976,8))</f>
        <v/>
      </c>
      <c r="T26" s="97">
        <f>IF(DAY(DATE($D$2,$F$2+1,0))&lt;19,"",COUNTIFS(Home!$D$3:$D$976,$F$2,Home!$E$3:$E$976,$D$2,Home!$C$3:$C$976,19,Home!$AE$3:$AE$976,8))</f>
        <v/>
      </c>
      <c r="U26" s="97">
        <f>IF(DAY(DATE($D$2,$F$2+1,0))&lt;20,"",COUNTIFS(Home!$D$3:$D$976,$F$2,Home!$E$3:$E$976,$D$2,Home!$C$3:$C$976,20,Home!$AE$3:$AE$976,8))</f>
        <v/>
      </c>
      <c r="V26" s="97">
        <f>IF(DAY(DATE($D$2,$F$2+1,0))&lt;21,"",COUNTIFS(Home!$D$3:$D$976,$F$2,Home!$E$3:$E$976,$D$2,Home!$C$3:$C$976,21,Home!$AE$3:$AE$976,8))</f>
        <v/>
      </c>
      <c r="W26" s="97">
        <f>IF(DAY(DATE($D$2,$F$2+1,0))&lt;22,"",COUNTIFS(Home!$D$3:$D$976,$F$2,Home!$E$3:$E$976,$D$2,Home!$C$3:$C$976,22,Home!$AE$3:$AE$976,8))</f>
        <v/>
      </c>
      <c r="X26" s="97">
        <f>IF(DAY(DATE($D$2,$F$2+1,0))&lt;23,"",COUNTIFS(Home!$D$3:$D$976,$F$2,Home!$E$3:$E$976,$D$2,Home!$C$3:$C$976,23,Home!$AE$3:$AE$976,8))</f>
        <v/>
      </c>
      <c r="Y26" s="97">
        <f>IF(DAY(DATE($D$2,$F$2+1,0))&lt;24,"",COUNTIFS(Home!$D$3:$D$976,$F$2,Home!$E$3:$E$976,$D$2,Home!$C$3:$C$976,24,Home!$AE$3:$AE$976,8))</f>
        <v/>
      </c>
      <c r="Z26" s="97">
        <f>IF(DAY(DATE($D$2,$F$2+1,0))&lt;25,"",COUNTIFS(Home!$D$3:$D$976,$F$2,Home!$E$3:$E$976,$D$2,Home!$C$3:$C$976,25,Home!$AE$3:$AE$976,8))</f>
        <v/>
      </c>
      <c r="AA26" s="97">
        <f>IF(DAY(DATE($D$2,$F$2+1,0))&lt;26,"",COUNTIFS(Home!$D$3:$D$976,$F$2,Home!$E$3:$E$976,$D$2,Home!$C$3:$C$976,26,Home!$AE$3:$AE$976,8))</f>
        <v/>
      </c>
      <c r="AB26" s="97">
        <f>IF(DAY(DATE($D$2,$F$2+1,0))&lt;27,"",COUNTIFS(Home!$D$3:$D$976,$F$2,Home!$E$3:$E$976,$D$2,Home!$C$3:$C$976,27,Home!$AE$3:$AE$976,8))</f>
        <v/>
      </c>
      <c r="AC26" s="97">
        <f>IF(DAY(DATE($D$2,$F$2+1,0))&lt;28,"",COUNTIFS(Home!$D$3:$D$976,$F$2,Home!$E$3:$E$976,$D$2,Home!$C$3:$C$976,28,Home!$AE$3:$AE$976,8))</f>
        <v/>
      </c>
      <c r="AD26" s="97">
        <f>IF(DAY(DATE($D$2,$F$2+1,0))&lt;29,"",COUNTIFS(Home!$D$3:$D$976,$F$2,Home!$E$3:$E$976,$D$2,Home!$C$3:$C$976,29,Home!$AE$3:$AE$976,8))</f>
        <v/>
      </c>
      <c r="AE26" s="97">
        <f>IF(DAY(DATE($D$2,$F$2+1,0))&lt;30,"",COUNTIFS(Home!$D$3:$D$976,$F$2,Home!$E$3:$E$976,$D$2,Home!$C$3:$C$976,30,Home!$AE$3:$AE$976,8))</f>
        <v/>
      </c>
      <c r="AF26" s="97">
        <f>IF(DAY(DATE($D$2,$F$2+1,0))&lt;31,"",COUNTIFS(Home!$D$3:$D$976,$F$2,Home!$E$3:$E$976,$D$2,Home!$C$3:$C$976,31,Home!$AE$3:$AE$976,8))</f>
        <v/>
      </c>
    </row>
    <row r="27" ht="14" customHeight="1" s="58">
      <c r="A27" s="90" t="inlineStr">
        <is>
          <t>09h</t>
        </is>
      </c>
      <c r="B27" s="97">
        <f>IF(DAY(DATE($D$2,$F$2+1,0))&lt;1,"",COUNTIFS(Home!$D$3:$D$976,$F$2,Home!$E$3:$E$976,$D$2,Home!$C$3:$C$976,1,Home!$AE$3:$AE$976,9))</f>
        <v/>
      </c>
      <c r="C27" s="97">
        <f>IF(DAY(DATE($D$2,$F$2+1,0))&lt;2,"",COUNTIFS(Home!$D$3:$D$976,$F$2,Home!$E$3:$E$976,$D$2,Home!$C$3:$C$976,2,Home!$AE$3:$AE$976,9))</f>
        <v/>
      </c>
      <c r="D27" s="97">
        <f>IF(DAY(DATE($D$2,$F$2+1,0))&lt;3,"",COUNTIFS(Home!$D$3:$D$976,$F$2,Home!$E$3:$E$976,$D$2,Home!$C$3:$C$976,3,Home!$AE$3:$AE$976,9))</f>
        <v/>
      </c>
      <c r="E27" s="97">
        <f>IF(DAY(DATE($D$2,$F$2+1,0))&lt;4,"",COUNTIFS(Home!$D$3:$D$976,$F$2,Home!$E$3:$E$976,$D$2,Home!$C$3:$C$976,4,Home!$AE$3:$AE$976,9))</f>
        <v/>
      </c>
      <c r="F27" s="97">
        <f>IF(DAY(DATE($D$2,$F$2+1,0))&lt;5,"",COUNTIFS(Home!$D$3:$D$976,$F$2,Home!$E$3:$E$976,$D$2,Home!$C$3:$C$976,5,Home!$AE$3:$AE$976,9))</f>
        <v/>
      </c>
      <c r="G27" s="97">
        <f>IF(DAY(DATE($D$2,$F$2+1,0))&lt;6,"",COUNTIFS(Home!$D$3:$D$976,$F$2,Home!$E$3:$E$976,$D$2,Home!$C$3:$C$976,6,Home!$AE$3:$AE$976,9))</f>
        <v/>
      </c>
      <c r="H27" s="97">
        <f>IF(DAY(DATE($D$2,$F$2+1,0))&lt;7,"",COUNTIFS(Home!$D$3:$D$976,$F$2,Home!$E$3:$E$976,$D$2,Home!$C$3:$C$976,7,Home!$AE$3:$AE$976,9))</f>
        <v/>
      </c>
      <c r="I27" s="97">
        <f>IF(DAY(DATE($D$2,$F$2+1,0))&lt;8,"",COUNTIFS(Home!$D$3:$D$976,$F$2,Home!$E$3:$E$976,$D$2,Home!$C$3:$C$976,8,Home!$AE$3:$AE$976,9))</f>
        <v/>
      </c>
      <c r="J27" s="97">
        <f>IF(DAY(DATE($D$2,$F$2+1,0))&lt;9,"",COUNTIFS(Home!$D$3:$D$976,$F$2,Home!$E$3:$E$976,$D$2,Home!$C$3:$C$976,9,Home!$AE$3:$AE$976,9))</f>
        <v/>
      </c>
      <c r="K27" s="97">
        <f>IF(DAY(DATE($D$2,$F$2+1,0))&lt;10,"",COUNTIFS(Home!$D$3:$D$976,$F$2,Home!$E$3:$E$976,$D$2,Home!$C$3:$C$976,10,Home!$AE$3:$AE$976,9))</f>
        <v/>
      </c>
      <c r="L27" s="97">
        <f>IF(DAY(DATE($D$2,$F$2+1,0))&lt;11,"",COUNTIFS(Home!$D$3:$D$976,$F$2,Home!$E$3:$E$976,$D$2,Home!$C$3:$C$976,11,Home!$AE$3:$AE$976,9))</f>
        <v/>
      </c>
      <c r="M27" s="97">
        <f>IF(DAY(DATE($D$2,$F$2+1,0))&lt;12,"",COUNTIFS(Home!$D$3:$D$976,$F$2,Home!$E$3:$E$976,$D$2,Home!$C$3:$C$976,12,Home!$AE$3:$AE$976,9))</f>
        <v/>
      </c>
      <c r="N27" s="97">
        <f>IF(DAY(DATE($D$2,$F$2+1,0))&lt;13,"",COUNTIFS(Home!$D$3:$D$976,$F$2,Home!$E$3:$E$976,$D$2,Home!$C$3:$C$976,13,Home!$AE$3:$AE$976,9))</f>
        <v/>
      </c>
      <c r="O27" s="97">
        <f>IF(DAY(DATE($D$2,$F$2+1,0))&lt;14,"",COUNTIFS(Home!$D$3:$D$976,$F$2,Home!$E$3:$E$976,$D$2,Home!$C$3:$C$976,14,Home!$AE$3:$AE$976,9))</f>
        <v/>
      </c>
      <c r="P27" s="97">
        <f>IF(DAY(DATE($D$2,$F$2+1,0))&lt;15,"",COUNTIFS(Home!$D$3:$D$976,$F$2,Home!$E$3:$E$976,$D$2,Home!$C$3:$C$976,15,Home!$AE$3:$AE$976,9))</f>
        <v/>
      </c>
      <c r="Q27" s="97">
        <f>IF(DAY(DATE($D$2,$F$2+1,0))&lt;16,"",COUNTIFS(Home!$D$3:$D$976,$F$2,Home!$E$3:$E$976,$D$2,Home!$C$3:$C$976,16,Home!$AE$3:$AE$976,9))</f>
        <v/>
      </c>
      <c r="R27" s="97">
        <f>IF(DAY(DATE($D$2,$F$2+1,0))&lt;17,"",COUNTIFS(Home!$D$3:$D$976,$F$2,Home!$E$3:$E$976,$D$2,Home!$C$3:$C$976,17,Home!$AE$3:$AE$976,9))</f>
        <v/>
      </c>
      <c r="S27" s="97">
        <f>IF(DAY(DATE($D$2,$F$2+1,0))&lt;18,"",COUNTIFS(Home!$D$3:$D$976,$F$2,Home!$E$3:$E$976,$D$2,Home!$C$3:$C$976,18,Home!$AE$3:$AE$976,9))</f>
        <v/>
      </c>
      <c r="T27" s="97">
        <f>IF(DAY(DATE($D$2,$F$2+1,0))&lt;19,"",COUNTIFS(Home!$D$3:$D$976,$F$2,Home!$E$3:$E$976,$D$2,Home!$C$3:$C$976,19,Home!$AE$3:$AE$976,9))</f>
        <v/>
      </c>
      <c r="U27" s="97">
        <f>IF(DAY(DATE($D$2,$F$2+1,0))&lt;20,"",COUNTIFS(Home!$D$3:$D$976,$F$2,Home!$E$3:$E$976,$D$2,Home!$C$3:$C$976,20,Home!$AE$3:$AE$976,9))</f>
        <v/>
      </c>
      <c r="V27" s="97">
        <f>IF(DAY(DATE($D$2,$F$2+1,0))&lt;21,"",COUNTIFS(Home!$D$3:$D$976,$F$2,Home!$E$3:$E$976,$D$2,Home!$C$3:$C$976,21,Home!$AE$3:$AE$976,9))</f>
        <v/>
      </c>
      <c r="W27" s="97">
        <f>IF(DAY(DATE($D$2,$F$2+1,0))&lt;22,"",COUNTIFS(Home!$D$3:$D$976,$F$2,Home!$E$3:$E$976,$D$2,Home!$C$3:$C$976,22,Home!$AE$3:$AE$976,9))</f>
        <v/>
      </c>
      <c r="X27" s="97">
        <f>IF(DAY(DATE($D$2,$F$2+1,0))&lt;23,"",COUNTIFS(Home!$D$3:$D$976,$F$2,Home!$E$3:$E$976,$D$2,Home!$C$3:$C$976,23,Home!$AE$3:$AE$976,9))</f>
        <v/>
      </c>
      <c r="Y27" s="97">
        <f>IF(DAY(DATE($D$2,$F$2+1,0))&lt;24,"",COUNTIFS(Home!$D$3:$D$976,$F$2,Home!$E$3:$E$976,$D$2,Home!$C$3:$C$976,24,Home!$AE$3:$AE$976,9))</f>
        <v/>
      </c>
      <c r="Z27" s="97">
        <f>IF(DAY(DATE($D$2,$F$2+1,0))&lt;25,"",COUNTIFS(Home!$D$3:$D$976,$F$2,Home!$E$3:$E$976,$D$2,Home!$C$3:$C$976,25,Home!$AE$3:$AE$976,9))</f>
        <v/>
      </c>
      <c r="AA27" s="97">
        <f>IF(DAY(DATE($D$2,$F$2+1,0))&lt;26,"",COUNTIFS(Home!$D$3:$D$976,$F$2,Home!$E$3:$E$976,$D$2,Home!$C$3:$C$976,26,Home!$AE$3:$AE$976,9))</f>
        <v/>
      </c>
      <c r="AB27" s="97">
        <f>IF(DAY(DATE($D$2,$F$2+1,0))&lt;27,"",COUNTIFS(Home!$D$3:$D$976,$F$2,Home!$E$3:$E$976,$D$2,Home!$C$3:$C$976,27,Home!$AE$3:$AE$976,9))</f>
        <v/>
      </c>
      <c r="AC27" s="97">
        <f>IF(DAY(DATE($D$2,$F$2+1,0))&lt;28,"",COUNTIFS(Home!$D$3:$D$976,$F$2,Home!$E$3:$E$976,$D$2,Home!$C$3:$C$976,28,Home!$AE$3:$AE$976,9))</f>
        <v/>
      </c>
      <c r="AD27" s="97">
        <f>IF(DAY(DATE($D$2,$F$2+1,0))&lt;29,"",COUNTIFS(Home!$D$3:$D$976,$F$2,Home!$E$3:$E$976,$D$2,Home!$C$3:$C$976,29,Home!$AE$3:$AE$976,9))</f>
        <v/>
      </c>
      <c r="AE27" s="97">
        <f>IF(DAY(DATE($D$2,$F$2+1,0))&lt;30,"",COUNTIFS(Home!$D$3:$D$976,$F$2,Home!$E$3:$E$976,$D$2,Home!$C$3:$C$976,30,Home!$AE$3:$AE$976,9))</f>
        <v/>
      </c>
      <c r="AF27" s="97">
        <f>IF(DAY(DATE($D$2,$F$2+1,0))&lt;31,"",COUNTIFS(Home!$D$3:$D$976,$F$2,Home!$E$3:$E$976,$D$2,Home!$C$3:$C$976,31,Home!$AE$3:$AE$976,9))</f>
        <v/>
      </c>
    </row>
    <row r="28" ht="14" customHeight="1" s="58">
      <c r="A28" s="90" t="inlineStr">
        <is>
          <t>10h</t>
        </is>
      </c>
      <c r="B28" s="97">
        <f>IF(DAY(DATE($D$2,$F$2+1,0))&lt;1,"",COUNTIFS(Home!$D$3:$D$976,$F$2,Home!$E$3:$E$976,$D$2,Home!$C$3:$C$976,1,Home!$AE$3:$AE$976,10))</f>
        <v/>
      </c>
      <c r="C28" s="97">
        <f>IF(DAY(DATE($D$2,$F$2+1,0))&lt;2,"",COUNTIFS(Home!$D$3:$D$976,$F$2,Home!$E$3:$E$976,$D$2,Home!$C$3:$C$976,2,Home!$AE$3:$AE$976,10))</f>
        <v/>
      </c>
      <c r="D28" s="97">
        <f>IF(DAY(DATE($D$2,$F$2+1,0))&lt;3,"",COUNTIFS(Home!$D$3:$D$976,$F$2,Home!$E$3:$E$976,$D$2,Home!$C$3:$C$976,3,Home!$AE$3:$AE$976,10))</f>
        <v/>
      </c>
      <c r="E28" s="97">
        <f>IF(DAY(DATE($D$2,$F$2+1,0))&lt;4,"",COUNTIFS(Home!$D$3:$D$976,$F$2,Home!$E$3:$E$976,$D$2,Home!$C$3:$C$976,4,Home!$AE$3:$AE$976,10))</f>
        <v/>
      </c>
      <c r="F28" s="97">
        <f>IF(DAY(DATE($D$2,$F$2+1,0))&lt;5,"",COUNTIFS(Home!$D$3:$D$976,$F$2,Home!$E$3:$E$976,$D$2,Home!$C$3:$C$976,5,Home!$AE$3:$AE$976,10))</f>
        <v/>
      </c>
      <c r="G28" s="97">
        <f>IF(DAY(DATE($D$2,$F$2+1,0))&lt;6,"",COUNTIFS(Home!$D$3:$D$976,$F$2,Home!$E$3:$E$976,$D$2,Home!$C$3:$C$976,6,Home!$AE$3:$AE$976,10))</f>
        <v/>
      </c>
      <c r="H28" s="97">
        <f>IF(DAY(DATE($D$2,$F$2+1,0))&lt;7,"",COUNTIFS(Home!$D$3:$D$976,$F$2,Home!$E$3:$E$976,$D$2,Home!$C$3:$C$976,7,Home!$AE$3:$AE$976,10))</f>
        <v/>
      </c>
      <c r="I28" s="97">
        <f>IF(DAY(DATE($D$2,$F$2+1,0))&lt;8,"",COUNTIFS(Home!$D$3:$D$976,$F$2,Home!$E$3:$E$976,$D$2,Home!$C$3:$C$976,8,Home!$AE$3:$AE$976,10))</f>
        <v/>
      </c>
      <c r="J28" s="97">
        <f>IF(DAY(DATE($D$2,$F$2+1,0))&lt;9,"",COUNTIFS(Home!$D$3:$D$976,$F$2,Home!$E$3:$E$976,$D$2,Home!$C$3:$C$976,9,Home!$AE$3:$AE$976,10))</f>
        <v/>
      </c>
      <c r="K28" s="97">
        <f>IF(DAY(DATE($D$2,$F$2+1,0))&lt;10,"",COUNTIFS(Home!$D$3:$D$976,$F$2,Home!$E$3:$E$976,$D$2,Home!$C$3:$C$976,10,Home!$AE$3:$AE$976,10))</f>
        <v/>
      </c>
      <c r="L28" s="97">
        <f>IF(DAY(DATE($D$2,$F$2+1,0))&lt;11,"",COUNTIFS(Home!$D$3:$D$976,$F$2,Home!$E$3:$E$976,$D$2,Home!$C$3:$C$976,11,Home!$AE$3:$AE$976,10))</f>
        <v/>
      </c>
      <c r="M28" s="97">
        <f>IF(DAY(DATE($D$2,$F$2+1,0))&lt;12,"",COUNTIFS(Home!$D$3:$D$976,$F$2,Home!$E$3:$E$976,$D$2,Home!$C$3:$C$976,12,Home!$AE$3:$AE$976,10))</f>
        <v/>
      </c>
      <c r="N28" s="97">
        <f>IF(DAY(DATE($D$2,$F$2+1,0))&lt;13,"",COUNTIFS(Home!$D$3:$D$976,$F$2,Home!$E$3:$E$976,$D$2,Home!$C$3:$C$976,13,Home!$AE$3:$AE$976,10))</f>
        <v/>
      </c>
      <c r="O28" s="97">
        <f>IF(DAY(DATE($D$2,$F$2+1,0))&lt;14,"",COUNTIFS(Home!$D$3:$D$976,$F$2,Home!$E$3:$E$976,$D$2,Home!$C$3:$C$976,14,Home!$AE$3:$AE$976,10))</f>
        <v/>
      </c>
      <c r="P28" s="97">
        <f>IF(DAY(DATE($D$2,$F$2+1,0))&lt;15,"",COUNTIFS(Home!$D$3:$D$976,$F$2,Home!$E$3:$E$976,$D$2,Home!$C$3:$C$976,15,Home!$AE$3:$AE$976,10))</f>
        <v/>
      </c>
      <c r="Q28" s="97">
        <f>IF(DAY(DATE($D$2,$F$2+1,0))&lt;16,"",COUNTIFS(Home!$D$3:$D$976,$F$2,Home!$E$3:$E$976,$D$2,Home!$C$3:$C$976,16,Home!$AE$3:$AE$976,10))</f>
        <v/>
      </c>
      <c r="R28" s="97">
        <f>IF(DAY(DATE($D$2,$F$2+1,0))&lt;17,"",COUNTIFS(Home!$D$3:$D$976,$F$2,Home!$E$3:$E$976,$D$2,Home!$C$3:$C$976,17,Home!$AE$3:$AE$976,10))</f>
        <v/>
      </c>
      <c r="S28" s="97">
        <f>IF(DAY(DATE($D$2,$F$2+1,0))&lt;18,"",COUNTIFS(Home!$D$3:$D$976,$F$2,Home!$E$3:$E$976,$D$2,Home!$C$3:$C$976,18,Home!$AE$3:$AE$976,10))</f>
        <v/>
      </c>
      <c r="T28" s="97">
        <f>IF(DAY(DATE($D$2,$F$2+1,0))&lt;19,"",COUNTIFS(Home!$D$3:$D$976,$F$2,Home!$E$3:$E$976,$D$2,Home!$C$3:$C$976,19,Home!$AE$3:$AE$976,10))</f>
        <v/>
      </c>
      <c r="U28" s="97">
        <f>IF(DAY(DATE($D$2,$F$2+1,0))&lt;20,"",COUNTIFS(Home!$D$3:$D$976,$F$2,Home!$E$3:$E$976,$D$2,Home!$C$3:$C$976,20,Home!$AE$3:$AE$976,10))</f>
        <v/>
      </c>
      <c r="V28" s="97">
        <f>IF(DAY(DATE($D$2,$F$2+1,0))&lt;21,"",COUNTIFS(Home!$D$3:$D$976,$F$2,Home!$E$3:$E$976,$D$2,Home!$C$3:$C$976,21,Home!$AE$3:$AE$976,10))</f>
        <v/>
      </c>
      <c r="W28" s="97">
        <f>IF(DAY(DATE($D$2,$F$2+1,0))&lt;22,"",COUNTIFS(Home!$D$3:$D$976,$F$2,Home!$E$3:$E$976,$D$2,Home!$C$3:$C$976,22,Home!$AE$3:$AE$976,10))</f>
        <v/>
      </c>
      <c r="X28" s="97">
        <f>IF(DAY(DATE($D$2,$F$2+1,0))&lt;23,"",COUNTIFS(Home!$D$3:$D$976,$F$2,Home!$E$3:$E$976,$D$2,Home!$C$3:$C$976,23,Home!$AE$3:$AE$976,10))</f>
        <v/>
      </c>
      <c r="Y28" s="97">
        <f>IF(DAY(DATE($D$2,$F$2+1,0))&lt;24,"",COUNTIFS(Home!$D$3:$D$976,$F$2,Home!$E$3:$E$976,$D$2,Home!$C$3:$C$976,24,Home!$AE$3:$AE$976,10))</f>
        <v/>
      </c>
      <c r="Z28" s="97">
        <f>IF(DAY(DATE($D$2,$F$2+1,0))&lt;25,"",COUNTIFS(Home!$D$3:$D$976,$F$2,Home!$E$3:$E$976,$D$2,Home!$C$3:$C$976,25,Home!$AE$3:$AE$976,10))</f>
        <v/>
      </c>
      <c r="AA28" s="97">
        <f>IF(DAY(DATE($D$2,$F$2+1,0))&lt;26,"",COUNTIFS(Home!$D$3:$D$976,$F$2,Home!$E$3:$E$976,$D$2,Home!$C$3:$C$976,26,Home!$AE$3:$AE$976,10))</f>
        <v/>
      </c>
      <c r="AB28" s="97">
        <f>IF(DAY(DATE($D$2,$F$2+1,0))&lt;27,"",COUNTIFS(Home!$D$3:$D$976,$F$2,Home!$E$3:$E$976,$D$2,Home!$C$3:$C$976,27,Home!$AE$3:$AE$976,10))</f>
        <v/>
      </c>
      <c r="AC28" s="97">
        <f>IF(DAY(DATE($D$2,$F$2+1,0))&lt;28,"",COUNTIFS(Home!$D$3:$D$976,$F$2,Home!$E$3:$E$976,$D$2,Home!$C$3:$C$976,28,Home!$AE$3:$AE$976,10))</f>
        <v/>
      </c>
      <c r="AD28" s="97">
        <f>IF(DAY(DATE($D$2,$F$2+1,0))&lt;29,"",COUNTIFS(Home!$D$3:$D$976,$F$2,Home!$E$3:$E$976,$D$2,Home!$C$3:$C$976,29,Home!$AE$3:$AE$976,10))</f>
        <v/>
      </c>
      <c r="AE28" s="97">
        <f>IF(DAY(DATE($D$2,$F$2+1,0))&lt;30,"",COUNTIFS(Home!$D$3:$D$976,$F$2,Home!$E$3:$E$976,$D$2,Home!$C$3:$C$976,30,Home!$AE$3:$AE$976,10))</f>
        <v/>
      </c>
      <c r="AF28" s="97">
        <f>IF(DAY(DATE($D$2,$F$2+1,0))&lt;31,"",COUNTIFS(Home!$D$3:$D$976,$F$2,Home!$E$3:$E$976,$D$2,Home!$C$3:$C$976,31,Home!$AE$3:$AE$976,10))</f>
        <v/>
      </c>
    </row>
    <row r="29" ht="14" customHeight="1" s="58">
      <c r="A29" s="90" t="inlineStr">
        <is>
          <t>11h</t>
        </is>
      </c>
      <c r="B29" s="97">
        <f>IF(DAY(DATE($D$2,$F$2+1,0))&lt;1,"",COUNTIFS(Home!$D$3:$D$976,$F$2,Home!$E$3:$E$976,$D$2,Home!$C$3:$C$976,1,Home!$AE$3:$AE$976,11))</f>
        <v/>
      </c>
      <c r="C29" s="97">
        <f>IF(DAY(DATE($D$2,$F$2+1,0))&lt;2,"",COUNTIFS(Home!$D$3:$D$976,$F$2,Home!$E$3:$E$976,$D$2,Home!$C$3:$C$976,2,Home!$AE$3:$AE$976,11))</f>
        <v/>
      </c>
      <c r="D29" s="97">
        <f>IF(DAY(DATE($D$2,$F$2+1,0))&lt;3,"",COUNTIFS(Home!$D$3:$D$976,$F$2,Home!$E$3:$E$976,$D$2,Home!$C$3:$C$976,3,Home!$AE$3:$AE$976,11))</f>
        <v/>
      </c>
      <c r="E29" s="97">
        <f>IF(DAY(DATE($D$2,$F$2+1,0))&lt;4,"",COUNTIFS(Home!$D$3:$D$976,$F$2,Home!$E$3:$E$976,$D$2,Home!$C$3:$C$976,4,Home!$AE$3:$AE$976,11))</f>
        <v/>
      </c>
      <c r="F29" s="97">
        <f>IF(DAY(DATE($D$2,$F$2+1,0))&lt;5,"",COUNTIFS(Home!$D$3:$D$976,$F$2,Home!$E$3:$E$976,$D$2,Home!$C$3:$C$976,5,Home!$AE$3:$AE$976,11))</f>
        <v/>
      </c>
      <c r="G29" s="97">
        <f>IF(DAY(DATE($D$2,$F$2+1,0))&lt;6,"",COUNTIFS(Home!$D$3:$D$976,$F$2,Home!$E$3:$E$976,$D$2,Home!$C$3:$C$976,6,Home!$AE$3:$AE$976,11))</f>
        <v/>
      </c>
      <c r="H29" s="97">
        <f>IF(DAY(DATE($D$2,$F$2+1,0))&lt;7,"",COUNTIFS(Home!$D$3:$D$976,$F$2,Home!$E$3:$E$976,$D$2,Home!$C$3:$C$976,7,Home!$AE$3:$AE$976,11))</f>
        <v/>
      </c>
      <c r="I29" s="97">
        <f>IF(DAY(DATE($D$2,$F$2+1,0))&lt;8,"",COUNTIFS(Home!$D$3:$D$976,$F$2,Home!$E$3:$E$976,$D$2,Home!$C$3:$C$976,8,Home!$AE$3:$AE$976,11))</f>
        <v/>
      </c>
      <c r="J29" s="97">
        <f>IF(DAY(DATE($D$2,$F$2+1,0))&lt;9,"",COUNTIFS(Home!$D$3:$D$976,$F$2,Home!$E$3:$E$976,$D$2,Home!$C$3:$C$976,9,Home!$AE$3:$AE$976,11))</f>
        <v/>
      </c>
      <c r="K29" s="97">
        <f>IF(DAY(DATE($D$2,$F$2+1,0))&lt;10,"",COUNTIFS(Home!$D$3:$D$976,$F$2,Home!$E$3:$E$976,$D$2,Home!$C$3:$C$976,10,Home!$AE$3:$AE$976,11))</f>
        <v/>
      </c>
      <c r="L29" s="97">
        <f>IF(DAY(DATE($D$2,$F$2+1,0))&lt;11,"",COUNTIFS(Home!$D$3:$D$976,$F$2,Home!$E$3:$E$976,$D$2,Home!$C$3:$C$976,11,Home!$AE$3:$AE$976,11))</f>
        <v/>
      </c>
      <c r="M29" s="97">
        <f>IF(DAY(DATE($D$2,$F$2+1,0))&lt;12,"",COUNTIFS(Home!$D$3:$D$976,$F$2,Home!$E$3:$E$976,$D$2,Home!$C$3:$C$976,12,Home!$AE$3:$AE$976,11))</f>
        <v/>
      </c>
      <c r="N29" s="97">
        <f>IF(DAY(DATE($D$2,$F$2+1,0))&lt;13,"",COUNTIFS(Home!$D$3:$D$976,$F$2,Home!$E$3:$E$976,$D$2,Home!$C$3:$C$976,13,Home!$AE$3:$AE$976,11))</f>
        <v/>
      </c>
      <c r="O29" s="97">
        <f>IF(DAY(DATE($D$2,$F$2+1,0))&lt;14,"",COUNTIFS(Home!$D$3:$D$976,$F$2,Home!$E$3:$E$976,$D$2,Home!$C$3:$C$976,14,Home!$AE$3:$AE$976,11))</f>
        <v/>
      </c>
      <c r="P29" s="97">
        <f>IF(DAY(DATE($D$2,$F$2+1,0))&lt;15,"",COUNTIFS(Home!$D$3:$D$976,$F$2,Home!$E$3:$E$976,$D$2,Home!$C$3:$C$976,15,Home!$AE$3:$AE$976,11))</f>
        <v/>
      </c>
      <c r="Q29" s="97">
        <f>IF(DAY(DATE($D$2,$F$2+1,0))&lt;16,"",COUNTIFS(Home!$D$3:$D$976,$F$2,Home!$E$3:$E$976,$D$2,Home!$C$3:$C$976,16,Home!$AE$3:$AE$976,11))</f>
        <v/>
      </c>
      <c r="R29" s="97">
        <f>IF(DAY(DATE($D$2,$F$2+1,0))&lt;17,"",COUNTIFS(Home!$D$3:$D$976,$F$2,Home!$E$3:$E$976,$D$2,Home!$C$3:$C$976,17,Home!$AE$3:$AE$976,11))</f>
        <v/>
      </c>
      <c r="S29" s="97">
        <f>IF(DAY(DATE($D$2,$F$2+1,0))&lt;18,"",COUNTIFS(Home!$D$3:$D$976,$F$2,Home!$E$3:$E$976,$D$2,Home!$C$3:$C$976,18,Home!$AE$3:$AE$976,11))</f>
        <v/>
      </c>
      <c r="T29" s="97">
        <f>IF(DAY(DATE($D$2,$F$2+1,0))&lt;19,"",COUNTIFS(Home!$D$3:$D$976,$F$2,Home!$E$3:$E$976,$D$2,Home!$C$3:$C$976,19,Home!$AE$3:$AE$976,11))</f>
        <v/>
      </c>
      <c r="U29" s="97">
        <f>IF(DAY(DATE($D$2,$F$2+1,0))&lt;20,"",COUNTIFS(Home!$D$3:$D$976,$F$2,Home!$E$3:$E$976,$D$2,Home!$C$3:$C$976,20,Home!$AE$3:$AE$976,11))</f>
        <v/>
      </c>
      <c r="V29" s="97">
        <f>IF(DAY(DATE($D$2,$F$2+1,0))&lt;21,"",COUNTIFS(Home!$D$3:$D$976,$F$2,Home!$E$3:$E$976,$D$2,Home!$C$3:$C$976,21,Home!$AE$3:$AE$976,11))</f>
        <v/>
      </c>
      <c r="W29" s="97">
        <f>IF(DAY(DATE($D$2,$F$2+1,0))&lt;22,"",COUNTIFS(Home!$D$3:$D$976,$F$2,Home!$E$3:$E$976,$D$2,Home!$C$3:$C$976,22,Home!$AE$3:$AE$976,11))</f>
        <v/>
      </c>
      <c r="X29" s="97">
        <f>IF(DAY(DATE($D$2,$F$2+1,0))&lt;23,"",COUNTIFS(Home!$D$3:$D$976,$F$2,Home!$E$3:$E$976,$D$2,Home!$C$3:$C$976,23,Home!$AE$3:$AE$976,11))</f>
        <v/>
      </c>
      <c r="Y29" s="97">
        <f>IF(DAY(DATE($D$2,$F$2+1,0))&lt;24,"",COUNTIFS(Home!$D$3:$D$976,$F$2,Home!$E$3:$E$976,$D$2,Home!$C$3:$C$976,24,Home!$AE$3:$AE$976,11))</f>
        <v/>
      </c>
      <c r="Z29" s="97">
        <f>IF(DAY(DATE($D$2,$F$2+1,0))&lt;25,"",COUNTIFS(Home!$D$3:$D$976,$F$2,Home!$E$3:$E$976,$D$2,Home!$C$3:$C$976,25,Home!$AE$3:$AE$976,11))</f>
        <v/>
      </c>
      <c r="AA29" s="97">
        <f>IF(DAY(DATE($D$2,$F$2+1,0))&lt;26,"",COUNTIFS(Home!$D$3:$D$976,$F$2,Home!$E$3:$E$976,$D$2,Home!$C$3:$C$976,26,Home!$AE$3:$AE$976,11))</f>
        <v/>
      </c>
      <c r="AB29" s="97">
        <f>IF(DAY(DATE($D$2,$F$2+1,0))&lt;27,"",COUNTIFS(Home!$D$3:$D$976,$F$2,Home!$E$3:$E$976,$D$2,Home!$C$3:$C$976,27,Home!$AE$3:$AE$976,11))</f>
        <v/>
      </c>
      <c r="AC29" s="97">
        <f>IF(DAY(DATE($D$2,$F$2+1,0))&lt;28,"",COUNTIFS(Home!$D$3:$D$976,$F$2,Home!$E$3:$E$976,$D$2,Home!$C$3:$C$976,28,Home!$AE$3:$AE$976,11))</f>
        <v/>
      </c>
      <c r="AD29" s="97">
        <f>IF(DAY(DATE($D$2,$F$2+1,0))&lt;29,"",COUNTIFS(Home!$D$3:$D$976,$F$2,Home!$E$3:$E$976,$D$2,Home!$C$3:$C$976,29,Home!$AE$3:$AE$976,11))</f>
        <v/>
      </c>
      <c r="AE29" s="97">
        <f>IF(DAY(DATE($D$2,$F$2+1,0))&lt;30,"",COUNTIFS(Home!$D$3:$D$976,$F$2,Home!$E$3:$E$976,$D$2,Home!$C$3:$C$976,30,Home!$AE$3:$AE$976,11))</f>
        <v/>
      </c>
      <c r="AF29" s="97">
        <f>IF(DAY(DATE($D$2,$F$2+1,0))&lt;31,"",COUNTIFS(Home!$D$3:$D$976,$F$2,Home!$E$3:$E$976,$D$2,Home!$C$3:$C$976,31,Home!$AE$3:$AE$976,11))</f>
        <v/>
      </c>
    </row>
    <row r="30" ht="14" customHeight="1" s="58">
      <c r="A30" s="90" t="inlineStr">
        <is>
          <t>12h</t>
        </is>
      </c>
      <c r="B30" s="97">
        <f>IF(DAY(DATE($D$2,$F$2+1,0))&lt;1,"",COUNTIFS(Home!$D$3:$D$976,$F$2,Home!$E$3:$E$976,$D$2,Home!$C$3:$C$976,1,Home!$AE$3:$AE$976,12))</f>
        <v/>
      </c>
      <c r="C30" s="97">
        <f>IF(DAY(DATE($D$2,$F$2+1,0))&lt;2,"",COUNTIFS(Home!$D$3:$D$976,$F$2,Home!$E$3:$E$976,$D$2,Home!$C$3:$C$976,2,Home!$AE$3:$AE$976,12))</f>
        <v/>
      </c>
      <c r="D30" s="97">
        <f>IF(DAY(DATE($D$2,$F$2+1,0))&lt;3,"",COUNTIFS(Home!$D$3:$D$976,$F$2,Home!$E$3:$E$976,$D$2,Home!$C$3:$C$976,3,Home!$AE$3:$AE$976,12))</f>
        <v/>
      </c>
      <c r="E30" s="97">
        <f>IF(DAY(DATE($D$2,$F$2+1,0))&lt;4,"",COUNTIFS(Home!$D$3:$D$976,$F$2,Home!$E$3:$E$976,$D$2,Home!$C$3:$C$976,4,Home!$AE$3:$AE$976,12))</f>
        <v/>
      </c>
      <c r="F30" s="97">
        <f>IF(DAY(DATE($D$2,$F$2+1,0))&lt;5,"",COUNTIFS(Home!$D$3:$D$976,$F$2,Home!$E$3:$E$976,$D$2,Home!$C$3:$C$976,5,Home!$AE$3:$AE$976,12))</f>
        <v/>
      </c>
      <c r="G30" s="97">
        <f>IF(DAY(DATE($D$2,$F$2+1,0))&lt;6,"",COUNTIFS(Home!$D$3:$D$976,$F$2,Home!$E$3:$E$976,$D$2,Home!$C$3:$C$976,6,Home!$AE$3:$AE$976,12))</f>
        <v/>
      </c>
      <c r="H30" s="97">
        <f>IF(DAY(DATE($D$2,$F$2+1,0))&lt;7,"",COUNTIFS(Home!$D$3:$D$976,$F$2,Home!$E$3:$E$976,$D$2,Home!$C$3:$C$976,7,Home!$AE$3:$AE$976,12))</f>
        <v/>
      </c>
      <c r="I30" s="97">
        <f>IF(DAY(DATE($D$2,$F$2+1,0))&lt;8,"",COUNTIFS(Home!$D$3:$D$976,$F$2,Home!$E$3:$E$976,$D$2,Home!$C$3:$C$976,8,Home!$AE$3:$AE$976,12))</f>
        <v/>
      </c>
      <c r="J30" s="97">
        <f>IF(DAY(DATE($D$2,$F$2+1,0))&lt;9,"",COUNTIFS(Home!$D$3:$D$976,$F$2,Home!$E$3:$E$976,$D$2,Home!$C$3:$C$976,9,Home!$AE$3:$AE$976,12))</f>
        <v/>
      </c>
      <c r="K30" s="97">
        <f>IF(DAY(DATE($D$2,$F$2+1,0))&lt;10,"",COUNTIFS(Home!$D$3:$D$976,$F$2,Home!$E$3:$E$976,$D$2,Home!$C$3:$C$976,10,Home!$AE$3:$AE$976,12))</f>
        <v/>
      </c>
      <c r="L30" s="97">
        <f>IF(DAY(DATE($D$2,$F$2+1,0))&lt;11,"",COUNTIFS(Home!$D$3:$D$976,$F$2,Home!$E$3:$E$976,$D$2,Home!$C$3:$C$976,11,Home!$AE$3:$AE$976,12))</f>
        <v/>
      </c>
      <c r="M30" s="97">
        <f>IF(DAY(DATE($D$2,$F$2+1,0))&lt;12,"",COUNTIFS(Home!$D$3:$D$976,$F$2,Home!$E$3:$E$976,$D$2,Home!$C$3:$C$976,12,Home!$AE$3:$AE$976,12))</f>
        <v/>
      </c>
      <c r="N30" s="97">
        <f>IF(DAY(DATE($D$2,$F$2+1,0))&lt;13,"",COUNTIFS(Home!$D$3:$D$976,$F$2,Home!$E$3:$E$976,$D$2,Home!$C$3:$C$976,13,Home!$AE$3:$AE$976,12))</f>
        <v/>
      </c>
      <c r="O30" s="97">
        <f>IF(DAY(DATE($D$2,$F$2+1,0))&lt;14,"",COUNTIFS(Home!$D$3:$D$976,$F$2,Home!$E$3:$E$976,$D$2,Home!$C$3:$C$976,14,Home!$AE$3:$AE$976,12))</f>
        <v/>
      </c>
      <c r="P30" s="97">
        <f>IF(DAY(DATE($D$2,$F$2+1,0))&lt;15,"",COUNTIFS(Home!$D$3:$D$976,$F$2,Home!$E$3:$E$976,$D$2,Home!$C$3:$C$976,15,Home!$AE$3:$AE$976,12))</f>
        <v/>
      </c>
      <c r="Q30" s="97">
        <f>IF(DAY(DATE($D$2,$F$2+1,0))&lt;16,"",COUNTIFS(Home!$D$3:$D$976,$F$2,Home!$E$3:$E$976,$D$2,Home!$C$3:$C$976,16,Home!$AE$3:$AE$976,12))</f>
        <v/>
      </c>
      <c r="R30" s="97">
        <f>IF(DAY(DATE($D$2,$F$2+1,0))&lt;17,"",COUNTIFS(Home!$D$3:$D$976,$F$2,Home!$E$3:$E$976,$D$2,Home!$C$3:$C$976,17,Home!$AE$3:$AE$976,12))</f>
        <v/>
      </c>
      <c r="S30" s="97">
        <f>IF(DAY(DATE($D$2,$F$2+1,0))&lt;18,"",COUNTIFS(Home!$D$3:$D$976,$F$2,Home!$E$3:$E$976,$D$2,Home!$C$3:$C$976,18,Home!$AE$3:$AE$976,12))</f>
        <v/>
      </c>
      <c r="T30" s="97">
        <f>IF(DAY(DATE($D$2,$F$2+1,0))&lt;19,"",COUNTIFS(Home!$D$3:$D$976,$F$2,Home!$E$3:$E$976,$D$2,Home!$C$3:$C$976,19,Home!$AE$3:$AE$976,12))</f>
        <v/>
      </c>
      <c r="U30" s="97">
        <f>IF(DAY(DATE($D$2,$F$2+1,0))&lt;20,"",COUNTIFS(Home!$D$3:$D$976,$F$2,Home!$E$3:$E$976,$D$2,Home!$C$3:$C$976,20,Home!$AE$3:$AE$976,12))</f>
        <v/>
      </c>
      <c r="V30" s="97">
        <f>IF(DAY(DATE($D$2,$F$2+1,0))&lt;21,"",COUNTIFS(Home!$D$3:$D$976,$F$2,Home!$E$3:$E$976,$D$2,Home!$C$3:$C$976,21,Home!$AE$3:$AE$976,12))</f>
        <v/>
      </c>
      <c r="W30" s="97">
        <f>IF(DAY(DATE($D$2,$F$2+1,0))&lt;22,"",COUNTIFS(Home!$D$3:$D$976,$F$2,Home!$E$3:$E$976,$D$2,Home!$C$3:$C$976,22,Home!$AE$3:$AE$976,12))</f>
        <v/>
      </c>
      <c r="X30" s="97">
        <f>IF(DAY(DATE($D$2,$F$2+1,0))&lt;23,"",COUNTIFS(Home!$D$3:$D$976,$F$2,Home!$E$3:$E$976,$D$2,Home!$C$3:$C$976,23,Home!$AE$3:$AE$976,12))</f>
        <v/>
      </c>
      <c r="Y30" s="97">
        <f>IF(DAY(DATE($D$2,$F$2+1,0))&lt;24,"",COUNTIFS(Home!$D$3:$D$976,$F$2,Home!$E$3:$E$976,$D$2,Home!$C$3:$C$976,24,Home!$AE$3:$AE$976,12))</f>
        <v/>
      </c>
      <c r="Z30" s="97">
        <f>IF(DAY(DATE($D$2,$F$2+1,0))&lt;25,"",COUNTIFS(Home!$D$3:$D$976,$F$2,Home!$E$3:$E$976,$D$2,Home!$C$3:$C$976,25,Home!$AE$3:$AE$976,12))</f>
        <v/>
      </c>
      <c r="AA30" s="97">
        <f>IF(DAY(DATE($D$2,$F$2+1,0))&lt;26,"",COUNTIFS(Home!$D$3:$D$976,$F$2,Home!$E$3:$E$976,$D$2,Home!$C$3:$C$976,26,Home!$AE$3:$AE$976,12))</f>
        <v/>
      </c>
      <c r="AB30" s="97">
        <f>IF(DAY(DATE($D$2,$F$2+1,0))&lt;27,"",COUNTIFS(Home!$D$3:$D$976,$F$2,Home!$E$3:$E$976,$D$2,Home!$C$3:$C$976,27,Home!$AE$3:$AE$976,12))</f>
        <v/>
      </c>
      <c r="AC30" s="97">
        <f>IF(DAY(DATE($D$2,$F$2+1,0))&lt;28,"",COUNTIFS(Home!$D$3:$D$976,$F$2,Home!$E$3:$E$976,$D$2,Home!$C$3:$C$976,28,Home!$AE$3:$AE$976,12))</f>
        <v/>
      </c>
      <c r="AD30" s="97">
        <f>IF(DAY(DATE($D$2,$F$2+1,0))&lt;29,"",COUNTIFS(Home!$D$3:$D$976,$F$2,Home!$E$3:$E$976,$D$2,Home!$C$3:$C$976,29,Home!$AE$3:$AE$976,12))</f>
        <v/>
      </c>
      <c r="AE30" s="97">
        <f>IF(DAY(DATE($D$2,$F$2+1,0))&lt;30,"",COUNTIFS(Home!$D$3:$D$976,$F$2,Home!$E$3:$E$976,$D$2,Home!$C$3:$C$976,30,Home!$AE$3:$AE$976,12))</f>
        <v/>
      </c>
      <c r="AF30" s="97">
        <f>IF(DAY(DATE($D$2,$F$2+1,0))&lt;31,"",COUNTIFS(Home!$D$3:$D$976,$F$2,Home!$E$3:$E$976,$D$2,Home!$C$3:$C$976,31,Home!$AE$3:$AE$976,12))</f>
        <v/>
      </c>
    </row>
    <row r="31" ht="14" customHeight="1" s="58">
      <c r="A31" s="90" t="inlineStr">
        <is>
          <t>13h</t>
        </is>
      </c>
      <c r="B31" s="97">
        <f>IF(DAY(DATE($D$2,$F$2+1,0))&lt;1,"",COUNTIFS(Home!$D$3:$D$976,$F$2,Home!$E$3:$E$976,$D$2,Home!$C$3:$C$976,1,Home!$AE$3:$AE$976,13))</f>
        <v/>
      </c>
      <c r="C31" s="97">
        <f>IF(DAY(DATE($D$2,$F$2+1,0))&lt;2,"",COUNTIFS(Home!$D$3:$D$976,$F$2,Home!$E$3:$E$976,$D$2,Home!$C$3:$C$976,2,Home!$AE$3:$AE$976,13))</f>
        <v/>
      </c>
      <c r="D31" s="97">
        <f>IF(DAY(DATE($D$2,$F$2+1,0))&lt;3,"",COUNTIFS(Home!$D$3:$D$976,$F$2,Home!$E$3:$E$976,$D$2,Home!$C$3:$C$976,3,Home!$AE$3:$AE$976,13))</f>
        <v/>
      </c>
      <c r="E31" s="97">
        <f>IF(DAY(DATE($D$2,$F$2+1,0))&lt;4,"",COUNTIFS(Home!$D$3:$D$976,$F$2,Home!$E$3:$E$976,$D$2,Home!$C$3:$C$976,4,Home!$AE$3:$AE$976,13))</f>
        <v/>
      </c>
      <c r="F31" s="97">
        <f>IF(DAY(DATE($D$2,$F$2+1,0))&lt;5,"",COUNTIFS(Home!$D$3:$D$976,$F$2,Home!$E$3:$E$976,$D$2,Home!$C$3:$C$976,5,Home!$AE$3:$AE$976,13))</f>
        <v/>
      </c>
      <c r="G31" s="97">
        <f>IF(DAY(DATE($D$2,$F$2+1,0))&lt;6,"",COUNTIFS(Home!$D$3:$D$976,$F$2,Home!$E$3:$E$976,$D$2,Home!$C$3:$C$976,6,Home!$AE$3:$AE$976,13))</f>
        <v/>
      </c>
      <c r="H31" s="97">
        <f>IF(DAY(DATE($D$2,$F$2+1,0))&lt;7,"",COUNTIFS(Home!$D$3:$D$976,$F$2,Home!$E$3:$E$976,$D$2,Home!$C$3:$C$976,7,Home!$AE$3:$AE$976,13))</f>
        <v/>
      </c>
      <c r="I31" s="97">
        <f>IF(DAY(DATE($D$2,$F$2+1,0))&lt;8,"",COUNTIFS(Home!$D$3:$D$976,$F$2,Home!$E$3:$E$976,$D$2,Home!$C$3:$C$976,8,Home!$AE$3:$AE$976,13))</f>
        <v/>
      </c>
      <c r="J31" s="97">
        <f>IF(DAY(DATE($D$2,$F$2+1,0))&lt;9,"",COUNTIFS(Home!$D$3:$D$976,$F$2,Home!$E$3:$E$976,$D$2,Home!$C$3:$C$976,9,Home!$AE$3:$AE$976,13))</f>
        <v/>
      </c>
      <c r="K31" s="97">
        <f>IF(DAY(DATE($D$2,$F$2+1,0))&lt;10,"",COUNTIFS(Home!$D$3:$D$976,$F$2,Home!$E$3:$E$976,$D$2,Home!$C$3:$C$976,10,Home!$AE$3:$AE$976,13))</f>
        <v/>
      </c>
      <c r="L31" s="97">
        <f>IF(DAY(DATE($D$2,$F$2+1,0))&lt;11,"",COUNTIFS(Home!$D$3:$D$976,$F$2,Home!$E$3:$E$976,$D$2,Home!$C$3:$C$976,11,Home!$AE$3:$AE$976,13))</f>
        <v/>
      </c>
      <c r="M31" s="97">
        <f>IF(DAY(DATE($D$2,$F$2+1,0))&lt;12,"",COUNTIFS(Home!$D$3:$D$976,$F$2,Home!$E$3:$E$976,$D$2,Home!$C$3:$C$976,12,Home!$AE$3:$AE$976,13))</f>
        <v/>
      </c>
      <c r="N31" s="97">
        <f>IF(DAY(DATE($D$2,$F$2+1,0))&lt;13,"",COUNTIFS(Home!$D$3:$D$976,$F$2,Home!$E$3:$E$976,$D$2,Home!$C$3:$C$976,13,Home!$AE$3:$AE$976,13))</f>
        <v/>
      </c>
      <c r="O31" s="97">
        <f>IF(DAY(DATE($D$2,$F$2+1,0))&lt;14,"",COUNTIFS(Home!$D$3:$D$976,$F$2,Home!$E$3:$E$976,$D$2,Home!$C$3:$C$976,14,Home!$AE$3:$AE$976,13))</f>
        <v/>
      </c>
      <c r="P31" s="97">
        <f>IF(DAY(DATE($D$2,$F$2+1,0))&lt;15,"",COUNTIFS(Home!$D$3:$D$976,$F$2,Home!$E$3:$E$976,$D$2,Home!$C$3:$C$976,15,Home!$AE$3:$AE$976,13))</f>
        <v/>
      </c>
      <c r="Q31" s="97">
        <f>IF(DAY(DATE($D$2,$F$2+1,0))&lt;16,"",COUNTIFS(Home!$D$3:$D$976,$F$2,Home!$E$3:$E$976,$D$2,Home!$C$3:$C$976,16,Home!$AE$3:$AE$976,13))</f>
        <v/>
      </c>
      <c r="R31" s="97">
        <f>IF(DAY(DATE($D$2,$F$2+1,0))&lt;17,"",COUNTIFS(Home!$D$3:$D$976,$F$2,Home!$E$3:$E$976,$D$2,Home!$C$3:$C$976,17,Home!$AE$3:$AE$976,13))</f>
        <v/>
      </c>
      <c r="S31" s="97">
        <f>IF(DAY(DATE($D$2,$F$2+1,0))&lt;18,"",COUNTIFS(Home!$D$3:$D$976,$F$2,Home!$E$3:$E$976,$D$2,Home!$C$3:$C$976,18,Home!$AE$3:$AE$976,13))</f>
        <v/>
      </c>
      <c r="T31" s="97">
        <f>IF(DAY(DATE($D$2,$F$2+1,0))&lt;19,"",COUNTIFS(Home!$D$3:$D$976,$F$2,Home!$E$3:$E$976,$D$2,Home!$C$3:$C$976,19,Home!$AE$3:$AE$976,13))</f>
        <v/>
      </c>
      <c r="U31" s="97">
        <f>IF(DAY(DATE($D$2,$F$2+1,0))&lt;20,"",COUNTIFS(Home!$D$3:$D$976,$F$2,Home!$E$3:$E$976,$D$2,Home!$C$3:$C$976,20,Home!$AE$3:$AE$976,13))</f>
        <v/>
      </c>
      <c r="V31" s="97">
        <f>IF(DAY(DATE($D$2,$F$2+1,0))&lt;21,"",COUNTIFS(Home!$D$3:$D$976,$F$2,Home!$E$3:$E$976,$D$2,Home!$C$3:$C$976,21,Home!$AE$3:$AE$976,13))</f>
        <v/>
      </c>
      <c r="W31" s="97">
        <f>IF(DAY(DATE($D$2,$F$2+1,0))&lt;22,"",COUNTIFS(Home!$D$3:$D$976,$F$2,Home!$E$3:$E$976,$D$2,Home!$C$3:$C$976,22,Home!$AE$3:$AE$976,13))</f>
        <v/>
      </c>
      <c r="X31" s="97">
        <f>IF(DAY(DATE($D$2,$F$2+1,0))&lt;23,"",COUNTIFS(Home!$D$3:$D$976,$F$2,Home!$E$3:$E$976,$D$2,Home!$C$3:$C$976,23,Home!$AE$3:$AE$976,13))</f>
        <v/>
      </c>
      <c r="Y31" s="97">
        <f>IF(DAY(DATE($D$2,$F$2+1,0))&lt;24,"",COUNTIFS(Home!$D$3:$D$976,$F$2,Home!$E$3:$E$976,$D$2,Home!$C$3:$C$976,24,Home!$AE$3:$AE$976,13))</f>
        <v/>
      </c>
      <c r="Z31" s="97">
        <f>IF(DAY(DATE($D$2,$F$2+1,0))&lt;25,"",COUNTIFS(Home!$D$3:$D$976,$F$2,Home!$E$3:$E$976,$D$2,Home!$C$3:$C$976,25,Home!$AE$3:$AE$976,13))</f>
        <v/>
      </c>
      <c r="AA31" s="97">
        <f>IF(DAY(DATE($D$2,$F$2+1,0))&lt;26,"",COUNTIFS(Home!$D$3:$D$976,$F$2,Home!$E$3:$E$976,$D$2,Home!$C$3:$C$976,26,Home!$AE$3:$AE$976,13))</f>
        <v/>
      </c>
      <c r="AB31" s="97">
        <f>IF(DAY(DATE($D$2,$F$2+1,0))&lt;27,"",COUNTIFS(Home!$D$3:$D$976,$F$2,Home!$E$3:$E$976,$D$2,Home!$C$3:$C$976,27,Home!$AE$3:$AE$976,13))</f>
        <v/>
      </c>
      <c r="AC31" s="97">
        <f>IF(DAY(DATE($D$2,$F$2+1,0))&lt;28,"",COUNTIFS(Home!$D$3:$D$976,$F$2,Home!$E$3:$E$976,$D$2,Home!$C$3:$C$976,28,Home!$AE$3:$AE$976,13))</f>
        <v/>
      </c>
      <c r="AD31" s="97">
        <f>IF(DAY(DATE($D$2,$F$2+1,0))&lt;29,"",COUNTIFS(Home!$D$3:$D$976,$F$2,Home!$E$3:$E$976,$D$2,Home!$C$3:$C$976,29,Home!$AE$3:$AE$976,13))</f>
        <v/>
      </c>
      <c r="AE31" s="97">
        <f>IF(DAY(DATE($D$2,$F$2+1,0))&lt;30,"",COUNTIFS(Home!$D$3:$D$976,$F$2,Home!$E$3:$E$976,$D$2,Home!$C$3:$C$976,30,Home!$AE$3:$AE$976,13))</f>
        <v/>
      </c>
      <c r="AF31" s="97">
        <f>IF(DAY(DATE($D$2,$F$2+1,0))&lt;31,"",COUNTIFS(Home!$D$3:$D$976,$F$2,Home!$E$3:$E$976,$D$2,Home!$C$3:$C$976,31,Home!$AE$3:$AE$976,13))</f>
        <v/>
      </c>
    </row>
    <row r="32" ht="14" customHeight="1" s="58">
      <c r="A32" s="90" t="inlineStr">
        <is>
          <t>14h</t>
        </is>
      </c>
      <c r="B32" s="97">
        <f>IF(DAY(DATE($D$2,$F$2+1,0))&lt;1,"",COUNTIFS(Home!$D$3:$D$976,$F$2,Home!$E$3:$E$976,$D$2,Home!$C$3:$C$976,1,Home!$AE$3:$AE$976,14))</f>
        <v/>
      </c>
      <c r="C32" s="97">
        <f>IF(DAY(DATE($D$2,$F$2+1,0))&lt;2,"",COUNTIFS(Home!$D$3:$D$976,$F$2,Home!$E$3:$E$976,$D$2,Home!$C$3:$C$976,2,Home!$AE$3:$AE$976,14))</f>
        <v/>
      </c>
      <c r="D32" s="97">
        <f>IF(DAY(DATE($D$2,$F$2+1,0))&lt;3,"",COUNTIFS(Home!$D$3:$D$976,$F$2,Home!$E$3:$E$976,$D$2,Home!$C$3:$C$976,3,Home!$AE$3:$AE$976,14))</f>
        <v/>
      </c>
      <c r="E32" s="97">
        <f>IF(DAY(DATE($D$2,$F$2+1,0))&lt;4,"",COUNTIFS(Home!$D$3:$D$976,$F$2,Home!$E$3:$E$976,$D$2,Home!$C$3:$C$976,4,Home!$AE$3:$AE$976,14))</f>
        <v/>
      </c>
      <c r="F32" s="97">
        <f>IF(DAY(DATE($D$2,$F$2+1,0))&lt;5,"",COUNTIFS(Home!$D$3:$D$976,$F$2,Home!$E$3:$E$976,$D$2,Home!$C$3:$C$976,5,Home!$AE$3:$AE$976,14))</f>
        <v/>
      </c>
      <c r="G32" s="97">
        <f>IF(DAY(DATE($D$2,$F$2+1,0))&lt;6,"",COUNTIFS(Home!$D$3:$D$976,$F$2,Home!$E$3:$E$976,$D$2,Home!$C$3:$C$976,6,Home!$AE$3:$AE$976,14))</f>
        <v/>
      </c>
      <c r="H32" s="97">
        <f>IF(DAY(DATE($D$2,$F$2+1,0))&lt;7,"",COUNTIFS(Home!$D$3:$D$976,$F$2,Home!$E$3:$E$976,$D$2,Home!$C$3:$C$976,7,Home!$AE$3:$AE$976,14))</f>
        <v/>
      </c>
      <c r="I32" s="97">
        <f>IF(DAY(DATE($D$2,$F$2+1,0))&lt;8,"",COUNTIFS(Home!$D$3:$D$976,$F$2,Home!$E$3:$E$976,$D$2,Home!$C$3:$C$976,8,Home!$AE$3:$AE$976,14))</f>
        <v/>
      </c>
      <c r="J32" s="97">
        <f>IF(DAY(DATE($D$2,$F$2+1,0))&lt;9,"",COUNTIFS(Home!$D$3:$D$976,$F$2,Home!$E$3:$E$976,$D$2,Home!$C$3:$C$976,9,Home!$AE$3:$AE$976,14))</f>
        <v/>
      </c>
      <c r="K32" s="97">
        <f>IF(DAY(DATE($D$2,$F$2+1,0))&lt;10,"",COUNTIFS(Home!$D$3:$D$976,$F$2,Home!$E$3:$E$976,$D$2,Home!$C$3:$C$976,10,Home!$AE$3:$AE$976,14))</f>
        <v/>
      </c>
      <c r="L32" s="97">
        <f>IF(DAY(DATE($D$2,$F$2+1,0))&lt;11,"",COUNTIFS(Home!$D$3:$D$976,$F$2,Home!$E$3:$E$976,$D$2,Home!$C$3:$C$976,11,Home!$AE$3:$AE$976,14))</f>
        <v/>
      </c>
      <c r="M32" s="97">
        <f>IF(DAY(DATE($D$2,$F$2+1,0))&lt;12,"",COUNTIFS(Home!$D$3:$D$976,$F$2,Home!$E$3:$E$976,$D$2,Home!$C$3:$C$976,12,Home!$AE$3:$AE$976,14))</f>
        <v/>
      </c>
      <c r="N32" s="97">
        <f>IF(DAY(DATE($D$2,$F$2+1,0))&lt;13,"",COUNTIFS(Home!$D$3:$D$976,$F$2,Home!$E$3:$E$976,$D$2,Home!$C$3:$C$976,13,Home!$AE$3:$AE$976,14))</f>
        <v/>
      </c>
      <c r="O32" s="97">
        <f>IF(DAY(DATE($D$2,$F$2+1,0))&lt;14,"",COUNTIFS(Home!$D$3:$D$976,$F$2,Home!$E$3:$E$976,$D$2,Home!$C$3:$C$976,14,Home!$AE$3:$AE$976,14))</f>
        <v/>
      </c>
      <c r="P32" s="97">
        <f>IF(DAY(DATE($D$2,$F$2+1,0))&lt;15,"",COUNTIFS(Home!$D$3:$D$976,$F$2,Home!$E$3:$E$976,$D$2,Home!$C$3:$C$976,15,Home!$AE$3:$AE$976,14))</f>
        <v/>
      </c>
      <c r="Q32" s="97">
        <f>IF(DAY(DATE($D$2,$F$2+1,0))&lt;16,"",COUNTIFS(Home!$D$3:$D$976,$F$2,Home!$E$3:$E$976,$D$2,Home!$C$3:$C$976,16,Home!$AE$3:$AE$976,14))</f>
        <v/>
      </c>
      <c r="R32" s="97">
        <f>IF(DAY(DATE($D$2,$F$2+1,0))&lt;17,"",COUNTIFS(Home!$D$3:$D$976,$F$2,Home!$E$3:$E$976,$D$2,Home!$C$3:$C$976,17,Home!$AE$3:$AE$976,14))</f>
        <v/>
      </c>
      <c r="S32" s="97">
        <f>IF(DAY(DATE($D$2,$F$2+1,0))&lt;18,"",COUNTIFS(Home!$D$3:$D$976,$F$2,Home!$E$3:$E$976,$D$2,Home!$C$3:$C$976,18,Home!$AE$3:$AE$976,14))</f>
        <v/>
      </c>
      <c r="T32" s="97">
        <f>IF(DAY(DATE($D$2,$F$2+1,0))&lt;19,"",COUNTIFS(Home!$D$3:$D$976,$F$2,Home!$E$3:$E$976,$D$2,Home!$C$3:$C$976,19,Home!$AE$3:$AE$976,14))</f>
        <v/>
      </c>
      <c r="U32" s="97">
        <f>IF(DAY(DATE($D$2,$F$2+1,0))&lt;20,"",COUNTIFS(Home!$D$3:$D$976,$F$2,Home!$E$3:$E$976,$D$2,Home!$C$3:$C$976,20,Home!$AE$3:$AE$976,14))</f>
        <v/>
      </c>
      <c r="V32" s="97">
        <f>IF(DAY(DATE($D$2,$F$2+1,0))&lt;21,"",COUNTIFS(Home!$D$3:$D$976,$F$2,Home!$E$3:$E$976,$D$2,Home!$C$3:$C$976,21,Home!$AE$3:$AE$976,14))</f>
        <v/>
      </c>
      <c r="W32" s="97">
        <f>IF(DAY(DATE($D$2,$F$2+1,0))&lt;22,"",COUNTIFS(Home!$D$3:$D$976,$F$2,Home!$E$3:$E$976,$D$2,Home!$C$3:$C$976,22,Home!$AE$3:$AE$976,14))</f>
        <v/>
      </c>
      <c r="X32" s="97">
        <f>IF(DAY(DATE($D$2,$F$2+1,0))&lt;23,"",COUNTIFS(Home!$D$3:$D$976,$F$2,Home!$E$3:$E$976,$D$2,Home!$C$3:$C$976,23,Home!$AE$3:$AE$976,14))</f>
        <v/>
      </c>
      <c r="Y32" s="97">
        <f>IF(DAY(DATE($D$2,$F$2+1,0))&lt;24,"",COUNTIFS(Home!$D$3:$D$976,$F$2,Home!$E$3:$E$976,$D$2,Home!$C$3:$C$976,24,Home!$AE$3:$AE$976,14))</f>
        <v/>
      </c>
      <c r="Z32" s="97">
        <f>IF(DAY(DATE($D$2,$F$2+1,0))&lt;25,"",COUNTIFS(Home!$D$3:$D$976,$F$2,Home!$E$3:$E$976,$D$2,Home!$C$3:$C$976,25,Home!$AE$3:$AE$976,14))</f>
        <v/>
      </c>
      <c r="AA32" s="97">
        <f>IF(DAY(DATE($D$2,$F$2+1,0))&lt;26,"",COUNTIFS(Home!$D$3:$D$976,$F$2,Home!$E$3:$E$976,$D$2,Home!$C$3:$C$976,26,Home!$AE$3:$AE$976,14))</f>
        <v/>
      </c>
      <c r="AB32" s="97">
        <f>IF(DAY(DATE($D$2,$F$2+1,0))&lt;27,"",COUNTIFS(Home!$D$3:$D$976,$F$2,Home!$E$3:$E$976,$D$2,Home!$C$3:$C$976,27,Home!$AE$3:$AE$976,14))</f>
        <v/>
      </c>
      <c r="AC32" s="97">
        <f>IF(DAY(DATE($D$2,$F$2+1,0))&lt;28,"",COUNTIFS(Home!$D$3:$D$976,$F$2,Home!$E$3:$E$976,$D$2,Home!$C$3:$C$976,28,Home!$AE$3:$AE$976,14))</f>
        <v/>
      </c>
      <c r="AD32" s="97">
        <f>IF(DAY(DATE($D$2,$F$2+1,0))&lt;29,"",COUNTIFS(Home!$D$3:$D$976,$F$2,Home!$E$3:$E$976,$D$2,Home!$C$3:$C$976,29,Home!$AE$3:$AE$976,14))</f>
        <v/>
      </c>
      <c r="AE32" s="97">
        <f>IF(DAY(DATE($D$2,$F$2+1,0))&lt;30,"",COUNTIFS(Home!$D$3:$D$976,$F$2,Home!$E$3:$E$976,$D$2,Home!$C$3:$C$976,30,Home!$AE$3:$AE$976,14))</f>
        <v/>
      </c>
      <c r="AF32" s="97">
        <f>IF(DAY(DATE($D$2,$F$2+1,0))&lt;31,"",COUNTIFS(Home!$D$3:$D$976,$F$2,Home!$E$3:$E$976,$D$2,Home!$C$3:$C$976,31,Home!$AE$3:$AE$976,14))</f>
        <v/>
      </c>
    </row>
    <row r="33" ht="14" customHeight="1" s="58">
      <c r="A33" s="90" t="inlineStr">
        <is>
          <t>15h</t>
        </is>
      </c>
      <c r="B33" s="97">
        <f>IF(DAY(DATE($D$2,$F$2+1,0))&lt;1,"",COUNTIFS(Home!$D$3:$D$976,$F$2,Home!$E$3:$E$976,$D$2,Home!$C$3:$C$976,1,Home!$AE$3:$AE$976,15))</f>
        <v/>
      </c>
      <c r="C33" s="97">
        <f>IF(DAY(DATE($D$2,$F$2+1,0))&lt;2,"",COUNTIFS(Home!$D$3:$D$976,$F$2,Home!$E$3:$E$976,$D$2,Home!$C$3:$C$976,2,Home!$AE$3:$AE$976,15))</f>
        <v/>
      </c>
      <c r="D33" s="97">
        <f>IF(DAY(DATE($D$2,$F$2+1,0))&lt;3,"",COUNTIFS(Home!$D$3:$D$976,$F$2,Home!$E$3:$E$976,$D$2,Home!$C$3:$C$976,3,Home!$AE$3:$AE$976,15))</f>
        <v/>
      </c>
      <c r="E33" s="97">
        <f>IF(DAY(DATE($D$2,$F$2+1,0))&lt;4,"",COUNTIFS(Home!$D$3:$D$976,$F$2,Home!$E$3:$E$976,$D$2,Home!$C$3:$C$976,4,Home!$AE$3:$AE$976,15))</f>
        <v/>
      </c>
      <c r="F33" s="97">
        <f>IF(DAY(DATE($D$2,$F$2+1,0))&lt;5,"",COUNTIFS(Home!$D$3:$D$976,$F$2,Home!$E$3:$E$976,$D$2,Home!$C$3:$C$976,5,Home!$AE$3:$AE$976,15))</f>
        <v/>
      </c>
      <c r="G33" s="97">
        <f>IF(DAY(DATE($D$2,$F$2+1,0))&lt;6,"",COUNTIFS(Home!$D$3:$D$976,$F$2,Home!$E$3:$E$976,$D$2,Home!$C$3:$C$976,6,Home!$AE$3:$AE$976,15))</f>
        <v/>
      </c>
      <c r="H33" s="97">
        <f>IF(DAY(DATE($D$2,$F$2+1,0))&lt;7,"",COUNTIFS(Home!$D$3:$D$976,$F$2,Home!$E$3:$E$976,$D$2,Home!$C$3:$C$976,7,Home!$AE$3:$AE$976,15))</f>
        <v/>
      </c>
      <c r="I33" s="97">
        <f>IF(DAY(DATE($D$2,$F$2+1,0))&lt;8,"",COUNTIFS(Home!$D$3:$D$976,$F$2,Home!$E$3:$E$976,$D$2,Home!$C$3:$C$976,8,Home!$AE$3:$AE$976,15))</f>
        <v/>
      </c>
      <c r="J33" s="97">
        <f>IF(DAY(DATE($D$2,$F$2+1,0))&lt;9,"",COUNTIFS(Home!$D$3:$D$976,$F$2,Home!$E$3:$E$976,$D$2,Home!$C$3:$C$976,9,Home!$AE$3:$AE$976,15))</f>
        <v/>
      </c>
      <c r="K33" s="97">
        <f>IF(DAY(DATE($D$2,$F$2+1,0))&lt;10,"",COUNTIFS(Home!$D$3:$D$976,$F$2,Home!$E$3:$E$976,$D$2,Home!$C$3:$C$976,10,Home!$AE$3:$AE$976,15))</f>
        <v/>
      </c>
      <c r="L33" s="97">
        <f>IF(DAY(DATE($D$2,$F$2+1,0))&lt;11,"",COUNTIFS(Home!$D$3:$D$976,$F$2,Home!$E$3:$E$976,$D$2,Home!$C$3:$C$976,11,Home!$AE$3:$AE$976,15))</f>
        <v/>
      </c>
      <c r="M33" s="97">
        <f>IF(DAY(DATE($D$2,$F$2+1,0))&lt;12,"",COUNTIFS(Home!$D$3:$D$976,$F$2,Home!$E$3:$E$976,$D$2,Home!$C$3:$C$976,12,Home!$AE$3:$AE$976,15))</f>
        <v/>
      </c>
      <c r="N33" s="97">
        <f>IF(DAY(DATE($D$2,$F$2+1,0))&lt;13,"",COUNTIFS(Home!$D$3:$D$976,$F$2,Home!$E$3:$E$976,$D$2,Home!$C$3:$C$976,13,Home!$AE$3:$AE$976,15))</f>
        <v/>
      </c>
      <c r="O33" s="97">
        <f>IF(DAY(DATE($D$2,$F$2+1,0))&lt;14,"",COUNTIFS(Home!$D$3:$D$976,$F$2,Home!$E$3:$E$976,$D$2,Home!$C$3:$C$976,14,Home!$AE$3:$AE$976,15))</f>
        <v/>
      </c>
      <c r="P33" s="97">
        <f>IF(DAY(DATE($D$2,$F$2+1,0))&lt;15,"",COUNTIFS(Home!$D$3:$D$976,$F$2,Home!$E$3:$E$976,$D$2,Home!$C$3:$C$976,15,Home!$AE$3:$AE$976,15))</f>
        <v/>
      </c>
      <c r="Q33" s="97">
        <f>IF(DAY(DATE($D$2,$F$2+1,0))&lt;16,"",COUNTIFS(Home!$D$3:$D$976,$F$2,Home!$E$3:$E$976,$D$2,Home!$C$3:$C$976,16,Home!$AE$3:$AE$976,15))</f>
        <v/>
      </c>
      <c r="R33" s="97">
        <f>IF(DAY(DATE($D$2,$F$2+1,0))&lt;17,"",COUNTIFS(Home!$D$3:$D$976,$F$2,Home!$E$3:$E$976,$D$2,Home!$C$3:$C$976,17,Home!$AE$3:$AE$976,15))</f>
        <v/>
      </c>
      <c r="S33" s="97">
        <f>IF(DAY(DATE($D$2,$F$2+1,0))&lt;18,"",COUNTIFS(Home!$D$3:$D$976,$F$2,Home!$E$3:$E$976,$D$2,Home!$C$3:$C$976,18,Home!$AE$3:$AE$976,15))</f>
        <v/>
      </c>
      <c r="T33" s="97">
        <f>IF(DAY(DATE($D$2,$F$2+1,0))&lt;19,"",COUNTIFS(Home!$D$3:$D$976,$F$2,Home!$E$3:$E$976,$D$2,Home!$C$3:$C$976,19,Home!$AE$3:$AE$976,15))</f>
        <v/>
      </c>
      <c r="U33" s="97">
        <f>IF(DAY(DATE($D$2,$F$2+1,0))&lt;20,"",COUNTIFS(Home!$D$3:$D$976,$F$2,Home!$E$3:$E$976,$D$2,Home!$C$3:$C$976,20,Home!$AE$3:$AE$976,15))</f>
        <v/>
      </c>
      <c r="V33" s="97">
        <f>IF(DAY(DATE($D$2,$F$2+1,0))&lt;21,"",COUNTIFS(Home!$D$3:$D$976,$F$2,Home!$E$3:$E$976,$D$2,Home!$C$3:$C$976,21,Home!$AE$3:$AE$976,15))</f>
        <v/>
      </c>
      <c r="W33" s="97">
        <f>IF(DAY(DATE($D$2,$F$2+1,0))&lt;22,"",COUNTIFS(Home!$D$3:$D$976,$F$2,Home!$E$3:$E$976,$D$2,Home!$C$3:$C$976,22,Home!$AE$3:$AE$976,15))</f>
        <v/>
      </c>
      <c r="X33" s="97">
        <f>IF(DAY(DATE($D$2,$F$2+1,0))&lt;23,"",COUNTIFS(Home!$D$3:$D$976,$F$2,Home!$E$3:$E$976,$D$2,Home!$C$3:$C$976,23,Home!$AE$3:$AE$976,15))</f>
        <v/>
      </c>
      <c r="Y33" s="97">
        <f>IF(DAY(DATE($D$2,$F$2+1,0))&lt;24,"",COUNTIFS(Home!$D$3:$D$976,$F$2,Home!$E$3:$E$976,$D$2,Home!$C$3:$C$976,24,Home!$AE$3:$AE$976,15))</f>
        <v/>
      </c>
      <c r="Z33" s="97">
        <f>IF(DAY(DATE($D$2,$F$2+1,0))&lt;25,"",COUNTIFS(Home!$D$3:$D$976,$F$2,Home!$E$3:$E$976,$D$2,Home!$C$3:$C$976,25,Home!$AE$3:$AE$976,15))</f>
        <v/>
      </c>
      <c r="AA33" s="97">
        <f>IF(DAY(DATE($D$2,$F$2+1,0))&lt;26,"",COUNTIFS(Home!$D$3:$D$976,$F$2,Home!$E$3:$E$976,$D$2,Home!$C$3:$C$976,26,Home!$AE$3:$AE$976,15))</f>
        <v/>
      </c>
      <c r="AB33" s="97">
        <f>IF(DAY(DATE($D$2,$F$2+1,0))&lt;27,"",COUNTIFS(Home!$D$3:$D$976,$F$2,Home!$E$3:$E$976,$D$2,Home!$C$3:$C$976,27,Home!$AE$3:$AE$976,15))</f>
        <v/>
      </c>
      <c r="AC33" s="97">
        <f>IF(DAY(DATE($D$2,$F$2+1,0))&lt;28,"",COUNTIFS(Home!$D$3:$D$976,$F$2,Home!$E$3:$E$976,$D$2,Home!$C$3:$C$976,28,Home!$AE$3:$AE$976,15))</f>
        <v/>
      </c>
      <c r="AD33" s="97">
        <f>IF(DAY(DATE($D$2,$F$2+1,0))&lt;29,"",COUNTIFS(Home!$D$3:$D$976,$F$2,Home!$E$3:$E$976,$D$2,Home!$C$3:$C$976,29,Home!$AE$3:$AE$976,15))</f>
        <v/>
      </c>
      <c r="AE33" s="97">
        <f>IF(DAY(DATE($D$2,$F$2+1,0))&lt;30,"",COUNTIFS(Home!$D$3:$D$976,$F$2,Home!$E$3:$E$976,$D$2,Home!$C$3:$C$976,30,Home!$AE$3:$AE$976,15))</f>
        <v/>
      </c>
      <c r="AF33" s="97">
        <f>IF(DAY(DATE($D$2,$F$2+1,0))&lt;31,"",COUNTIFS(Home!$D$3:$D$976,$F$2,Home!$E$3:$E$976,$D$2,Home!$C$3:$C$976,31,Home!$AE$3:$AE$976,15))</f>
        <v/>
      </c>
    </row>
    <row r="34" ht="14" customHeight="1" s="58">
      <c r="A34" s="90" t="inlineStr">
        <is>
          <t>16h</t>
        </is>
      </c>
      <c r="B34" s="97">
        <f>IF(DAY(DATE($D$2,$F$2+1,0))&lt;1,"",COUNTIFS(Home!$D$3:$D$976,$F$2,Home!$E$3:$E$976,$D$2,Home!$C$3:$C$976,1,Home!$AE$3:$AE$976,16))</f>
        <v/>
      </c>
      <c r="C34" s="97">
        <f>IF(DAY(DATE($D$2,$F$2+1,0))&lt;2,"",COUNTIFS(Home!$D$3:$D$976,$F$2,Home!$E$3:$E$976,$D$2,Home!$C$3:$C$976,2,Home!$AE$3:$AE$976,16))</f>
        <v/>
      </c>
      <c r="D34" s="97">
        <f>IF(DAY(DATE($D$2,$F$2+1,0))&lt;3,"",COUNTIFS(Home!$D$3:$D$976,$F$2,Home!$E$3:$E$976,$D$2,Home!$C$3:$C$976,3,Home!$AE$3:$AE$976,16))</f>
        <v/>
      </c>
      <c r="E34" s="97">
        <f>IF(DAY(DATE($D$2,$F$2+1,0))&lt;4,"",COUNTIFS(Home!$D$3:$D$976,$F$2,Home!$E$3:$E$976,$D$2,Home!$C$3:$C$976,4,Home!$AE$3:$AE$976,16))</f>
        <v/>
      </c>
      <c r="F34" s="97">
        <f>IF(DAY(DATE($D$2,$F$2+1,0))&lt;5,"",COUNTIFS(Home!$D$3:$D$976,$F$2,Home!$E$3:$E$976,$D$2,Home!$C$3:$C$976,5,Home!$AE$3:$AE$976,16))</f>
        <v/>
      </c>
      <c r="G34" s="97">
        <f>IF(DAY(DATE($D$2,$F$2+1,0))&lt;6,"",COUNTIFS(Home!$D$3:$D$976,$F$2,Home!$E$3:$E$976,$D$2,Home!$C$3:$C$976,6,Home!$AE$3:$AE$976,16))</f>
        <v/>
      </c>
      <c r="H34" s="97">
        <f>IF(DAY(DATE($D$2,$F$2+1,0))&lt;7,"",COUNTIFS(Home!$D$3:$D$976,$F$2,Home!$E$3:$E$976,$D$2,Home!$C$3:$C$976,7,Home!$AE$3:$AE$976,16))</f>
        <v/>
      </c>
      <c r="I34" s="97">
        <f>IF(DAY(DATE($D$2,$F$2+1,0))&lt;8,"",COUNTIFS(Home!$D$3:$D$976,$F$2,Home!$E$3:$E$976,$D$2,Home!$C$3:$C$976,8,Home!$AE$3:$AE$976,16))</f>
        <v/>
      </c>
      <c r="J34" s="97">
        <f>IF(DAY(DATE($D$2,$F$2+1,0))&lt;9,"",COUNTIFS(Home!$D$3:$D$976,$F$2,Home!$E$3:$E$976,$D$2,Home!$C$3:$C$976,9,Home!$AE$3:$AE$976,16))</f>
        <v/>
      </c>
      <c r="K34" s="97">
        <f>IF(DAY(DATE($D$2,$F$2+1,0))&lt;10,"",COUNTIFS(Home!$D$3:$D$976,$F$2,Home!$E$3:$E$976,$D$2,Home!$C$3:$C$976,10,Home!$AE$3:$AE$976,16))</f>
        <v/>
      </c>
      <c r="L34" s="97">
        <f>IF(DAY(DATE($D$2,$F$2+1,0))&lt;11,"",COUNTIFS(Home!$D$3:$D$976,$F$2,Home!$E$3:$E$976,$D$2,Home!$C$3:$C$976,11,Home!$AE$3:$AE$976,16))</f>
        <v/>
      </c>
      <c r="M34" s="97">
        <f>IF(DAY(DATE($D$2,$F$2+1,0))&lt;12,"",COUNTIFS(Home!$D$3:$D$976,$F$2,Home!$E$3:$E$976,$D$2,Home!$C$3:$C$976,12,Home!$AE$3:$AE$976,16))</f>
        <v/>
      </c>
      <c r="N34" s="97">
        <f>IF(DAY(DATE($D$2,$F$2+1,0))&lt;13,"",COUNTIFS(Home!$D$3:$D$976,$F$2,Home!$E$3:$E$976,$D$2,Home!$C$3:$C$976,13,Home!$AE$3:$AE$976,16))</f>
        <v/>
      </c>
      <c r="O34" s="97">
        <f>IF(DAY(DATE($D$2,$F$2+1,0))&lt;14,"",COUNTIFS(Home!$D$3:$D$976,$F$2,Home!$E$3:$E$976,$D$2,Home!$C$3:$C$976,14,Home!$AE$3:$AE$976,16))</f>
        <v/>
      </c>
      <c r="P34" s="97">
        <f>IF(DAY(DATE($D$2,$F$2+1,0))&lt;15,"",COUNTIFS(Home!$D$3:$D$976,$F$2,Home!$E$3:$E$976,$D$2,Home!$C$3:$C$976,15,Home!$AE$3:$AE$976,16))</f>
        <v/>
      </c>
      <c r="Q34" s="97">
        <f>IF(DAY(DATE($D$2,$F$2+1,0))&lt;16,"",COUNTIFS(Home!$D$3:$D$976,$F$2,Home!$E$3:$E$976,$D$2,Home!$C$3:$C$976,16,Home!$AE$3:$AE$976,16))</f>
        <v/>
      </c>
      <c r="R34" s="97">
        <f>IF(DAY(DATE($D$2,$F$2+1,0))&lt;17,"",COUNTIFS(Home!$D$3:$D$976,$F$2,Home!$E$3:$E$976,$D$2,Home!$C$3:$C$976,17,Home!$AE$3:$AE$976,16))</f>
        <v/>
      </c>
      <c r="S34" s="97">
        <f>IF(DAY(DATE($D$2,$F$2+1,0))&lt;18,"",COUNTIFS(Home!$D$3:$D$976,$F$2,Home!$E$3:$E$976,$D$2,Home!$C$3:$C$976,18,Home!$AE$3:$AE$976,16))</f>
        <v/>
      </c>
      <c r="T34" s="97">
        <f>IF(DAY(DATE($D$2,$F$2+1,0))&lt;19,"",COUNTIFS(Home!$D$3:$D$976,$F$2,Home!$E$3:$E$976,$D$2,Home!$C$3:$C$976,19,Home!$AE$3:$AE$976,16))</f>
        <v/>
      </c>
      <c r="U34" s="97">
        <f>IF(DAY(DATE($D$2,$F$2+1,0))&lt;20,"",COUNTIFS(Home!$D$3:$D$976,$F$2,Home!$E$3:$E$976,$D$2,Home!$C$3:$C$976,20,Home!$AE$3:$AE$976,16))</f>
        <v/>
      </c>
      <c r="V34" s="97">
        <f>IF(DAY(DATE($D$2,$F$2+1,0))&lt;21,"",COUNTIFS(Home!$D$3:$D$976,$F$2,Home!$E$3:$E$976,$D$2,Home!$C$3:$C$976,21,Home!$AE$3:$AE$976,16))</f>
        <v/>
      </c>
      <c r="W34" s="97">
        <f>IF(DAY(DATE($D$2,$F$2+1,0))&lt;22,"",COUNTIFS(Home!$D$3:$D$976,$F$2,Home!$E$3:$E$976,$D$2,Home!$C$3:$C$976,22,Home!$AE$3:$AE$976,16))</f>
        <v/>
      </c>
      <c r="X34" s="97">
        <f>IF(DAY(DATE($D$2,$F$2+1,0))&lt;23,"",COUNTIFS(Home!$D$3:$D$976,$F$2,Home!$E$3:$E$976,$D$2,Home!$C$3:$C$976,23,Home!$AE$3:$AE$976,16))</f>
        <v/>
      </c>
      <c r="Y34" s="97">
        <f>IF(DAY(DATE($D$2,$F$2+1,0))&lt;24,"",COUNTIFS(Home!$D$3:$D$976,$F$2,Home!$E$3:$E$976,$D$2,Home!$C$3:$C$976,24,Home!$AE$3:$AE$976,16))</f>
        <v/>
      </c>
      <c r="Z34" s="97">
        <f>IF(DAY(DATE($D$2,$F$2+1,0))&lt;25,"",COUNTIFS(Home!$D$3:$D$976,$F$2,Home!$E$3:$E$976,$D$2,Home!$C$3:$C$976,25,Home!$AE$3:$AE$976,16))</f>
        <v/>
      </c>
      <c r="AA34" s="97">
        <f>IF(DAY(DATE($D$2,$F$2+1,0))&lt;26,"",COUNTIFS(Home!$D$3:$D$976,$F$2,Home!$E$3:$E$976,$D$2,Home!$C$3:$C$976,26,Home!$AE$3:$AE$976,16))</f>
        <v/>
      </c>
      <c r="AB34" s="97">
        <f>IF(DAY(DATE($D$2,$F$2+1,0))&lt;27,"",COUNTIFS(Home!$D$3:$D$976,$F$2,Home!$E$3:$E$976,$D$2,Home!$C$3:$C$976,27,Home!$AE$3:$AE$976,16))</f>
        <v/>
      </c>
      <c r="AC34" s="97">
        <f>IF(DAY(DATE($D$2,$F$2+1,0))&lt;28,"",COUNTIFS(Home!$D$3:$D$976,$F$2,Home!$E$3:$E$976,$D$2,Home!$C$3:$C$976,28,Home!$AE$3:$AE$976,16))</f>
        <v/>
      </c>
      <c r="AD34" s="97">
        <f>IF(DAY(DATE($D$2,$F$2+1,0))&lt;29,"",COUNTIFS(Home!$D$3:$D$976,$F$2,Home!$E$3:$E$976,$D$2,Home!$C$3:$C$976,29,Home!$AE$3:$AE$976,16))</f>
        <v/>
      </c>
      <c r="AE34" s="97">
        <f>IF(DAY(DATE($D$2,$F$2+1,0))&lt;30,"",COUNTIFS(Home!$D$3:$D$976,$F$2,Home!$E$3:$E$976,$D$2,Home!$C$3:$C$976,30,Home!$AE$3:$AE$976,16))</f>
        <v/>
      </c>
      <c r="AF34" s="97">
        <f>IF(DAY(DATE($D$2,$F$2+1,0))&lt;31,"",COUNTIFS(Home!$D$3:$D$976,$F$2,Home!$E$3:$E$976,$D$2,Home!$C$3:$C$976,31,Home!$AE$3:$AE$976,16))</f>
        <v/>
      </c>
    </row>
    <row r="35" ht="14" customHeight="1" s="58">
      <c r="A35" s="90" t="inlineStr">
        <is>
          <t>17h</t>
        </is>
      </c>
      <c r="B35" s="97">
        <f>IF(DAY(DATE($D$2,$F$2+1,0))&lt;1,"",COUNTIFS(Home!$D$3:$D$976,$F$2,Home!$E$3:$E$976,$D$2,Home!$C$3:$C$976,1,Home!$AE$3:$AE$976,17))</f>
        <v/>
      </c>
      <c r="C35" s="97">
        <f>IF(DAY(DATE($D$2,$F$2+1,0))&lt;2,"",COUNTIFS(Home!$D$3:$D$976,$F$2,Home!$E$3:$E$976,$D$2,Home!$C$3:$C$976,2,Home!$AE$3:$AE$976,17))</f>
        <v/>
      </c>
      <c r="D35" s="97">
        <f>IF(DAY(DATE($D$2,$F$2+1,0))&lt;3,"",COUNTIFS(Home!$D$3:$D$976,$F$2,Home!$E$3:$E$976,$D$2,Home!$C$3:$C$976,3,Home!$AE$3:$AE$976,17))</f>
        <v/>
      </c>
      <c r="E35" s="97">
        <f>IF(DAY(DATE($D$2,$F$2+1,0))&lt;4,"",COUNTIFS(Home!$D$3:$D$976,$F$2,Home!$E$3:$E$976,$D$2,Home!$C$3:$C$976,4,Home!$AE$3:$AE$976,17))</f>
        <v/>
      </c>
      <c r="F35" s="97">
        <f>IF(DAY(DATE($D$2,$F$2+1,0))&lt;5,"",COUNTIFS(Home!$D$3:$D$976,$F$2,Home!$E$3:$E$976,$D$2,Home!$C$3:$C$976,5,Home!$AE$3:$AE$976,17))</f>
        <v/>
      </c>
      <c r="G35" s="97">
        <f>IF(DAY(DATE($D$2,$F$2+1,0))&lt;6,"",COUNTIFS(Home!$D$3:$D$976,$F$2,Home!$E$3:$E$976,$D$2,Home!$C$3:$C$976,6,Home!$AE$3:$AE$976,17))</f>
        <v/>
      </c>
      <c r="H35" s="97">
        <f>IF(DAY(DATE($D$2,$F$2+1,0))&lt;7,"",COUNTIFS(Home!$D$3:$D$976,$F$2,Home!$E$3:$E$976,$D$2,Home!$C$3:$C$976,7,Home!$AE$3:$AE$976,17))</f>
        <v/>
      </c>
      <c r="I35" s="97">
        <f>IF(DAY(DATE($D$2,$F$2+1,0))&lt;8,"",COUNTIFS(Home!$D$3:$D$976,$F$2,Home!$E$3:$E$976,$D$2,Home!$C$3:$C$976,8,Home!$AE$3:$AE$976,17))</f>
        <v/>
      </c>
      <c r="J35" s="97">
        <f>IF(DAY(DATE($D$2,$F$2+1,0))&lt;9,"",COUNTIFS(Home!$D$3:$D$976,$F$2,Home!$E$3:$E$976,$D$2,Home!$C$3:$C$976,9,Home!$AE$3:$AE$976,17))</f>
        <v/>
      </c>
      <c r="K35" s="97">
        <f>IF(DAY(DATE($D$2,$F$2+1,0))&lt;10,"",COUNTIFS(Home!$D$3:$D$976,$F$2,Home!$E$3:$E$976,$D$2,Home!$C$3:$C$976,10,Home!$AE$3:$AE$976,17))</f>
        <v/>
      </c>
      <c r="L35" s="97">
        <f>IF(DAY(DATE($D$2,$F$2+1,0))&lt;11,"",COUNTIFS(Home!$D$3:$D$976,$F$2,Home!$E$3:$E$976,$D$2,Home!$C$3:$C$976,11,Home!$AE$3:$AE$976,17))</f>
        <v/>
      </c>
      <c r="M35" s="97">
        <f>IF(DAY(DATE($D$2,$F$2+1,0))&lt;12,"",COUNTIFS(Home!$D$3:$D$976,$F$2,Home!$E$3:$E$976,$D$2,Home!$C$3:$C$976,12,Home!$AE$3:$AE$976,17))</f>
        <v/>
      </c>
      <c r="N35" s="97">
        <f>IF(DAY(DATE($D$2,$F$2+1,0))&lt;13,"",COUNTIFS(Home!$D$3:$D$976,$F$2,Home!$E$3:$E$976,$D$2,Home!$C$3:$C$976,13,Home!$AE$3:$AE$976,17))</f>
        <v/>
      </c>
      <c r="O35" s="97">
        <f>IF(DAY(DATE($D$2,$F$2+1,0))&lt;14,"",COUNTIFS(Home!$D$3:$D$976,$F$2,Home!$E$3:$E$976,$D$2,Home!$C$3:$C$976,14,Home!$AE$3:$AE$976,17))</f>
        <v/>
      </c>
      <c r="P35" s="97">
        <f>IF(DAY(DATE($D$2,$F$2+1,0))&lt;15,"",COUNTIFS(Home!$D$3:$D$976,$F$2,Home!$E$3:$E$976,$D$2,Home!$C$3:$C$976,15,Home!$AE$3:$AE$976,17))</f>
        <v/>
      </c>
      <c r="Q35" s="97">
        <f>IF(DAY(DATE($D$2,$F$2+1,0))&lt;16,"",COUNTIFS(Home!$D$3:$D$976,$F$2,Home!$E$3:$E$976,$D$2,Home!$C$3:$C$976,16,Home!$AE$3:$AE$976,17))</f>
        <v/>
      </c>
      <c r="R35" s="97">
        <f>IF(DAY(DATE($D$2,$F$2+1,0))&lt;17,"",COUNTIFS(Home!$D$3:$D$976,$F$2,Home!$E$3:$E$976,$D$2,Home!$C$3:$C$976,17,Home!$AE$3:$AE$976,17))</f>
        <v/>
      </c>
      <c r="S35" s="97">
        <f>IF(DAY(DATE($D$2,$F$2+1,0))&lt;18,"",COUNTIFS(Home!$D$3:$D$976,$F$2,Home!$E$3:$E$976,$D$2,Home!$C$3:$C$976,18,Home!$AE$3:$AE$976,17))</f>
        <v/>
      </c>
      <c r="T35" s="97">
        <f>IF(DAY(DATE($D$2,$F$2+1,0))&lt;19,"",COUNTIFS(Home!$D$3:$D$976,$F$2,Home!$E$3:$E$976,$D$2,Home!$C$3:$C$976,19,Home!$AE$3:$AE$976,17))</f>
        <v/>
      </c>
      <c r="U35" s="97">
        <f>IF(DAY(DATE($D$2,$F$2+1,0))&lt;20,"",COUNTIFS(Home!$D$3:$D$976,$F$2,Home!$E$3:$E$976,$D$2,Home!$C$3:$C$976,20,Home!$AE$3:$AE$976,17))</f>
        <v/>
      </c>
      <c r="V35" s="97">
        <f>IF(DAY(DATE($D$2,$F$2+1,0))&lt;21,"",COUNTIFS(Home!$D$3:$D$976,$F$2,Home!$E$3:$E$976,$D$2,Home!$C$3:$C$976,21,Home!$AE$3:$AE$976,17))</f>
        <v/>
      </c>
      <c r="W35" s="97">
        <f>IF(DAY(DATE($D$2,$F$2+1,0))&lt;22,"",COUNTIFS(Home!$D$3:$D$976,$F$2,Home!$E$3:$E$976,$D$2,Home!$C$3:$C$976,22,Home!$AE$3:$AE$976,17))</f>
        <v/>
      </c>
      <c r="X35" s="97">
        <f>IF(DAY(DATE($D$2,$F$2+1,0))&lt;23,"",COUNTIFS(Home!$D$3:$D$976,$F$2,Home!$E$3:$E$976,$D$2,Home!$C$3:$C$976,23,Home!$AE$3:$AE$976,17))</f>
        <v/>
      </c>
      <c r="Y35" s="97">
        <f>IF(DAY(DATE($D$2,$F$2+1,0))&lt;24,"",COUNTIFS(Home!$D$3:$D$976,$F$2,Home!$E$3:$E$976,$D$2,Home!$C$3:$C$976,24,Home!$AE$3:$AE$976,17))</f>
        <v/>
      </c>
      <c r="Z35" s="97">
        <f>IF(DAY(DATE($D$2,$F$2+1,0))&lt;25,"",COUNTIFS(Home!$D$3:$D$976,$F$2,Home!$E$3:$E$976,$D$2,Home!$C$3:$C$976,25,Home!$AE$3:$AE$976,17))</f>
        <v/>
      </c>
      <c r="AA35" s="97">
        <f>IF(DAY(DATE($D$2,$F$2+1,0))&lt;26,"",COUNTIFS(Home!$D$3:$D$976,$F$2,Home!$E$3:$E$976,$D$2,Home!$C$3:$C$976,26,Home!$AE$3:$AE$976,17))</f>
        <v/>
      </c>
      <c r="AB35" s="97">
        <f>IF(DAY(DATE($D$2,$F$2+1,0))&lt;27,"",COUNTIFS(Home!$D$3:$D$976,$F$2,Home!$E$3:$E$976,$D$2,Home!$C$3:$C$976,27,Home!$AE$3:$AE$976,17))</f>
        <v/>
      </c>
      <c r="AC35" s="97">
        <f>IF(DAY(DATE($D$2,$F$2+1,0))&lt;28,"",COUNTIFS(Home!$D$3:$D$976,$F$2,Home!$E$3:$E$976,$D$2,Home!$C$3:$C$976,28,Home!$AE$3:$AE$976,17))</f>
        <v/>
      </c>
      <c r="AD35" s="97">
        <f>IF(DAY(DATE($D$2,$F$2+1,0))&lt;29,"",COUNTIFS(Home!$D$3:$D$976,$F$2,Home!$E$3:$E$976,$D$2,Home!$C$3:$C$976,29,Home!$AE$3:$AE$976,17))</f>
        <v/>
      </c>
      <c r="AE35" s="97">
        <f>IF(DAY(DATE($D$2,$F$2+1,0))&lt;30,"",COUNTIFS(Home!$D$3:$D$976,$F$2,Home!$E$3:$E$976,$D$2,Home!$C$3:$C$976,30,Home!$AE$3:$AE$976,17))</f>
        <v/>
      </c>
      <c r="AF35" s="97">
        <f>IF(DAY(DATE($D$2,$F$2+1,0))&lt;31,"",COUNTIFS(Home!$D$3:$D$976,$F$2,Home!$E$3:$E$976,$D$2,Home!$C$3:$C$976,31,Home!$AE$3:$AE$976,17))</f>
        <v/>
      </c>
    </row>
    <row r="36" ht="14" customHeight="1" s="58">
      <c r="A36" s="90" t="inlineStr">
        <is>
          <t>18h</t>
        </is>
      </c>
      <c r="B36" s="97">
        <f>IF(DAY(DATE($D$2,$F$2+1,0))&lt;1,"",COUNTIFS(Home!$D$3:$D$976,$F$2,Home!$E$3:$E$976,$D$2,Home!$C$3:$C$976,1,Home!$AE$3:$AE$976,18))</f>
        <v/>
      </c>
      <c r="C36" s="97">
        <f>IF(DAY(DATE($D$2,$F$2+1,0))&lt;2,"",COUNTIFS(Home!$D$3:$D$976,$F$2,Home!$E$3:$E$976,$D$2,Home!$C$3:$C$976,2,Home!$AE$3:$AE$976,18))</f>
        <v/>
      </c>
      <c r="D36" s="97">
        <f>IF(DAY(DATE($D$2,$F$2+1,0))&lt;3,"",COUNTIFS(Home!$D$3:$D$976,$F$2,Home!$E$3:$E$976,$D$2,Home!$C$3:$C$976,3,Home!$AE$3:$AE$976,18))</f>
        <v/>
      </c>
      <c r="E36" s="97">
        <f>IF(DAY(DATE($D$2,$F$2+1,0))&lt;4,"",COUNTIFS(Home!$D$3:$D$976,$F$2,Home!$E$3:$E$976,$D$2,Home!$C$3:$C$976,4,Home!$AE$3:$AE$976,18))</f>
        <v/>
      </c>
      <c r="F36" s="97">
        <f>IF(DAY(DATE($D$2,$F$2+1,0))&lt;5,"",COUNTIFS(Home!$D$3:$D$976,$F$2,Home!$E$3:$E$976,$D$2,Home!$C$3:$C$976,5,Home!$AE$3:$AE$976,18))</f>
        <v/>
      </c>
      <c r="G36" s="97">
        <f>IF(DAY(DATE($D$2,$F$2+1,0))&lt;6,"",COUNTIFS(Home!$D$3:$D$976,$F$2,Home!$E$3:$E$976,$D$2,Home!$C$3:$C$976,6,Home!$AE$3:$AE$976,18))</f>
        <v/>
      </c>
      <c r="H36" s="97">
        <f>IF(DAY(DATE($D$2,$F$2+1,0))&lt;7,"",COUNTIFS(Home!$D$3:$D$976,$F$2,Home!$E$3:$E$976,$D$2,Home!$C$3:$C$976,7,Home!$AE$3:$AE$976,18))</f>
        <v/>
      </c>
      <c r="I36" s="97">
        <f>IF(DAY(DATE($D$2,$F$2+1,0))&lt;8,"",COUNTIFS(Home!$D$3:$D$976,$F$2,Home!$E$3:$E$976,$D$2,Home!$C$3:$C$976,8,Home!$AE$3:$AE$976,18))</f>
        <v/>
      </c>
      <c r="J36" s="97">
        <f>IF(DAY(DATE($D$2,$F$2+1,0))&lt;9,"",COUNTIFS(Home!$D$3:$D$976,$F$2,Home!$E$3:$E$976,$D$2,Home!$C$3:$C$976,9,Home!$AE$3:$AE$976,18))</f>
        <v/>
      </c>
      <c r="K36" s="97">
        <f>IF(DAY(DATE($D$2,$F$2+1,0))&lt;10,"",COUNTIFS(Home!$D$3:$D$976,$F$2,Home!$E$3:$E$976,$D$2,Home!$C$3:$C$976,10,Home!$AE$3:$AE$976,18))</f>
        <v/>
      </c>
      <c r="L36" s="97">
        <f>IF(DAY(DATE($D$2,$F$2+1,0))&lt;11,"",COUNTIFS(Home!$D$3:$D$976,$F$2,Home!$E$3:$E$976,$D$2,Home!$C$3:$C$976,11,Home!$AE$3:$AE$976,18))</f>
        <v/>
      </c>
      <c r="M36" s="97">
        <f>IF(DAY(DATE($D$2,$F$2+1,0))&lt;12,"",COUNTIFS(Home!$D$3:$D$976,$F$2,Home!$E$3:$E$976,$D$2,Home!$C$3:$C$976,12,Home!$AE$3:$AE$976,18))</f>
        <v/>
      </c>
      <c r="N36" s="97">
        <f>IF(DAY(DATE($D$2,$F$2+1,0))&lt;13,"",COUNTIFS(Home!$D$3:$D$976,$F$2,Home!$E$3:$E$976,$D$2,Home!$C$3:$C$976,13,Home!$AE$3:$AE$976,18))</f>
        <v/>
      </c>
      <c r="O36" s="97">
        <f>IF(DAY(DATE($D$2,$F$2+1,0))&lt;14,"",COUNTIFS(Home!$D$3:$D$976,$F$2,Home!$E$3:$E$976,$D$2,Home!$C$3:$C$976,14,Home!$AE$3:$AE$976,18))</f>
        <v/>
      </c>
      <c r="P36" s="97">
        <f>IF(DAY(DATE($D$2,$F$2+1,0))&lt;15,"",COUNTIFS(Home!$D$3:$D$976,$F$2,Home!$E$3:$E$976,$D$2,Home!$C$3:$C$976,15,Home!$AE$3:$AE$976,18))</f>
        <v/>
      </c>
      <c r="Q36" s="97">
        <f>IF(DAY(DATE($D$2,$F$2+1,0))&lt;16,"",COUNTIFS(Home!$D$3:$D$976,$F$2,Home!$E$3:$E$976,$D$2,Home!$C$3:$C$976,16,Home!$AE$3:$AE$976,18))</f>
        <v/>
      </c>
      <c r="R36" s="97">
        <f>IF(DAY(DATE($D$2,$F$2+1,0))&lt;17,"",COUNTIFS(Home!$D$3:$D$976,$F$2,Home!$E$3:$E$976,$D$2,Home!$C$3:$C$976,17,Home!$AE$3:$AE$976,18))</f>
        <v/>
      </c>
      <c r="S36" s="97">
        <f>IF(DAY(DATE($D$2,$F$2+1,0))&lt;18,"",COUNTIFS(Home!$D$3:$D$976,$F$2,Home!$E$3:$E$976,$D$2,Home!$C$3:$C$976,18,Home!$AE$3:$AE$976,18))</f>
        <v/>
      </c>
      <c r="T36" s="97">
        <f>IF(DAY(DATE($D$2,$F$2+1,0))&lt;19,"",COUNTIFS(Home!$D$3:$D$976,$F$2,Home!$E$3:$E$976,$D$2,Home!$C$3:$C$976,19,Home!$AE$3:$AE$976,18))</f>
        <v/>
      </c>
      <c r="U36" s="97">
        <f>IF(DAY(DATE($D$2,$F$2+1,0))&lt;20,"",COUNTIFS(Home!$D$3:$D$976,$F$2,Home!$E$3:$E$976,$D$2,Home!$C$3:$C$976,20,Home!$AE$3:$AE$976,18))</f>
        <v/>
      </c>
      <c r="V36" s="97">
        <f>IF(DAY(DATE($D$2,$F$2+1,0))&lt;21,"",COUNTIFS(Home!$D$3:$D$976,$F$2,Home!$E$3:$E$976,$D$2,Home!$C$3:$C$976,21,Home!$AE$3:$AE$976,18))</f>
        <v/>
      </c>
      <c r="W36" s="97">
        <f>IF(DAY(DATE($D$2,$F$2+1,0))&lt;22,"",COUNTIFS(Home!$D$3:$D$976,$F$2,Home!$E$3:$E$976,$D$2,Home!$C$3:$C$976,22,Home!$AE$3:$AE$976,18))</f>
        <v/>
      </c>
      <c r="X36" s="97">
        <f>IF(DAY(DATE($D$2,$F$2+1,0))&lt;23,"",COUNTIFS(Home!$D$3:$D$976,$F$2,Home!$E$3:$E$976,$D$2,Home!$C$3:$C$976,23,Home!$AE$3:$AE$976,18))</f>
        <v/>
      </c>
      <c r="Y36" s="97">
        <f>IF(DAY(DATE($D$2,$F$2+1,0))&lt;24,"",COUNTIFS(Home!$D$3:$D$976,$F$2,Home!$E$3:$E$976,$D$2,Home!$C$3:$C$976,24,Home!$AE$3:$AE$976,18))</f>
        <v/>
      </c>
      <c r="Z36" s="97">
        <f>IF(DAY(DATE($D$2,$F$2+1,0))&lt;25,"",COUNTIFS(Home!$D$3:$D$976,$F$2,Home!$E$3:$E$976,$D$2,Home!$C$3:$C$976,25,Home!$AE$3:$AE$976,18))</f>
        <v/>
      </c>
      <c r="AA36" s="97">
        <f>IF(DAY(DATE($D$2,$F$2+1,0))&lt;26,"",COUNTIFS(Home!$D$3:$D$976,$F$2,Home!$E$3:$E$976,$D$2,Home!$C$3:$C$976,26,Home!$AE$3:$AE$976,18))</f>
        <v/>
      </c>
      <c r="AB36" s="97">
        <f>IF(DAY(DATE($D$2,$F$2+1,0))&lt;27,"",COUNTIFS(Home!$D$3:$D$976,$F$2,Home!$E$3:$E$976,$D$2,Home!$C$3:$C$976,27,Home!$AE$3:$AE$976,18))</f>
        <v/>
      </c>
      <c r="AC36" s="97">
        <f>IF(DAY(DATE($D$2,$F$2+1,0))&lt;28,"",COUNTIFS(Home!$D$3:$D$976,$F$2,Home!$E$3:$E$976,$D$2,Home!$C$3:$C$976,28,Home!$AE$3:$AE$976,18))</f>
        <v/>
      </c>
      <c r="AD36" s="97">
        <f>IF(DAY(DATE($D$2,$F$2+1,0))&lt;29,"",COUNTIFS(Home!$D$3:$D$976,$F$2,Home!$E$3:$E$976,$D$2,Home!$C$3:$C$976,29,Home!$AE$3:$AE$976,18))</f>
        <v/>
      </c>
      <c r="AE36" s="97">
        <f>IF(DAY(DATE($D$2,$F$2+1,0))&lt;30,"",COUNTIFS(Home!$D$3:$D$976,$F$2,Home!$E$3:$E$976,$D$2,Home!$C$3:$C$976,30,Home!$AE$3:$AE$976,18))</f>
        <v/>
      </c>
      <c r="AF36" s="97">
        <f>IF(DAY(DATE($D$2,$F$2+1,0))&lt;31,"",COUNTIFS(Home!$D$3:$D$976,$F$2,Home!$E$3:$E$976,$D$2,Home!$C$3:$C$976,31,Home!$AE$3:$AE$976,18))</f>
        <v/>
      </c>
    </row>
    <row r="37" ht="14" customHeight="1" s="58">
      <c r="A37" s="90" t="inlineStr">
        <is>
          <t>19h</t>
        </is>
      </c>
      <c r="B37" s="97">
        <f>IF(DAY(DATE($D$2,$F$2+1,0))&lt;1,"",COUNTIFS(Home!$D$3:$D$976,$F$2,Home!$E$3:$E$976,$D$2,Home!$C$3:$C$976,1,Home!$AE$3:$AE$976,19))</f>
        <v/>
      </c>
      <c r="C37" s="97">
        <f>IF(DAY(DATE($D$2,$F$2+1,0))&lt;2,"",COUNTIFS(Home!$D$3:$D$976,$F$2,Home!$E$3:$E$976,$D$2,Home!$C$3:$C$976,2,Home!$AE$3:$AE$976,19))</f>
        <v/>
      </c>
      <c r="D37" s="97">
        <f>IF(DAY(DATE($D$2,$F$2+1,0))&lt;3,"",COUNTIFS(Home!$D$3:$D$976,$F$2,Home!$E$3:$E$976,$D$2,Home!$C$3:$C$976,3,Home!$AE$3:$AE$976,19))</f>
        <v/>
      </c>
      <c r="E37" s="97">
        <f>IF(DAY(DATE($D$2,$F$2+1,0))&lt;4,"",COUNTIFS(Home!$D$3:$D$976,$F$2,Home!$E$3:$E$976,$D$2,Home!$C$3:$C$976,4,Home!$AE$3:$AE$976,19))</f>
        <v/>
      </c>
      <c r="F37" s="97">
        <f>IF(DAY(DATE($D$2,$F$2+1,0))&lt;5,"",COUNTIFS(Home!$D$3:$D$976,$F$2,Home!$E$3:$E$976,$D$2,Home!$C$3:$C$976,5,Home!$AE$3:$AE$976,19))</f>
        <v/>
      </c>
      <c r="G37" s="97">
        <f>IF(DAY(DATE($D$2,$F$2+1,0))&lt;6,"",COUNTIFS(Home!$D$3:$D$976,$F$2,Home!$E$3:$E$976,$D$2,Home!$C$3:$C$976,6,Home!$AE$3:$AE$976,19))</f>
        <v/>
      </c>
      <c r="H37" s="97">
        <f>IF(DAY(DATE($D$2,$F$2+1,0))&lt;7,"",COUNTIFS(Home!$D$3:$D$976,$F$2,Home!$E$3:$E$976,$D$2,Home!$C$3:$C$976,7,Home!$AE$3:$AE$976,19))</f>
        <v/>
      </c>
      <c r="I37" s="97">
        <f>IF(DAY(DATE($D$2,$F$2+1,0))&lt;8,"",COUNTIFS(Home!$D$3:$D$976,$F$2,Home!$E$3:$E$976,$D$2,Home!$C$3:$C$976,8,Home!$AE$3:$AE$976,19))</f>
        <v/>
      </c>
      <c r="J37" s="97">
        <f>IF(DAY(DATE($D$2,$F$2+1,0))&lt;9,"",COUNTIFS(Home!$D$3:$D$976,$F$2,Home!$E$3:$E$976,$D$2,Home!$C$3:$C$976,9,Home!$AE$3:$AE$976,19))</f>
        <v/>
      </c>
      <c r="K37" s="97">
        <f>IF(DAY(DATE($D$2,$F$2+1,0))&lt;10,"",COUNTIFS(Home!$D$3:$D$976,$F$2,Home!$E$3:$E$976,$D$2,Home!$C$3:$C$976,10,Home!$AE$3:$AE$976,19))</f>
        <v/>
      </c>
      <c r="L37" s="97">
        <f>IF(DAY(DATE($D$2,$F$2+1,0))&lt;11,"",COUNTIFS(Home!$D$3:$D$976,$F$2,Home!$E$3:$E$976,$D$2,Home!$C$3:$C$976,11,Home!$AE$3:$AE$976,19))</f>
        <v/>
      </c>
      <c r="M37" s="97">
        <f>IF(DAY(DATE($D$2,$F$2+1,0))&lt;12,"",COUNTIFS(Home!$D$3:$D$976,$F$2,Home!$E$3:$E$976,$D$2,Home!$C$3:$C$976,12,Home!$AE$3:$AE$976,19))</f>
        <v/>
      </c>
      <c r="N37" s="97">
        <f>IF(DAY(DATE($D$2,$F$2+1,0))&lt;13,"",COUNTIFS(Home!$D$3:$D$976,$F$2,Home!$E$3:$E$976,$D$2,Home!$C$3:$C$976,13,Home!$AE$3:$AE$976,19))</f>
        <v/>
      </c>
      <c r="O37" s="97">
        <f>IF(DAY(DATE($D$2,$F$2+1,0))&lt;14,"",COUNTIFS(Home!$D$3:$D$976,$F$2,Home!$E$3:$E$976,$D$2,Home!$C$3:$C$976,14,Home!$AE$3:$AE$976,19))</f>
        <v/>
      </c>
      <c r="P37" s="97">
        <f>IF(DAY(DATE($D$2,$F$2+1,0))&lt;15,"",COUNTIFS(Home!$D$3:$D$976,$F$2,Home!$E$3:$E$976,$D$2,Home!$C$3:$C$976,15,Home!$AE$3:$AE$976,19))</f>
        <v/>
      </c>
      <c r="Q37" s="97">
        <f>IF(DAY(DATE($D$2,$F$2+1,0))&lt;16,"",COUNTIFS(Home!$D$3:$D$976,$F$2,Home!$E$3:$E$976,$D$2,Home!$C$3:$C$976,16,Home!$AE$3:$AE$976,19))</f>
        <v/>
      </c>
      <c r="R37" s="97">
        <f>IF(DAY(DATE($D$2,$F$2+1,0))&lt;17,"",COUNTIFS(Home!$D$3:$D$976,$F$2,Home!$E$3:$E$976,$D$2,Home!$C$3:$C$976,17,Home!$AE$3:$AE$976,19))</f>
        <v/>
      </c>
      <c r="S37" s="97">
        <f>IF(DAY(DATE($D$2,$F$2+1,0))&lt;18,"",COUNTIFS(Home!$D$3:$D$976,$F$2,Home!$E$3:$E$976,$D$2,Home!$C$3:$C$976,18,Home!$AE$3:$AE$976,19))</f>
        <v/>
      </c>
      <c r="T37" s="97">
        <f>IF(DAY(DATE($D$2,$F$2+1,0))&lt;19,"",COUNTIFS(Home!$D$3:$D$976,$F$2,Home!$E$3:$E$976,$D$2,Home!$C$3:$C$976,19,Home!$AE$3:$AE$976,19))</f>
        <v/>
      </c>
      <c r="U37" s="97">
        <f>IF(DAY(DATE($D$2,$F$2+1,0))&lt;20,"",COUNTIFS(Home!$D$3:$D$976,$F$2,Home!$E$3:$E$976,$D$2,Home!$C$3:$C$976,20,Home!$AE$3:$AE$976,19))</f>
        <v/>
      </c>
      <c r="V37" s="97">
        <f>IF(DAY(DATE($D$2,$F$2+1,0))&lt;21,"",COUNTIFS(Home!$D$3:$D$976,$F$2,Home!$E$3:$E$976,$D$2,Home!$C$3:$C$976,21,Home!$AE$3:$AE$976,19))</f>
        <v/>
      </c>
      <c r="W37" s="97">
        <f>IF(DAY(DATE($D$2,$F$2+1,0))&lt;22,"",COUNTIFS(Home!$D$3:$D$976,$F$2,Home!$E$3:$E$976,$D$2,Home!$C$3:$C$976,22,Home!$AE$3:$AE$976,19))</f>
        <v/>
      </c>
      <c r="X37" s="97">
        <f>IF(DAY(DATE($D$2,$F$2+1,0))&lt;23,"",COUNTIFS(Home!$D$3:$D$976,$F$2,Home!$E$3:$E$976,$D$2,Home!$C$3:$C$976,23,Home!$AE$3:$AE$976,19))</f>
        <v/>
      </c>
      <c r="Y37" s="97">
        <f>IF(DAY(DATE($D$2,$F$2+1,0))&lt;24,"",COUNTIFS(Home!$D$3:$D$976,$F$2,Home!$E$3:$E$976,$D$2,Home!$C$3:$C$976,24,Home!$AE$3:$AE$976,19))</f>
        <v/>
      </c>
      <c r="Z37" s="97">
        <f>IF(DAY(DATE($D$2,$F$2+1,0))&lt;25,"",COUNTIFS(Home!$D$3:$D$976,$F$2,Home!$E$3:$E$976,$D$2,Home!$C$3:$C$976,25,Home!$AE$3:$AE$976,19))</f>
        <v/>
      </c>
      <c r="AA37" s="97">
        <f>IF(DAY(DATE($D$2,$F$2+1,0))&lt;26,"",COUNTIFS(Home!$D$3:$D$976,$F$2,Home!$E$3:$E$976,$D$2,Home!$C$3:$C$976,26,Home!$AE$3:$AE$976,19))</f>
        <v/>
      </c>
      <c r="AB37" s="97">
        <f>IF(DAY(DATE($D$2,$F$2+1,0))&lt;27,"",COUNTIFS(Home!$D$3:$D$976,$F$2,Home!$E$3:$E$976,$D$2,Home!$C$3:$C$976,27,Home!$AE$3:$AE$976,19))</f>
        <v/>
      </c>
      <c r="AC37" s="97">
        <f>IF(DAY(DATE($D$2,$F$2+1,0))&lt;28,"",COUNTIFS(Home!$D$3:$D$976,$F$2,Home!$E$3:$E$976,$D$2,Home!$C$3:$C$976,28,Home!$AE$3:$AE$976,19))</f>
        <v/>
      </c>
      <c r="AD37" s="97">
        <f>IF(DAY(DATE($D$2,$F$2+1,0))&lt;29,"",COUNTIFS(Home!$D$3:$D$976,$F$2,Home!$E$3:$E$976,$D$2,Home!$C$3:$C$976,29,Home!$AE$3:$AE$976,19))</f>
        <v/>
      </c>
      <c r="AE37" s="97">
        <f>IF(DAY(DATE($D$2,$F$2+1,0))&lt;30,"",COUNTIFS(Home!$D$3:$D$976,$F$2,Home!$E$3:$E$976,$D$2,Home!$C$3:$C$976,30,Home!$AE$3:$AE$976,19))</f>
        <v/>
      </c>
      <c r="AF37" s="97">
        <f>IF(DAY(DATE($D$2,$F$2+1,0))&lt;31,"",COUNTIFS(Home!$D$3:$D$976,$F$2,Home!$E$3:$E$976,$D$2,Home!$C$3:$C$976,31,Home!$AE$3:$AE$976,19))</f>
        <v/>
      </c>
    </row>
    <row r="38" ht="14" customHeight="1" s="58">
      <c r="A38" s="90" t="inlineStr">
        <is>
          <t>20h</t>
        </is>
      </c>
      <c r="B38" s="97">
        <f>IF(DAY(DATE($D$2,$F$2+1,0))&lt;1,"",COUNTIFS(Home!$D$3:$D$976,$F$2,Home!$E$3:$E$976,$D$2,Home!$C$3:$C$976,1,Home!$AE$3:$AE$976,20))</f>
        <v/>
      </c>
      <c r="C38" s="97">
        <f>IF(DAY(DATE($D$2,$F$2+1,0))&lt;2,"",COUNTIFS(Home!$D$3:$D$976,$F$2,Home!$E$3:$E$976,$D$2,Home!$C$3:$C$976,2,Home!$AE$3:$AE$976,20))</f>
        <v/>
      </c>
      <c r="D38" s="97">
        <f>IF(DAY(DATE($D$2,$F$2+1,0))&lt;3,"",COUNTIFS(Home!$D$3:$D$976,$F$2,Home!$E$3:$E$976,$D$2,Home!$C$3:$C$976,3,Home!$AE$3:$AE$976,20))</f>
        <v/>
      </c>
      <c r="E38" s="97">
        <f>IF(DAY(DATE($D$2,$F$2+1,0))&lt;4,"",COUNTIFS(Home!$D$3:$D$976,$F$2,Home!$E$3:$E$976,$D$2,Home!$C$3:$C$976,4,Home!$AE$3:$AE$976,20))</f>
        <v/>
      </c>
      <c r="F38" s="97">
        <f>IF(DAY(DATE($D$2,$F$2+1,0))&lt;5,"",COUNTIFS(Home!$D$3:$D$976,$F$2,Home!$E$3:$E$976,$D$2,Home!$C$3:$C$976,5,Home!$AE$3:$AE$976,20))</f>
        <v/>
      </c>
      <c r="G38" s="97">
        <f>IF(DAY(DATE($D$2,$F$2+1,0))&lt;6,"",COUNTIFS(Home!$D$3:$D$976,$F$2,Home!$E$3:$E$976,$D$2,Home!$C$3:$C$976,6,Home!$AE$3:$AE$976,20))</f>
        <v/>
      </c>
      <c r="H38" s="97">
        <f>IF(DAY(DATE($D$2,$F$2+1,0))&lt;7,"",COUNTIFS(Home!$D$3:$D$976,$F$2,Home!$E$3:$E$976,$D$2,Home!$C$3:$C$976,7,Home!$AE$3:$AE$976,20))</f>
        <v/>
      </c>
      <c r="I38" s="97">
        <f>IF(DAY(DATE($D$2,$F$2+1,0))&lt;8,"",COUNTIFS(Home!$D$3:$D$976,$F$2,Home!$E$3:$E$976,$D$2,Home!$C$3:$C$976,8,Home!$AE$3:$AE$976,20))</f>
        <v/>
      </c>
      <c r="J38" s="97">
        <f>IF(DAY(DATE($D$2,$F$2+1,0))&lt;9,"",COUNTIFS(Home!$D$3:$D$976,$F$2,Home!$E$3:$E$976,$D$2,Home!$C$3:$C$976,9,Home!$AE$3:$AE$976,20))</f>
        <v/>
      </c>
      <c r="K38" s="97">
        <f>IF(DAY(DATE($D$2,$F$2+1,0))&lt;10,"",COUNTIFS(Home!$D$3:$D$976,$F$2,Home!$E$3:$E$976,$D$2,Home!$C$3:$C$976,10,Home!$AE$3:$AE$976,20))</f>
        <v/>
      </c>
      <c r="L38" s="97">
        <f>IF(DAY(DATE($D$2,$F$2+1,0))&lt;11,"",COUNTIFS(Home!$D$3:$D$976,$F$2,Home!$E$3:$E$976,$D$2,Home!$C$3:$C$976,11,Home!$AE$3:$AE$976,20))</f>
        <v/>
      </c>
      <c r="M38" s="97">
        <f>IF(DAY(DATE($D$2,$F$2+1,0))&lt;12,"",COUNTIFS(Home!$D$3:$D$976,$F$2,Home!$E$3:$E$976,$D$2,Home!$C$3:$C$976,12,Home!$AE$3:$AE$976,20))</f>
        <v/>
      </c>
      <c r="N38" s="97">
        <f>IF(DAY(DATE($D$2,$F$2+1,0))&lt;13,"",COUNTIFS(Home!$D$3:$D$976,$F$2,Home!$E$3:$E$976,$D$2,Home!$C$3:$C$976,13,Home!$AE$3:$AE$976,20))</f>
        <v/>
      </c>
      <c r="O38" s="97">
        <f>IF(DAY(DATE($D$2,$F$2+1,0))&lt;14,"",COUNTIFS(Home!$D$3:$D$976,$F$2,Home!$E$3:$E$976,$D$2,Home!$C$3:$C$976,14,Home!$AE$3:$AE$976,20))</f>
        <v/>
      </c>
      <c r="P38" s="97">
        <f>IF(DAY(DATE($D$2,$F$2+1,0))&lt;15,"",COUNTIFS(Home!$D$3:$D$976,$F$2,Home!$E$3:$E$976,$D$2,Home!$C$3:$C$976,15,Home!$AE$3:$AE$976,20))</f>
        <v/>
      </c>
      <c r="Q38" s="97">
        <f>IF(DAY(DATE($D$2,$F$2+1,0))&lt;16,"",COUNTIFS(Home!$D$3:$D$976,$F$2,Home!$E$3:$E$976,$D$2,Home!$C$3:$C$976,16,Home!$AE$3:$AE$976,20))</f>
        <v/>
      </c>
      <c r="R38" s="97">
        <f>IF(DAY(DATE($D$2,$F$2+1,0))&lt;17,"",COUNTIFS(Home!$D$3:$D$976,$F$2,Home!$E$3:$E$976,$D$2,Home!$C$3:$C$976,17,Home!$AE$3:$AE$976,20))</f>
        <v/>
      </c>
      <c r="S38" s="97">
        <f>IF(DAY(DATE($D$2,$F$2+1,0))&lt;18,"",COUNTIFS(Home!$D$3:$D$976,$F$2,Home!$E$3:$E$976,$D$2,Home!$C$3:$C$976,18,Home!$AE$3:$AE$976,20))</f>
        <v/>
      </c>
      <c r="T38" s="97">
        <f>IF(DAY(DATE($D$2,$F$2+1,0))&lt;19,"",COUNTIFS(Home!$D$3:$D$976,$F$2,Home!$E$3:$E$976,$D$2,Home!$C$3:$C$976,19,Home!$AE$3:$AE$976,20))</f>
        <v/>
      </c>
      <c r="U38" s="97">
        <f>IF(DAY(DATE($D$2,$F$2+1,0))&lt;20,"",COUNTIFS(Home!$D$3:$D$976,$F$2,Home!$E$3:$E$976,$D$2,Home!$C$3:$C$976,20,Home!$AE$3:$AE$976,20))</f>
        <v/>
      </c>
      <c r="V38" s="97">
        <f>IF(DAY(DATE($D$2,$F$2+1,0))&lt;21,"",COUNTIFS(Home!$D$3:$D$976,$F$2,Home!$E$3:$E$976,$D$2,Home!$C$3:$C$976,21,Home!$AE$3:$AE$976,20))</f>
        <v/>
      </c>
      <c r="W38" s="97">
        <f>IF(DAY(DATE($D$2,$F$2+1,0))&lt;22,"",COUNTIFS(Home!$D$3:$D$976,$F$2,Home!$E$3:$E$976,$D$2,Home!$C$3:$C$976,22,Home!$AE$3:$AE$976,20))</f>
        <v/>
      </c>
      <c r="X38" s="97">
        <f>IF(DAY(DATE($D$2,$F$2+1,0))&lt;23,"",COUNTIFS(Home!$D$3:$D$976,$F$2,Home!$E$3:$E$976,$D$2,Home!$C$3:$C$976,23,Home!$AE$3:$AE$976,20))</f>
        <v/>
      </c>
      <c r="Y38" s="97">
        <f>IF(DAY(DATE($D$2,$F$2+1,0))&lt;24,"",COUNTIFS(Home!$D$3:$D$976,$F$2,Home!$E$3:$E$976,$D$2,Home!$C$3:$C$976,24,Home!$AE$3:$AE$976,20))</f>
        <v/>
      </c>
      <c r="Z38" s="97">
        <f>IF(DAY(DATE($D$2,$F$2+1,0))&lt;25,"",COUNTIFS(Home!$D$3:$D$976,$F$2,Home!$E$3:$E$976,$D$2,Home!$C$3:$C$976,25,Home!$AE$3:$AE$976,20))</f>
        <v/>
      </c>
      <c r="AA38" s="97">
        <f>IF(DAY(DATE($D$2,$F$2+1,0))&lt;26,"",COUNTIFS(Home!$D$3:$D$976,$F$2,Home!$E$3:$E$976,$D$2,Home!$C$3:$C$976,26,Home!$AE$3:$AE$976,20))</f>
        <v/>
      </c>
      <c r="AB38" s="97">
        <f>IF(DAY(DATE($D$2,$F$2+1,0))&lt;27,"",COUNTIFS(Home!$D$3:$D$976,$F$2,Home!$E$3:$E$976,$D$2,Home!$C$3:$C$976,27,Home!$AE$3:$AE$976,20))</f>
        <v/>
      </c>
      <c r="AC38" s="97">
        <f>IF(DAY(DATE($D$2,$F$2+1,0))&lt;28,"",COUNTIFS(Home!$D$3:$D$976,$F$2,Home!$E$3:$E$976,$D$2,Home!$C$3:$C$976,28,Home!$AE$3:$AE$976,20))</f>
        <v/>
      </c>
      <c r="AD38" s="97">
        <f>IF(DAY(DATE($D$2,$F$2+1,0))&lt;29,"",COUNTIFS(Home!$D$3:$D$976,$F$2,Home!$E$3:$E$976,$D$2,Home!$C$3:$C$976,29,Home!$AE$3:$AE$976,20))</f>
        <v/>
      </c>
      <c r="AE38" s="97">
        <f>IF(DAY(DATE($D$2,$F$2+1,0))&lt;30,"",COUNTIFS(Home!$D$3:$D$976,$F$2,Home!$E$3:$E$976,$D$2,Home!$C$3:$C$976,30,Home!$AE$3:$AE$976,20))</f>
        <v/>
      </c>
      <c r="AF38" s="97">
        <f>IF(DAY(DATE($D$2,$F$2+1,0))&lt;31,"",COUNTIFS(Home!$D$3:$D$976,$F$2,Home!$E$3:$E$976,$D$2,Home!$C$3:$C$976,31,Home!$AE$3:$AE$976,20))</f>
        <v/>
      </c>
    </row>
    <row r="39" ht="14" customHeight="1" s="58">
      <c r="A39" s="90" t="inlineStr">
        <is>
          <t>21h</t>
        </is>
      </c>
      <c r="B39" s="97">
        <f>IF(DAY(DATE($D$2,$F$2+1,0))&lt;1,"",COUNTIFS(Home!$D$3:$D$976,$F$2,Home!$E$3:$E$976,$D$2,Home!$C$3:$C$976,1,Home!$AE$3:$AE$976,21))</f>
        <v/>
      </c>
      <c r="C39" s="97">
        <f>IF(DAY(DATE($D$2,$F$2+1,0))&lt;2,"",COUNTIFS(Home!$D$3:$D$976,$F$2,Home!$E$3:$E$976,$D$2,Home!$C$3:$C$976,2,Home!$AE$3:$AE$976,21))</f>
        <v/>
      </c>
      <c r="D39" s="97">
        <f>IF(DAY(DATE($D$2,$F$2+1,0))&lt;3,"",COUNTIFS(Home!$D$3:$D$976,$F$2,Home!$E$3:$E$976,$D$2,Home!$C$3:$C$976,3,Home!$AE$3:$AE$976,21))</f>
        <v/>
      </c>
      <c r="E39" s="97">
        <f>IF(DAY(DATE($D$2,$F$2+1,0))&lt;4,"",COUNTIFS(Home!$D$3:$D$976,$F$2,Home!$E$3:$E$976,$D$2,Home!$C$3:$C$976,4,Home!$AE$3:$AE$976,21))</f>
        <v/>
      </c>
      <c r="F39" s="97">
        <f>IF(DAY(DATE($D$2,$F$2+1,0))&lt;5,"",COUNTIFS(Home!$D$3:$D$976,$F$2,Home!$E$3:$E$976,$D$2,Home!$C$3:$C$976,5,Home!$AE$3:$AE$976,21))</f>
        <v/>
      </c>
      <c r="G39" s="97">
        <f>IF(DAY(DATE($D$2,$F$2+1,0))&lt;6,"",COUNTIFS(Home!$D$3:$D$976,$F$2,Home!$E$3:$E$976,$D$2,Home!$C$3:$C$976,6,Home!$AE$3:$AE$976,21))</f>
        <v/>
      </c>
      <c r="H39" s="97">
        <f>IF(DAY(DATE($D$2,$F$2+1,0))&lt;7,"",COUNTIFS(Home!$D$3:$D$976,$F$2,Home!$E$3:$E$976,$D$2,Home!$C$3:$C$976,7,Home!$AE$3:$AE$976,21))</f>
        <v/>
      </c>
      <c r="I39" s="97">
        <f>IF(DAY(DATE($D$2,$F$2+1,0))&lt;8,"",COUNTIFS(Home!$D$3:$D$976,$F$2,Home!$E$3:$E$976,$D$2,Home!$C$3:$C$976,8,Home!$AE$3:$AE$976,21))</f>
        <v/>
      </c>
      <c r="J39" s="97">
        <f>IF(DAY(DATE($D$2,$F$2+1,0))&lt;9,"",COUNTIFS(Home!$D$3:$D$976,$F$2,Home!$E$3:$E$976,$D$2,Home!$C$3:$C$976,9,Home!$AE$3:$AE$976,21))</f>
        <v/>
      </c>
      <c r="K39" s="97">
        <f>IF(DAY(DATE($D$2,$F$2+1,0))&lt;10,"",COUNTIFS(Home!$D$3:$D$976,$F$2,Home!$E$3:$E$976,$D$2,Home!$C$3:$C$976,10,Home!$AE$3:$AE$976,21))</f>
        <v/>
      </c>
      <c r="L39" s="97">
        <f>IF(DAY(DATE($D$2,$F$2+1,0))&lt;11,"",COUNTIFS(Home!$D$3:$D$976,$F$2,Home!$E$3:$E$976,$D$2,Home!$C$3:$C$976,11,Home!$AE$3:$AE$976,21))</f>
        <v/>
      </c>
      <c r="M39" s="97">
        <f>IF(DAY(DATE($D$2,$F$2+1,0))&lt;12,"",COUNTIFS(Home!$D$3:$D$976,$F$2,Home!$E$3:$E$976,$D$2,Home!$C$3:$C$976,12,Home!$AE$3:$AE$976,21))</f>
        <v/>
      </c>
      <c r="N39" s="97">
        <f>IF(DAY(DATE($D$2,$F$2+1,0))&lt;13,"",COUNTIFS(Home!$D$3:$D$976,$F$2,Home!$E$3:$E$976,$D$2,Home!$C$3:$C$976,13,Home!$AE$3:$AE$976,21))</f>
        <v/>
      </c>
      <c r="O39" s="97">
        <f>IF(DAY(DATE($D$2,$F$2+1,0))&lt;14,"",COUNTIFS(Home!$D$3:$D$976,$F$2,Home!$E$3:$E$976,$D$2,Home!$C$3:$C$976,14,Home!$AE$3:$AE$976,21))</f>
        <v/>
      </c>
      <c r="P39" s="97">
        <f>IF(DAY(DATE($D$2,$F$2+1,0))&lt;15,"",COUNTIFS(Home!$D$3:$D$976,$F$2,Home!$E$3:$E$976,$D$2,Home!$C$3:$C$976,15,Home!$AE$3:$AE$976,21))</f>
        <v/>
      </c>
      <c r="Q39" s="97">
        <f>IF(DAY(DATE($D$2,$F$2+1,0))&lt;16,"",COUNTIFS(Home!$D$3:$D$976,$F$2,Home!$E$3:$E$976,$D$2,Home!$C$3:$C$976,16,Home!$AE$3:$AE$976,21))</f>
        <v/>
      </c>
      <c r="R39" s="97">
        <f>IF(DAY(DATE($D$2,$F$2+1,0))&lt;17,"",COUNTIFS(Home!$D$3:$D$976,$F$2,Home!$E$3:$E$976,$D$2,Home!$C$3:$C$976,17,Home!$AE$3:$AE$976,21))</f>
        <v/>
      </c>
      <c r="S39" s="97">
        <f>IF(DAY(DATE($D$2,$F$2+1,0))&lt;18,"",COUNTIFS(Home!$D$3:$D$976,$F$2,Home!$E$3:$E$976,$D$2,Home!$C$3:$C$976,18,Home!$AE$3:$AE$976,21))</f>
        <v/>
      </c>
      <c r="T39" s="97">
        <f>IF(DAY(DATE($D$2,$F$2+1,0))&lt;19,"",COUNTIFS(Home!$D$3:$D$976,$F$2,Home!$E$3:$E$976,$D$2,Home!$C$3:$C$976,19,Home!$AE$3:$AE$976,21))</f>
        <v/>
      </c>
      <c r="U39" s="97">
        <f>IF(DAY(DATE($D$2,$F$2+1,0))&lt;20,"",COUNTIFS(Home!$D$3:$D$976,$F$2,Home!$E$3:$E$976,$D$2,Home!$C$3:$C$976,20,Home!$AE$3:$AE$976,21))</f>
        <v/>
      </c>
      <c r="V39" s="97">
        <f>IF(DAY(DATE($D$2,$F$2+1,0))&lt;21,"",COUNTIFS(Home!$D$3:$D$976,$F$2,Home!$E$3:$E$976,$D$2,Home!$C$3:$C$976,21,Home!$AE$3:$AE$976,21))</f>
        <v/>
      </c>
      <c r="W39" s="97">
        <f>IF(DAY(DATE($D$2,$F$2+1,0))&lt;22,"",COUNTIFS(Home!$D$3:$D$976,$F$2,Home!$E$3:$E$976,$D$2,Home!$C$3:$C$976,22,Home!$AE$3:$AE$976,21))</f>
        <v/>
      </c>
      <c r="X39" s="97">
        <f>IF(DAY(DATE($D$2,$F$2+1,0))&lt;23,"",COUNTIFS(Home!$D$3:$D$976,$F$2,Home!$E$3:$E$976,$D$2,Home!$C$3:$C$976,23,Home!$AE$3:$AE$976,21))</f>
        <v/>
      </c>
      <c r="Y39" s="97">
        <f>IF(DAY(DATE($D$2,$F$2+1,0))&lt;24,"",COUNTIFS(Home!$D$3:$D$976,$F$2,Home!$E$3:$E$976,$D$2,Home!$C$3:$C$976,24,Home!$AE$3:$AE$976,21))</f>
        <v/>
      </c>
      <c r="Z39" s="97">
        <f>IF(DAY(DATE($D$2,$F$2+1,0))&lt;25,"",COUNTIFS(Home!$D$3:$D$976,$F$2,Home!$E$3:$E$976,$D$2,Home!$C$3:$C$976,25,Home!$AE$3:$AE$976,21))</f>
        <v/>
      </c>
      <c r="AA39" s="97">
        <f>IF(DAY(DATE($D$2,$F$2+1,0))&lt;26,"",COUNTIFS(Home!$D$3:$D$976,$F$2,Home!$E$3:$E$976,$D$2,Home!$C$3:$C$976,26,Home!$AE$3:$AE$976,21))</f>
        <v/>
      </c>
      <c r="AB39" s="97">
        <f>IF(DAY(DATE($D$2,$F$2+1,0))&lt;27,"",COUNTIFS(Home!$D$3:$D$976,$F$2,Home!$E$3:$E$976,$D$2,Home!$C$3:$C$976,27,Home!$AE$3:$AE$976,21))</f>
        <v/>
      </c>
      <c r="AC39" s="97">
        <f>IF(DAY(DATE($D$2,$F$2+1,0))&lt;28,"",COUNTIFS(Home!$D$3:$D$976,$F$2,Home!$E$3:$E$976,$D$2,Home!$C$3:$C$976,28,Home!$AE$3:$AE$976,21))</f>
        <v/>
      </c>
      <c r="AD39" s="97">
        <f>IF(DAY(DATE($D$2,$F$2+1,0))&lt;29,"",COUNTIFS(Home!$D$3:$D$976,$F$2,Home!$E$3:$E$976,$D$2,Home!$C$3:$C$976,29,Home!$AE$3:$AE$976,21))</f>
        <v/>
      </c>
      <c r="AE39" s="97">
        <f>IF(DAY(DATE($D$2,$F$2+1,0))&lt;30,"",COUNTIFS(Home!$D$3:$D$976,$F$2,Home!$E$3:$E$976,$D$2,Home!$C$3:$C$976,30,Home!$AE$3:$AE$976,21))</f>
        <v/>
      </c>
      <c r="AF39" s="97">
        <f>IF(DAY(DATE($D$2,$F$2+1,0))&lt;31,"",COUNTIFS(Home!$D$3:$D$976,$F$2,Home!$E$3:$E$976,$D$2,Home!$C$3:$C$976,31,Home!$AE$3:$AE$976,21))</f>
        <v/>
      </c>
    </row>
    <row r="40" ht="14" customHeight="1" s="58">
      <c r="A40" s="90" t="inlineStr">
        <is>
          <t>22h</t>
        </is>
      </c>
      <c r="B40" s="97">
        <f>IF(DAY(DATE($D$2,$F$2+1,0))&lt;1,"",COUNTIFS(Home!$D$3:$D$976,$F$2,Home!$E$3:$E$976,$D$2,Home!$C$3:$C$976,1,Home!$AE$3:$AE$976,22))</f>
        <v/>
      </c>
      <c r="C40" s="97">
        <f>IF(DAY(DATE($D$2,$F$2+1,0))&lt;2,"",COUNTIFS(Home!$D$3:$D$976,$F$2,Home!$E$3:$E$976,$D$2,Home!$C$3:$C$976,2,Home!$AE$3:$AE$976,22))</f>
        <v/>
      </c>
      <c r="D40" s="97">
        <f>IF(DAY(DATE($D$2,$F$2+1,0))&lt;3,"",COUNTIFS(Home!$D$3:$D$976,$F$2,Home!$E$3:$E$976,$D$2,Home!$C$3:$C$976,3,Home!$AE$3:$AE$976,22))</f>
        <v/>
      </c>
      <c r="E40" s="97">
        <f>IF(DAY(DATE($D$2,$F$2+1,0))&lt;4,"",COUNTIFS(Home!$D$3:$D$976,$F$2,Home!$E$3:$E$976,$D$2,Home!$C$3:$C$976,4,Home!$AE$3:$AE$976,22))</f>
        <v/>
      </c>
      <c r="F40" s="97">
        <f>IF(DAY(DATE($D$2,$F$2+1,0))&lt;5,"",COUNTIFS(Home!$D$3:$D$976,$F$2,Home!$E$3:$E$976,$D$2,Home!$C$3:$C$976,5,Home!$AE$3:$AE$976,22))</f>
        <v/>
      </c>
      <c r="G40" s="97">
        <f>IF(DAY(DATE($D$2,$F$2+1,0))&lt;6,"",COUNTIFS(Home!$D$3:$D$976,$F$2,Home!$E$3:$E$976,$D$2,Home!$C$3:$C$976,6,Home!$AE$3:$AE$976,22))</f>
        <v/>
      </c>
      <c r="H40" s="97">
        <f>IF(DAY(DATE($D$2,$F$2+1,0))&lt;7,"",COUNTIFS(Home!$D$3:$D$976,$F$2,Home!$E$3:$E$976,$D$2,Home!$C$3:$C$976,7,Home!$AE$3:$AE$976,22))</f>
        <v/>
      </c>
      <c r="I40" s="97">
        <f>IF(DAY(DATE($D$2,$F$2+1,0))&lt;8,"",COUNTIFS(Home!$D$3:$D$976,$F$2,Home!$E$3:$E$976,$D$2,Home!$C$3:$C$976,8,Home!$AE$3:$AE$976,22))</f>
        <v/>
      </c>
      <c r="J40" s="97">
        <f>IF(DAY(DATE($D$2,$F$2+1,0))&lt;9,"",COUNTIFS(Home!$D$3:$D$976,$F$2,Home!$E$3:$E$976,$D$2,Home!$C$3:$C$976,9,Home!$AE$3:$AE$976,22))</f>
        <v/>
      </c>
      <c r="K40" s="97">
        <f>IF(DAY(DATE($D$2,$F$2+1,0))&lt;10,"",COUNTIFS(Home!$D$3:$D$976,$F$2,Home!$E$3:$E$976,$D$2,Home!$C$3:$C$976,10,Home!$AE$3:$AE$976,22))</f>
        <v/>
      </c>
      <c r="L40" s="97">
        <f>IF(DAY(DATE($D$2,$F$2+1,0))&lt;11,"",COUNTIFS(Home!$D$3:$D$976,$F$2,Home!$E$3:$E$976,$D$2,Home!$C$3:$C$976,11,Home!$AE$3:$AE$976,22))</f>
        <v/>
      </c>
      <c r="M40" s="97">
        <f>IF(DAY(DATE($D$2,$F$2+1,0))&lt;12,"",COUNTIFS(Home!$D$3:$D$976,$F$2,Home!$E$3:$E$976,$D$2,Home!$C$3:$C$976,12,Home!$AE$3:$AE$976,22))</f>
        <v/>
      </c>
      <c r="N40" s="97">
        <f>IF(DAY(DATE($D$2,$F$2+1,0))&lt;13,"",COUNTIFS(Home!$D$3:$D$976,$F$2,Home!$E$3:$E$976,$D$2,Home!$C$3:$C$976,13,Home!$AE$3:$AE$976,22))</f>
        <v/>
      </c>
      <c r="O40" s="97">
        <f>IF(DAY(DATE($D$2,$F$2+1,0))&lt;14,"",COUNTIFS(Home!$D$3:$D$976,$F$2,Home!$E$3:$E$976,$D$2,Home!$C$3:$C$976,14,Home!$AE$3:$AE$976,22))</f>
        <v/>
      </c>
      <c r="P40" s="97">
        <f>IF(DAY(DATE($D$2,$F$2+1,0))&lt;15,"",COUNTIFS(Home!$D$3:$D$976,$F$2,Home!$E$3:$E$976,$D$2,Home!$C$3:$C$976,15,Home!$AE$3:$AE$976,22))</f>
        <v/>
      </c>
      <c r="Q40" s="97">
        <f>IF(DAY(DATE($D$2,$F$2+1,0))&lt;16,"",COUNTIFS(Home!$D$3:$D$976,$F$2,Home!$E$3:$E$976,$D$2,Home!$C$3:$C$976,16,Home!$AE$3:$AE$976,22))</f>
        <v/>
      </c>
      <c r="R40" s="97">
        <f>IF(DAY(DATE($D$2,$F$2+1,0))&lt;17,"",COUNTIFS(Home!$D$3:$D$976,$F$2,Home!$E$3:$E$976,$D$2,Home!$C$3:$C$976,17,Home!$AE$3:$AE$976,22))</f>
        <v/>
      </c>
      <c r="S40" s="97">
        <f>IF(DAY(DATE($D$2,$F$2+1,0))&lt;18,"",COUNTIFS(Home!$D$3:$D$976,$F$2,Home!$E$3:$E$976,$D$2,Home!$C$3:$C$976,18,Home!$AE$3:$AE$976,22))</f>
        <v/>
      </c>
      <c r="T40" s="97">
        <f>IF(DAY(DATE($D$2,$F$2+1,0))&lt;19,"",COUNTIFS(Home!$D$3:$D$976,$F$2,Home!$E$3:$E$976,$D$2,Home!$C$3:$C$976,19,Home!$AE$3:$AE$976,22))</f>
        <v/>
      </c>
      <c r="U40" s="97">
        <f>IF(DAY(DATE($D$2,$F$2+1,0))&lt;20,"",COUNTIFS(Home!$D$3:$D$976,$F$2,Home!$E$3:$E$976,$D$2,Home!$C$3:$C$976,20,Home!$AE$3:$AE$976,22))</f>
        <v/>
      </c>
      <c r="V40" s="97">
        <f>IF(DAY(DATE($D$2,$F$2+1,0))&lt;21,"",COUNTIFS(Home!$D$3:$D$976,$F$2,Home!$E$3:$E$976,$D$2,Home!$C$3:$C$976,21,Home!$AE$3:$AE$976,22))</f>
        <v/>
      </c>
      <c r="W40" s="97">
        <f>IF(DAY(DATE($D$2,$F$2+1,0))&lt;22,"",COUNTIFS(Home!$D$3:$D$976,$F$2,Home!$E$3:$E$976,$D$2,Home!$C$3:$C$976,22,Home!$AE$3:$AE$976,22))</f>
        <v/>
      </c>
      <c r="X40" s="97">
        <f>IF(DAY(DATE($D$2,$F$2+1,0))&lt;23,"",COUNTIFS(Home!$D$3:$D$976,$F$2,Home!$E$3:$E$976,$D$2,Home!$C$3:$C$976,23,Home!$AE$3:$AE$976,22))</f>
        <v/>
      </c>
      <c r="Y40" s="97">
        <f>IF(DAY(DATE($D$2,$F$2+1,0))&lt;24,"",COUNTIFS(Home!$D$3:$D$976,$F$2,Home!$E$3:$E$976,$D$2,Home!$C$3:$C$976,24,Home!$AE$3:$AE$976,22))</f>
        <v/>
      </c>
      <c r="Z40" s="97">
        <f>IF(DAY(DATE($D$2,$F$2+1,0))&lt;25,"",COUNTIFS(Home!$D$3:$D$976,$F$2,Home!$E$3:$E$976,$D$2,Home!$C$3:$C$976,25,Home!$AE$3:$AE$976,22))</f>
        <v/>
      </c>
      <c r="AA40" s="97">
        <f>IF(DAY(DATE($D$2,$F$2+1,0))&lt;26,"",COUNTIFS(Home!$D$3:$D$976,$F$2,Home!$E$3:$E$976,$D$2,Home!$C$3:$C$976,26,Home!$AE$3:$AE$976,22))</f>
        <v/>
      </c>
      <c r="AB40" s="97">
        <f>IF(DAY(DATE($D$2,$F$2+1,0))&lt;27,"",COUNTIFS(Home!$D$3:$D$976,$F$2,Home!$E$3:$E$976,$D$2,Home!$C$3:$C$976,27,Home!$AE$3:$AE$976,22))</f>
        <v/>
      </c>
      <c r="AC40" s="97">
        <f>IF(DAY(DATE($D$2,$F$2+1,0))&lt;28,"",COUNTIFS(Home!$D$3:$D$976,$F$2,Home!$E$3:$E$976,$D$2,Home!$C$3:$C$976,28,Home!$AE$3:$AE$976,22))</f>
        <v/>
      </c>
      <c r="AD40" s="97">
        <f>IF(DAY(DATE($D$2,$F$2+1,0))&lt;29,"",COUNTIFS(Home!$D$3:$D$976,$F$2,Home!$E$3:$E$976,$D$2,Home!$C$3:$C$976,29,Home!$AE$3:$AE$976,22))</f>
        <v/>
      </c>
      <c r="AE40" s="97">
        <f>IF(DAY(DATE($D$2,$F$2+1,0))&lt;30,"",COUNTIFS(Home!$D$3:$D$976,$F$2,Home!$E$3:$E$976,$D$2,Home!$C$3:$C$976,30,Home!$AE$3:$AE$976,22))</f>
        <v/>
      </c>
      <c r="AF40" s="97">
        <f>IF(DAY(DATE($D$2,$F$2+1,0))&lt;31,"",COUNTIFS(Home!$D$3:$D$976,$F$2,Home!$E$3:$E$976,$D$2,Home!$C$3:$C$976,31,Home!$AE$3:$AE$976,22))</f>
        <v/>
      </c>
    </row>
    <row r="41" ht="14" customHeight="1" s="58">
      <c r="A41" s="90" t="inlineStr">
        <is>
          <t>23h</t>
        </is>
      </c>
      <c r="B41" s="97">
        <f>IF(DAY(DATE($D$2,$F$2+1,0))&lt;1,"",COUNTIFS(Home!$D$3:$D$976,$F$2,Home!$E$3:$E$976,$D$2,Home!$C$3:$C$976,1,Home!$AE$3:$AE$976,23))</f>
        <v/>
      </c>
      <c r="C41" s="97">
        <f>IF(DAY(DATE($D$2,$F$2+1,0))&lt;2,"",COUNTIFS(Home!$D$3:$D$976,$F$2,Home!$E$3:$E$976,$D$2,Home!$C$3:$C$976,2,Home!$AE$3:$AE$976,23))</f>
        <v/>
      </c>
      <c r="D41" s="97">
        <f>IF(DAY(DATE($D$2,$F$2+1,0))&lt;3,"",COUNTIFS(Home!$D$3:$D$976,$F$2,Home!$E$3:$E$976,$D$2,Home!$C$3:$C$976,3,Home!$AE$3:$AE$976,23))</f>
        <v/>
      </c>
      <c r="E41" s="97">
        <f>IF(DAY(DATE($D$2,$F$2+1,0))&lt;4,"",COUNTIFS(Home!$D$3:$D$976,$F$2,Home!$E$3:$E$976,$D$2,Home!$C$3:$C$976,4,Home!$AE$3:$AE$976,23))</f>
        <v/>
      </c>
      <c r="F41" s="97">
        <f>IF(DAY(DATE($D$2,$F$2+1,0))&lt;5,"",COUNTIFS(Home!$D$3:$D$976,$F$2,Home!$E$3:$E$976,$D$2,Home!$C$3:$C$976,5,Home!$AE$3:$AE$976,23))</f>
        <v/>
      </c>
      <c r="G41" s="97">
        <f>IF(DAY(DATE($D$2,$F$2+1,0))&lt;6,"",COUNTIFS(Home!$D$3:$D$976,$F$2,Home!$E$3:$E$976,$D$2,Home!$C$3:$C$976,6,Home!$AE$3:$AE$976,23))</f>
        <v/>
      </c>
      <c r="H41" s="97">
        <f>IF(DAY(DATE($D$2,$F$2+1,0))&lt;7,"",COUNTIFS(Home!$D$3:$D$976,$F$2,Home!$E$3:$E$976,$D$2,Home!$C$3:$C$976,7,Home!$AE$3:$AE$976,23))</f>
        <v/>
      </c>
      <c r="I41" s="97">
        <f>IF(DAY(DATE($D$2,$F$2+1,0))&lt;8,"",COUNTIFS(Home!$D$3:$D$976,$F$2,Home!$E$3:$E$976,$D$2,Home!$C$3:$C$976,8,Home!$AE$3:$AE$976,23))</f>
        <v/>
      </c>
      <c r="J41" s="97">
        <f>IF(DAY(DATE($D$2,$F$2+1,0))&lt;9,"",COUNTIFS(Home!$D$3:$D$976,$F$2,Home!$E$3:$E$976,$D$2,Home!$C$3:$C$976,9,Home!$AE$3:$AE$976,23))</f>
        <v/>
      </c>
      <c r="K41" s="97">
        <f>IF(DAY(DATE($D$2,$F$2+1,0))&lt;10,"",COUNTIFS(Home!$D$3:$D$976,$F$2,Home!$E$3:$E$976,$D$2,Home!$C$3:$C$976,10,Home!$AE$3:$AE$976,23))</f>
        <v/>
      </c>
      <c r="L41" s="97">
        <f>IF(DAY(DATE($D$2,$F$2+1,0))&lt;11,"",COUNTIFS(Home!$D$3:$D$976,$F$2,Home!$E$3:$E$976,$D$2,Home!$C$3:$C$976,11,Home!$AE$3:$AE$976,23))</f>
        <v/>
      </c>
      <c r="M41" s="97">
        <f>IF(DAY(DATE($D$2,$F$2+1,0))&lt;12,"",COUNTIFS(Home!$D$3:$D$976,$F$2,Home!$E$3:$E$976,$D$2,Home!$C$3:$C$976,12,Home!$AE$3:$AE$976,23))</f>
        <v/>
      </c>
      <c r="N41" s="97">
        <f>IF(DAY(DATE($D$2,$F$2+1,0))&lt;13,"",COUNTIFS(Home!$D$3:$D$976,$F$2,Home!$E$3:$E$976,$D$2,Home!$C$3:$C$976,13,Home!$AE$3:$AE$976,23))</f>
        <v/>
      </c>
      <c r="O41" s="97">
        <f>IF(DAY(DATE($D$2,$F$2+1,0))&lt;14,"",COUNTIFS(Home!$D$3:$D$976,$F$2,Home!$E$3:$E$976,$D$2,Home!$C$3:$C$976,14,Home!$AE$3:$AE$976,23))</f>
        <v/>
      </c>
      <c r="P41" s="97">
        <f>IF(DAY(DATE($D$2,$F$2+1,0))&lt;15,"",COUNTIFS(Home!$D$3:$D$976,$F$2,Home!$E$3:$E$976,$D$2,Home!$C$3:$C$976,15,Home!$AE$3:$AE$976,23))</f>
        <v/>
      </c>
      <c r="Q41" s="97">
        <f>IF(DAY(DATE($D$2,$F$2+1,0))&lt;16,"",COUNTIFS(Home!$D$3:$D$976,$F$2,Home!$E$3:$E$976,$D$2,Home!$C$3:$C$976,16,Home!$AE$3:$AE$976,23))</f>
        <v/>
      </c>
      <c r="R41" s="97">
        <f>IF(DAY(DATE($D$2,$F$2+1,0))&lt;17,"",COUNTIFS(Home!$D$3:$D$976,$F$2,Home!$E$3:$E$976,$D$2,Home!$C$3:$C$976,17,Home!$AE$3:$AE$976,23))</f>
        <v/>
      </c>
      <c r="S41" s="97">
        <f>IF(DAY(DATE($D$2,$F$2+1,0))&lt;18,"",COUNTIFS(Home!$D$3:$D$976,$F$2,Home!$E$3:$E$976,$D$2,Home!$C$3:$C$976,18,Home!$AE$3:$AE$976,23))</f>
        <v/>
      </c>
      <c r="T41" s="97">
        <f>IF(DAY(DATE($D$2,$F$2+1,0))&lt;19,"",COUNTIFS(Home!$D$3:$D$976,$F$2,Home!$E$3:$E$976,$D$2,Home!$C$3:$C$976,19,Home!$AE$3:$AE$976,23))</f>
        <v/>
      </c>
      <c r="U41" s="97">
        <f>IF(DAY(DATE($D$2,$F$2+1,0))&lt;20,"",COUNTIFS(Home!$D$3:$D$976,$F$2,Home!$E$3:$E$976,$D$2,Home!$C$3:$C$976,20,Home!$AE$3:$AE$976,23))</f>
        <v/>
      </c>
      <c r="V41" s="97">
        <f>IF(DAY(DATE($D$2,$F$2+1,0))&lt;21,"",COUNTIFS(Home!$D$3:$D$976,$F$2,Home!$E$3:$E$976,$D$2,Home!$C$3:$C$976,21,Home!$AE$3:$AE$976,23))</f>
        <v/>
      </c>
      <c r="W41" s="97">
        <f>IF(DAY(DATE($D$2,$F$2+1,0))&lt;22,"",COUNTIFS(Home!$D$3:$D$976,$F$2,Home!$E$3:$E$976,$D$2,Home!$C$3:$C$976,22,Home!$AE$3:$AE$976,23))</f>
        <v/>
      </c>
      <c r="X41" s="97">
        <f>IF(DAY(DATE($D$2,$F$2+1,0))&lt;23,"",COUNTIFS(Home!$D$3:$D$976,$F$2,Home!$E$3:$E$976,$D$2,Home!$C$3:$C$976,23,Home!$AE$3:$AE$976,23))</f>
        <v/>
      </c>
      <c r="Y41" s="97">
        <f>IF(DAY(DATE($D$2,$F$2+1,0))&lt;24,"",COUNTIFS(Home!$D$3:$D$976,$F$2,Home!$E$3:$E$976,$D$2,Home!$C$3:$C$976,24,Home!$AE$3:$AE$976,23))</f>
        <v/>
      </c>
      <c r="Z41" s="97">
        <f>IF(DAY(DATE($D$2,$F$2+1,0))&lt;25,"",COUNTIFS(Home!$D$3:$D$976,$F$2,Home!$E$3:$E$976,$D$2,Home!$C$3:$C$976,25,Home!$AE$3:$AE$976,23))</f>
        <v/>
      </c>
      <c r="AA41" s="97">
        <f>IF(DAY(DATE($D$2,$F$2+1,0))&lt;26,"",COUNTIFS(Home!$D$3:$D$976,$F$2,Home!$E$3:$E$976,$D$2,Home!$C$3:$C$976,26,Home!$AE$3:$AE$976,23))</f>
        <v/>
      </c>
      <c r="AB41" s="97">
        <f>IF(DAY(DATE($D$2,$F$2+1,0))&lt;27,"",COUNTIFS(Home!$D$3:$D$976,$F$2,Home!$E$3:$E$976,$D$2,Home!$C$3:$C$976,27,Home!$AE$3:$AE$976,23))</f>
        <v/>
      </c>
      <c r="AC41" s="97">
        <f>IF(DAY(DATE($D$2,$F$2+1,0))&lt;28,"",COUNTIFS(Home!$D$3:$D$976,$F$2,Home!$E$3:$E$976,$D$2,Home!$C$3:$C$976,28,Home!$AE$3:$AE$976,23))</f>
        <v/>
      </c>
      <c r="AD41" s="97">
        <f>IF(DAY(DATE($D$2,$F$2+1,0))&lt;29,"",COUNTIFS(Home!$D$3:$D$976,$F$2,Home!$E$3:$E$976,$D$2,Home!$C$3:$C$976,29,Home!$AE$3:$AE$976,23))</f>
        <v/>
      </c>
      <c r="AE41" s="97">
        <f>IF(DAY(DATE($D$2,$F$2+1,0))&lt;30,"",COUNTIFS(Home!$D$3:$D$976,$F$2,Home!$E$3:$E$976,$D$2,Home!$C$3:$C$976,30,Home!$AE$3:$AE$976,23))</f>
        <v/>
      </c>
      <c r="AF41" s="97">
        <f>IF(DAY(DATE($D$2,$F$2+1,0))&lt;31,"",COUNTIFS(Home!$D$3:$D$976,$F$2,Home!$E$3:$E$976,$D$2,Home!$C$3:$C$976,31,Home!$AE$3:$AE$976,23))</f>
        <v/>
      </c>
    </row>
    <row r="43" ht="24" customHeight="1" s="58">
      <c r="A43" s="88" t="inlineStr">
        <is>
          <t>POR TIPO DE PROBLEMA · ordenado como na base</t>
        </is>
      </c>
      <c r="B43" s="89" t="n"/>
      <c r="C43" s="89" t="n"/>
      <c r="D43" s="89" t="n"/>
      <c r="E43" s="89" t="n"/>
      <c r="F43" s="89" t="n"/>
      <c r="G43" s="89" t="n"/>
      <c r="H43" s="89" t="n"/>
      <c r="I43" s="89" t="n"/>
      <c r="J43" s="89" t="n"/>
      <c r="K43" s="89" t="n"/>
      <c r="L43" s="89" t="n"/>
      <c r="M43" s="89" t="n"/>
      <c r="N43" s="89" t="n"/>
      <c r="O43" s="89" t="n"/>
      <c r="P43" s="89" t="n"/>
      <c r="Q43" s="89" t="n"/>
      <c r="R43" s="89" t="n"/>
      <c r="S43" s="89" t="n"/>
      <c r="T43" s="89" t="n"/>
      <c r="U43" s="89" t="n"/>
      <c r="V43" s="89" t="n"/>
      <c r="W43" s="89" t="n"/>
      <c r="X43" s="89" t="n"/>
      <c r="Y43" s="89" t="n"/>
      <c r="Z43" s="89" t="n"/>
      <c r="AA43" s="89" t="n"/>
      <c r="AB43" s="89" t="n"/>
      <c r="AC43" s="89" t="n"/>
      <c r="AD43" s="89" t="n"/>
      <c r="AE43" s="89" t="n"/>
      <c r="AF43" s="89" t="n"/>
    </row>
    <row r="44">
      <c r="A44" s="90" t="inlineStr">
        <is>
          <t>Sigla</t>
        </is>
      </c>
      <c r="B44" s="90" t="inlineStr">
        <is>
          <t>Problema</t>
        </is>
      </c>
      <c r="M44" s="90" t="inlineStr">
        <is>
          <t>Qtd</t>
        </is>
      </c>
      <c r="N44" s="90" t="inlineStr">
        <is>
          <t>% do mês</t>
        </is>
      </c>
      <c r="O44" s="90" t="inlineStr">
        <is>
          <t>Status padrão</t>
        </is>
      </c>
    </row>
    <row r="45">
      <c r="A45" s="98">
        <f>B!C2</f>
        <v/>
      </c>
      <c r="B45" s="98">
        <f>B!D2</f>
        <v/>
      </c>
      <c r="C45" s="99" t="n"/>
      <c r="D45" s="99" t="n"/>
      <c r="E45" s="99" t="n"/>
      <c r="F45" s="99" t="n"/>
      <c r="G45" s="99" t="n"/>
      <c r="H45" s="99" t="n"/>
      <c r="I45" s="99" t="n"/>
      <c r="J45" s="99" t="n"/>
      <c r="K45" s="99" t="n"/>
      <c r="L45" s="99" t="n"/>
      <c r="M45" s="96">
        <f>COUNTIFS(Home!$D$3:$D$976,$F$2,Home!$E$3:$E$976,$D$2,Home!$X$3:$X$976,$A45)</f>
        <v/>
      </c>
      <c r="N45" s="100">
        <f>IFERROR(M45/$A$5,0)</f>
        <v/>
      </c>
      <c r="O45" s="98">
        <f>B!M2</f>
        <v/>
      </c>
      <c r="P45" s="99" t="n"/>
      <c r="Q45" s="99" t="n"/>
      <c r="R45" s="99" t="n"/>
    </row>
    <row r="46">
      <c r="A46" s="98">
        <f>B!C3</f>
        <v/>
      </c>
      <c r="B46" s="98">
        <f>B!D3</f>
        <v/>
      </c>
      <c r="C46" s="99" t="n"/>
      <c r="D46" s="99" t="n"/>
      <c r="E46" s="99" t="n"/>
      <c r="F46" s="99" t="n"/>
      <c r="G46" s="99" t="n"/>
      <c r="H46" s="99" t="n"/>
      <c r="I46" s="99" t="n"/>
      <c r="J46" s="99" t="n"/>
      <c r="K46" s="99" t="n"/>
      <c r="L46" s="99" t="n"/>
      <c r="M46" s="96">
        <f>COUNTIFS(Home!$D$3:$D$976,$F$2,Home!$E$3:$E$976,$D$2,Home!$X$3:$X$976,$A46)</f>
        <v/>
      </c>
      <c r="N46" s="100">
        <f>IFERROR(M46/$A$5,0)</f>
        <v/>
      </c>
      <c r="O46" s="98">
        <f>B!M3</f>
        <v/>
      </c>
      <c r="P46" s="99" t="n"/>
      <c r="Q46" s="99" t="n"/>
      <c r="R46" s="99" t="n"/>
    </row>
    <row r="47">
      <c r="A47" s="98">
        <f>B!C4</f>
        <v/>
      </c>
      <c r="B47" s="98">
        <f>B!D4</f>
        <v/>
      </c>
      <c r="C47" s="99" t="n"/>
      <c r="D47" s="99" t="n"/>
      <c r="E47" s="99" t="n"/>
      <c r="F47" s="99" t="n"/>
      <c r="G47" s="99" t="n"/>
      <c r="H47" s="99" t="n"/>
      <c r="I47" s="99" t="n"/>
      <c r="J47" s="99" t="n"/>
      <c r="K47" s="99" t="n"/>
      <c r="L47" s="99" t="n"/>
      <c r="M47" s="96">
        <f>COUNTIFS(Home!$D$3:$D$976,$F$2,Home!$E$3:$E$976,$D$2,Home!$X$3:$X$976,$A47)</f>
        <v/>
      </c>
      <c r="N47" s="100">
        <f>IFERROR(M47/$A$5,0)</f>
        <v/>
      </c>
      <c r="O47" s="98">
        <f>B!M4</f>
        <v/>
      </c>
      <c r="P47" s="99" t="n"/>
      <c r="Q47" s="99" t="n"/>
      <c r="R47" s="99" t="n"/>
    </row>
    <row r="48">
      <c r="A48" s="98">
        <f>B!C5</f>
        <v/>
      </c>
      <c r="B48" s="98">
        <f>B!D5</f>
        <v/>
      </c>
      <c r="C48" s="99" t="n"/>
      <c r="D48" s="99" t="n"/>
      <c r="E48" s="99" t="n"/>
      <c r="F48" s="99" t="n"/>
      <c r="G48" s="99" t="n"/>
      <c r="H48" s="99" t="n"/>
      <c r="I48" s="99" t="n"/>
      <c r="J48" s="99" t="n"/>
      <c r="K48" s="99" t="n"/>
      <c r="L48" s="99" t="n"/>
      <c r="M48" s="96">
        <f>COUNTIFS(Home!$D$3:$D$976,$F$2,Home!$E$3:$E$976,$D$2,Home!$X$3:$X$976,$A48)</f>
        <v/>
      </c>
      <c r="N48" s="100">
        <f>IFERROR(M48/$A$5,0)</f>
        <v/>
      </c>
      <c r="O48" s="98">
        <f>B!M5</f>
        <v/>
      </c>
      <c r="P48" s="99" t="n"/>
      <c r="Q48" s="99" t="n"/>
      <c r="R48" s="99" t="n"/>
    </row>
    <row r="49">
      <c r="A49" s="98">
        <f>B!C6</f>
        <v/>
      </c>
      <c r="B49" s="98">
        <f>B!D6</f>
        <v/>
      </c>
      <c r="C49" s="99" t="n"/>
      <c r="D49" s="99" t="n"/>
      <c r="E49" s="99" t="n"/>
      <c r="F49" s="99" t="n"/>
      <c r="G49" s="99" t="n"/>
      <c r="H49" s="99" t="n"/>
      <c r="I49" s="99" t="n"/>
      <c r="J49" s="99" t="n"/>
      <c r="K49" s="99" t="n"/>
      <c r="L49" s="99" t="n"/>
      <c r="M49" s="96">
        <f>COUNTIFS(Home!$D$3:$D$976,$F$2,Home!$E$3:$E$976,$D$2,Home!$X$3:$X$976,$A49)</f>
        <v/>
      </c>
      <c r="N49" s="100">
        <f>IFERROR(M49/$A$5,0)</f>
        <v/>
      </c>
      <c r="O49" s="98">
        <f>B!M6</f>
        <v/>
      </c>
      <c r="P49" s="99" t="n"/>
      <c r="Q49" s="99" t="n"/>
      <c r="R49" s="99" t="n"/>
    </row>
    <row r="50">
      <c r="A50" s="98">
        <f>B!C7</f>
        <v/>
      </c>
      <c r="B50" s="98">
        <f>B!D7</f>
        <v/>
      </c>
      <c r="C50" s="99" t="n"/>
      <c r="D50" s="99" t="n"/>
      <c r="E50" s="99" t="n"/>
      <c r="F50" s="99" t="n"/>
      <c r="G50" s="99" t="n"/>
      <c r="H50" s="99" t="n"/>
      <c r="I50" s="99" t="n"/>
      <c r="J50" s="99" t="n"/>
      <c r="K50" s="99" t="n"/>
      <c r="L50" s="99" t="n"/>
      <c r="M50" s="96">
        <f>COUNTIFS(Home!$D$3:$D$976,$F$2,Home!$E$3:$E$976,$D$2,Home!$X$3:$X$976,$A50)</f>
        <v/>
      </c>
      <c r="N50" s="100">
        <f>IFERROR(M50/$A$5,0)</f>
        <v/>
      </c>
      <c r="O50" s="98">
        <f>B!M7</f>
        <v/>
      </c>
      <c r="P50" s="99" t="n"/>
      <c r="Q50" s="99" t="n"/>
      <c r="R50" s="99" t="n"/>
    </row>
    <row r="51">
      <c r="A51" s="98">
        <f>B!C8</f>
        <v/>
      </c>
      <c r="B51" s="98">
        <f>B!D8</f>
        <v/>
      </c>
      <c r="C51" s="99" t="n"/>
      <c r="D51" s="99" t="n"/>
      <c r="E51" s="99" t="n"/>
      <c r="F51" s="99" t="n"/>
      <c r="G51" s="99" t="n"/>
      <c r="H51" s="99" t="n"/>
      <c r="I51" s="99" t="n"/>
      <c r="J51" s="99" t="n"/>
      <c r="K51" s="99" t="n"/>
      <c r="L51" s="99" t="n"/>
      <c r="M51" s="96">
        <f>COUNTIFS(Home!$D$3:$D$976,$F$2,Home!$E$3:$E$976,$D$2,Home!$X$3:$X$976,$A51)</f>
        <v/>
      </c>
      <c r="N51" s="100">
        <f>IFERROR(M51/$A$5,0)</f>
        <v/>
      </c>
      <c r="O51" s="98">
        <f>B!M8</f>
        <v/>
      </c>
      <c r="P51" s="99" t="n"/>
      <c r="Q51" s="99" t="n"/>
      <c r="R51" s="99" t="n"/>
    </row>
    <row r="52">
      <c r="A52" s="98">
        <f>B!C9</f>
        <v/>
      </c>
      <c r="B52" s="98">
        <f>B!D9</f>
        <v/>
      </c>
      <c r="C52" s="99" t="n"/>
      <c r="D52" s="99" t="n"/>
      <c r="E52" s="99" t="n"/>
      <c r="F52" s="99" t="n"/>
      <c r="G52" s="99" t="n"/>
      <c r="H52" s="99" t="n"/>
      <c r="I52" s="99" t="n"/>
      <c r="J52" s="99" t="n"/>
      <c r="K52" s="99" t="n"/>
      <c r="L52" s="99" t="n"/>
      <c r="M52" s="96">
        <f>COUNTIFS(Home!$D$3:$D$976,$F$2,Home!$E$3:$E$976,$D$2,Home!$X$3:$X$976,$A52)</f>
        <v/>
      </c>
      <c r="N52" s="100">
        <f>IFERROR(M52/$A$5,0)</f>
        <v/>
      </c>
      <c r="O52" s="98">
        <f>B!M9</f>
        <v/>
      </c>
      <c r="P52" s="99" t="n"/>
      <c r="Q52" s="99" t="n"/>
      <c r="R52" s="99" t="n"/>
    </row>
    <row r="53">
      <c r="A53" s="98">
        <f>B!C10</f>
        <v/>
      </c>
      <c r="B53" s="98">
        <f>B!D10</f>
        <v/>
      </c>
      <c r="C53" s="99" t="n"/>
      <c r="D53" s="99" t="n"/>
      <c r="E53" s="99" t="n"/>
      <c r="F53" s="99" t="n"/>
      <c r="G53" s="99" t="n"/>
      <c r="H53" s="99" t="n"/>
      <c r="I53" s="99" t="n"/>
      <c r="J53" s="99" t="n"/>
      <c r="K53" s="99" t="n"/>
      <c r="L53" s="99" t="n"/>
      <c r="M53" s="96">
        <f>COUNTIFS(Home!$D$3:$D$976,$F$2,Home!$E$3:$E$976,$D$2,Home!$X$3:$X$976,$A53)</f>
        <v/>
      </c>
      <c r="N53" s="100">
        <f>IFERROR(M53/$A$5,0)</f>
        <v/>
      </c>
      <c r="O53" s="98">
        <f>B!M10</f>
        <v/>
      </c>
      <c r="P53" s="99" t="n"/>
      <c r="Q53" s="99" t="n"/>
      <c r="R53" s="99" t="n"/>
    </row>
    <row r="54">
      <c r="A54" s="98">
        <f>B!C11</f>
        <v/>
      </c>
      <c r="B54" s="98">
        <f>B!D11</f>
        <v/>
      </c>
      <c r="C54" s="99" t="n"/>
      <c r="D54" s="99" t="n"/>
      <c r="E54" s="99" t="n"/>
      <c r="F54" s="99" t="n"/>
      <c r="G54" s="99" t="n"/>
      <c r="H54" s="99" t="n"/>
      <c r="I54" s="99" t="n"/>
      <c r="J54" s="99" t="n"/>
      <c r="K54" s="99" t="n"/>
      <c r="L54" s="99" t="n"/>
      <c r="M54" s="96">
        <f>COUNTIFS(Home!$D$3:$D$976,$F$2,Home!$E$3:$E$976,$D$2,Home!$X$3:$X$976,$A54)</f>
        <v/>
      </c>
      <c r="N54" s="100">
        <f>IFERROR(M54/$A$5,0)</f>
        <v/>
      </c>
      <c r="O54" s="98">
        <f>B!M11</f>
        <v/>
      </c>
      <c r="P54" s="99" t="n"/>
      <c r="Q54" s="99" t="n"/>
      <c r="R54" s="99" t="n"/>
    </row>
    <row r="55">
      <c r="A55" s="98">
        <f>B!C12</f>
        <v/>
      </c>
      <c r="B55" s="98">
        <f>B!D12</f>
        <v/>
      </c>
      <c r="C55" s="99" t="n"/>
      <c r="D55" s="99" t="n"/>
      <c r="E55" s="99" t="n"/>
      <c r="F55" s="99" t="n"/>
      <c r="G55" s="99" t="n"/>
      <c r="H55" s="99" t="n"/>
      <c r="I55" s="99" t="n"/>
      <c r="J55" s="99" t="n"/>
      <c r="K55" s="99" t="n"/>
      <c r="L55" s="99" t="n"/>
      <c r="M55" s="96">
        <f>COUNTIFS(Home!$D$3:$D$976,$F$2,Home!$E$3:$E$976,$D$2,Home!$X$3:$X$976,$A55)</f>
        <v/>
      </c>
      <c r="N55" s="100">
        <f>IFERROR(M55/$A$5,0)</f>
        <v/>
      </c>
      <c r="O55" s="98">
        <f>B!M12</f>
        <v/>
      </c>
      <c r="P55" s="99" t="n"/>
      <c r="Q55" s="99" t="n"/>
      <c r="R55" s="99" t="n"/>
    </row>
    <row r="56">
      <c r="A56" s="98">
        <f>B!C13</f>
        <v/>
      </c>
      <c r="B56" s="98">
        <f>B!D13</f>
        <v/>
      </c>
      <c r="C56" s="99" t="n"/>
      <c r="D56" s="99" t="n"/>
      <c r="E56" s="99" t="n"/>
      <c r="F56" s="99" t="n"/>
      <c r="G56" s="99" t="n"/>
      <c r="H56" s="99" t="n"/>
      <c r="I56" s="99" t="n"/>
      <c r="J56" s="99" t="n"/>
      <c r="K56" s="99" t="n"/>
      <c r="L56" s="99" t="n"/>
      <c r="M56" s="96">
        <f>COUNTIFS(Home!$D$3:$D$976,$F$2,Home!$E$3:$E$976,$D$2,Home!$X$3:$X$976,$A56)</f>
        <v/>
      </c>
      <c r="N56" s="100">
        <f>IFERROR(M56/$A$5,0)</f>
        <v/>
      </c>
      <c r="O56" s="98">
        <f>B!M13</f>
        <v/>
      </c>
      <c r="P56" s="99" t="n"/>
      <c r="Q56" s="99" t="n"/>
      <c r="R56" s="99" t="n"/>
    </row>
    <row r="57">
      <c r="A57" s="98">
        <f>B!C14</f>
        <v/>
      </c>
      <c r="B57" s="98">
        <f>B!D14</f>
        <v/>
      </c>
      <c r="C57" s="99" t="n"/>
      <c r="D57" s="99" t="n"/>
      <c r="E57" s="99" t="n"/>
      <c r="F57" s="99" t="n"/>
      <c r="G57" s="99" t="n"/>
      <c r="H57" s="99" t="n"/>
      <c r="I57" s="99" t="n"/>
      <c r="J57" s="99" t="n"/>
      <c r="K57" s="99" t="n"/>
      <c r="L57" s="99" t="n"/>
      <c r="M57" s="96">
        <f>COUNTIFS(Home!$D$3:$D$976,$F$2,Home!$E$3:$E$976,$D$2,Home!$X$3:$X$976,$A57)</f>
        <v/>
      </c>
      <c r="N57" s="100">
        <f>IFERROR(M57/$A$5,0)</f>
        <v/>
      </c>
      <c r="O57" s="98">
        <f>B!M14</f>
        <v/>
      </c>
      <c r="P57" s="99" t="n"/>
      <c r="Q57" s="99" t="n"/>
      <c r="R57" s="99" t="n"/>
    </row>
    <row r="58">
      <c r="A58" s="98">
        <f>B!C15</f>
        <v/>
      </c>
      <c r="B58" s="98">
        <f>B!D15</f>
        <v/>
      </c>
      <c r="C58" s="99" t="n"/>
      <c r="D58" s="99" t="n"/>
      <c r="E58" s="99" t="n"/>
      <c r="F58" s="99" t="n"/>
      <c r="G58" s="99" t="n"/>
      <c r="H58" s="99" t="n"/>
      <c r="I58" s="99" t="n"/>
      <c r="J58" s="99" t="n"/>
      <c r="K58" s="99" t="n"/>
      <c r="L58" s="99" t="n"/>
      <c r="M58" s="96">
        <f>COUNTIFS(Home!$D$3:$D$976,$F$2,Home!$E$3:$E$976,$D$2,Home!$X$3:$X$976,$A58)</f>
        <v/>
      </c>
      <c r="N58" s="100">
        <f>IFERROR(M58/$A$5,0)</f>
        <v/>
      </c>
      <c r="O58" s="98">
        <f>B!M15</f>
        <v/>
      </c>
      <c r="P58" s="99" t="n"/>
      <c r="Q58" s="99" t="n"/>
      <c r="R58" s="99" t="n"/>
    </row>
    <row r="59">
      <c r="A59" s="98">
        <f>B!C16</f>
        <v/>
      </c>
      <c r="B59" s="98">
        <f>B!D16</f>
        <v/>
      </c>
      <c r="C59" s="99" t="n"/>
      <c r="D59" s="99" t="n"/>
      <c r="E59" s="99" t="n"/>
      <c r="F59" s="99" t="n"/>
      <c r="G59" s="99" t="n"/>
      <c r="H59" s="99" t="n"/>
      <c r="I59" s="99" t="n"/>
      <c r="J59" s="99" t="n"/>
      <c r="K59" s="99" t="n"/>
      <c r="L59" s="99" t="n"/>
      <c r="M59" s="96">
        <f>COUNTIFS(Home!$D$3:$D$976,$F$2,Home!$E$3:$E$976,$D$2,Home!$X$3:$X$976,$A59)</f>
        <v/>
      </c>
      <c r="N59" s="100">
        <f>IFERROR(M59/$A$5,0)</f>
        <v/>
      </c>
      <c r="O59" s="98">
        <f>B!M16</f>
        <v/>
      </c>
      <c r="P59" s="99" t="n"/>
      <c r="Q59" s="99" t="n"/>
      <c r="R59" s="99" t="n"/>
    </row>
    <row r="60">
      <c r="A60" s="98">
        <f>B!C17</f>
        <v/>
      </c>
      <c r="B60" s="98">
        <f>B!D17</f>
        <v/>
      </c>
      <c r="C60" s="99" t="n"/>
      <c r="D60" s="99" t="n"/>
      <c r="E60" s="99" t="n"/>
      <c r="F60" s="99" t="n"/>
      <c r="G60" s="99" t="n"/>
      <c r="H60" s="99" t="n"/>
      <c r="I60" s="99" t="n"/>
      <c r="J60" s="99" t="n"/>
      <c r="K60" s="99" t="n"/>
      <c r="L60" s="99" t="n"/>
      <c r="M60" s="96">
        <f>COUNTIFS(Home!$D$3:$D$976,$F$2,Home!$E$3:$E$976,$D$2,Home!$X$3:$X$976,$A60)</f>
        <v/>
      </c>
      <c r="N60" s="100">
        <f>IFERROR(M60/$A$5,0)</f>
        <v/>
      </c>
      <c r="O60" s="98">
        <f>B!M17</f>
        <v/>
      </c>
      <c r="P60" s="99" t="n"/>
      <c r="Q60" s="99" t="n"/>
      <c r="R60" s="99" t="n"/>
    </row>
    <row r="61">
      <c r="A61" s="98">
        <f>B!C18</f>
        <v/>
      </c>
      <c r="B61" s="98">
        <f>B!D18</f>
        <v/>
      </c>
      <c r="C61" s="99" t="n"/>
      <c r="D61" s="99" t="n"/>
      <c r="E61" s="99" t="n"/>
      <c r="F61" s="99" t="n"/>
      <c r="G61" s="99" t="n"/>
      <c r="H61" s="99" t="n"/>
      <c r="I61" s="99" t="n"/>
      <c r="J61" s="99" t="n"/>
      <c r="K61" s="99" t="n"/>
      <c r="L61" s="99" t="n"/>
      <c r="M61" s="96">
        <f>COUNTIFS(Home!$D$3:$D$976,$F$2,Home!$E$3:$E$976,$D$2,Home!$X$3:$X$976,$A61)</f>
        <v/>
      </c>
      <c r="N61" s="100">
        <f>IFERROR(M61/$A$5,0)</f>
        <v/>
      </c>
      <c r="O61" s="98">
        <f>B!M18</f>
        <v/>
      </c>
      <c r="P61" s="99" t="n"/>
      <c r="Q61" s="99" t="n"/>
      <c r="R61" s="99" t="n"/>
    </row>
    <row r="62">
      <c r="A62" s="98">
        <f>B!C19</f>
        <v/>
      </c>
      <c r="B62" s="98">
        <f>B!D19</f>
        <v/>
      </c>
      <c r="C62" s="99" t="n"/>
      <c r="D62" s="99" t="n"/>
      <c r="E62" s="99" t="n"/>
      <c r="F62" s="99" t="n"/>
      <c r="G62" s="99" t="n"/>
      <c r="H62" s="99" t="n"/>
      <c r="I62" s="99" t="n"/>
      <c r="J62" s="99" t="n"/>
      <c r="K62" s="99" t="n"/>
      <c r="L62" s="99" t="n"/>
      <c r="M62" s="96">
        <f>COUNTIFS(Home!$D$3:$D$976,$F$2,Home!$E$3:$E$976,$D$2,Home!$X$3:$X$976,$A62)</f>
        <v/>
      </c>
      <c r="N62" s="100">
        <f>IFERROR(M62/$A$5,0)</f>
        <v/>
      </c>
      <c r="O62" s="98">
        <f>B!M19</f>
        <v/>
      </c>
      <c r="P62" s="99" t="n"/>
      <c r="Q62" s="99" t="n"/>
      <c r="R62" s="99" t="n"/>
    </row>
    <row r="63">
      <c r="A63" s="98">
        <f>B!C20</f>
        <v/>
      </c>
      <c r="B63" s="98">
        <f>B!D20</f>
        <v/>
      </c>
      <c r="C63" s="99" t="n"/>
      <c r="D63" s="99" t="n"/>
      <c r="E63" s="99" t="n"/>
      <c r="F63" s="99" t="n"/>
      <c r="G63" s="99" t="n"/>
      <c r="H63" s="99" t="n"/>
      <c r="I63" s="99" t="n"/>
      <c r="J63" s="99" t="n"/>
      <c r="K63" s="99" t="n"/>
      <c r="L63" s="99" t="n"/>
      <c r="M63" s="96">
        <f>COUNTIFS(Home!$D$3:$D$976,$F$2,Home!$E$3:$E$976,$D$2,Home!$X$3:$X$976,$A63)</f>
        <v/>
      </c>
      <c r="N63" s="100">
        <f>IFERROR(M63/$A$5,0)</f>
        <v/>
      </c>
      <c r="O63" s="98">
        <f>B!M20</f>
        <v/>
      </c>
      <c r="P63" s="99" t="n"/>
      <c r="Q63" s="99" t="n"/>
      <c r="R63" s="99" t="n"/>
    </row>
    <row r="64">
      <c r="A64" s="98">
        <f>B!C21</f>
        <v/>
      </c>
      <c r="B64" s="98">
        <f>B!D21</f>
        <v/>
      </c>
      <c r="C64" s="99" t="n"/>
      <c r="D64" s="99" t="n"/>
      <c r="E64" s="99" t="n"/>
      <c r="F64" s="99" t="n"/>
      <c r="G64" s="99" t="n"/>
      <c r="H64" s="99" t="n"/>
      <c r="I64" s="99" t="n"/>
      <c r="J64" s="99" t="n"/>
      <c r="K64" s="99" t="n"/>
      <c r="L64" s="99" t="n"/>
      <c r="M64" s="96">
        <f>COUNTIFS(Home!$D$3:$D$976,$F$2,Home!$E$3:$E$976,$D$2,Home!$X$3:$X$976,$A64)</f>
        <v/>
      </c>
      <c r="N64" s="100">
        <f>IFERROR(M64/$A$5,0)</f>
        <v/>
      </c>
      <c r="O64" s="98">
        <f>B!M21</f>
        <v/>
      </c>
      <c r="P64" s="99" t="n"/>
      <c r="Q64" s="99" t="n"/>
      <c r="R64" s="99" t="n"/>
    </row>
    <row r="65">
      <c r="A65" s="98">
        <f>B!C22</f>
        <v/>
      </c>
      <c r="B65" s="98">
        <f>B!D22</f>
        <v/>
      </c>
      <c r="C65" s="99" t="n"/>
      <c r="D65" s="99" t="n"/>
      <c r="E65" s="99" t="n"/>
      <c r="F65" s="99" t="n"/>
      <c r="G65" s="99" t="n"/>
      <c r="H65" s="99" t="n"/>
      <c r="I65" s="99" t="n"/>
      <c r="J65" s="99" t="n"/>
      <c r="K65" s="99" t="n"/>
      <c r="L65" s="99" t="n"/>
      <c r="M65" s="96">
        <f>COUNTIFS(Home!$D$3:$D$976,$F$2,Home!$E$3:$E$976,$D$2,Home!$X$3:$X$976,$A65)</f>
        <v/>
      </c>
      <c r="N65" s="100">
        <f>IFERROR(M65/$A$5,0)</f>
        <v/>
      </c>
      <c r="O65" s="98">
        <f>B!M22</f>
        <v/>
      </c>
      <c r="P65" s="99" t="n"/>
      <c r="Q65" s="99" t="n"/>
      <c r="R65" s="99" t="n"/>
    </row>
    <row r="66">
      <c r="A66" s="98">
        <f>B!C23</f>
        <v/>
      </c>
      <c r="B66" s="98">
        <f>B!D23</f>
        <v/>
      </c>
      <c r="C66" s="99" t="n"/>
      <c r="D66" s="99" t="n"/>
      <c r="E66" s="99" t="n"/>
      <c r="F66" s="99" t="n"/>
      <c r="G66" s="99" t="n"/>
      <c r="H66" s="99" t="n"/>
      <c r="I66" s="99" t="n"/>
      <c r="J66" s="99" t="n"/>
      <c r="K66" s="99" t="n"/>
      <c r="L66" s="99" t="n"/>
      <c r="M66" s="96">
        <f>COUNTIFS(Home!$D$3:$D$976,$F$2,Home!$E$3:$E$976,$D$2,Home!$X$3:$X$976,$A66)</f>
        <v/>
      </c>
      <c r="N66" s="100">
        <f>IFERROR(M66/$A$5,0)</f>
        <v/>
      </c>
      <c r="O66" s="98">
        <f>B!M23</f>
        <v/>
      </c>
      <c r="P66" s="99" t="n"/>
      <c r="Q66" s="99" t="n"/>
      <c r="R66" s="99" t="n"/>
    </row>
    <row r="67">
      <c r="A67" s="98">
        <f>B!C24</f>
        <v/>
      </c>
      <c r="B67" s="98">
        <f>B!D24</f>
        <v/>
      </c>
      <c r="C67" s="99" t="n"/>
      <c r="D67" s="99" t="n"/>
      <c r="E67" s="99" t="n"/>
      <c r="F67" s="99" t="n"/>
      <c r="G67" s="99" t="n"/>
      <c r="H67" s="99" t="n"/>
      <c r="I67" s="99" t="n"/>
      <c r="J67" s="99" t="n"/>
      <c r="K67" s="99" t="n"/>
      <c r="L67" s="99" t="n"/>
      <c r="M67" s="96">
        <f>COUNTIFS(Home!$D$3:$D$976,$F$2,Home!$E$3:$E$976,$D$2,Home!$X$3:$X$976,$A67)</f>
        <v/>
      </c>
      <c r="N67" s="100">
        <f>IFERROR(M67/$A$5,0)</f>
        <v/>
      </c>
      <c r="O67" s="98">
        <f>B!M24</f>
        <v/>
      </c>
      <c r="P67" s="99" t="n"/>
      <c r="Q67" s="99" t="n"/>
      <c r="R67" s="99" t="n"/>
    </row>
    <row r="68">
      <c r="A68" s="98">
        <f>B!C25</f>
        <v/>
      </c>
      <c r="B68" s="98">
        <f>B!D25</f>
        <v/>
      </c>
      <c r="C68" s="99" t="n"/>
      <c r="D68" s="99" t="n"/>
      <c r="E68" s="99" t="n"/>
      <c r="F68" s="99" t="n"/>
      <c r="G68" s="99" t="n"/>
      <c r="H68" s="99" t="n"/>
      <c r="I68" s="99" t="n"/>
      <c r="J68" s="99" t="n"/>
      <c r="K68" s="99" t="n"/>
      <c r="L68" s="99" t="n"/>
      <c r="M68" s="96">
        <f>COUNTIFS(Home!$D$3:$D$976,$F$2,Home!$E$3:$E$976,$D$2,Home!$X$3:$X$976,$A68)</f>
        <v/>
      </c>
      <c r="N68" s="100">
        <f>IFERROR(M68/$A$5,0)</f>
        <v/>
      </c>
      <c r="O68" s="98">
        <f>B!M25</f>
        <v/>
      </c>
      <c r="P68" s="99" t="n"/>
      <c r="Q68" s="99" t="n"/>
      <c r="R68" s="99" t="n"/>
    </row>
    <row r="69">
      <c r="A69" s="98">
        <f>B!C26</f>
        <v/>
      </c>
      <c r="B69" s="98">
        <f>B!D26</f>
        <v/>
      </c>
      <c r="C69" s="99" t="n"/>
      <c r="D69" s="99" t="n"/>
      <c r="E69" s="99" t="n"/>
      <c r="F69" s="99" t="n"/>
      <c r="G69" s="99" t="n"/>
      <c r="H69" s="99" t="n"/>
      <c r="I69" s="99" t="n"/>
      <c r="J69" s="99" t="n"/>
      <c r="K69" s="99" t="n"/>
      <c r="L69" s="99" t="n"/>
      <c r="M69" s="96">
        <f>COUNTIFS(Home!$D$3:$D$976,$F$2,Home!$E$3:$E$976,$D$2,Home!$X$3:$X$976,$A69)</f>
        <v/>
      </c>
      <c r="N69" s="100">
        <f>IFERROR(M69/$A$5,0)</f>
        <v/>
      </c>
      <c r="O69" s="98">
        <f>B!M26</f>
        <v/>
      </c>
      <c r="P69" s="99" t="n"/>
      <c r="Q69" s="99" t="n"/>
      <c r="R69" s="99" t="n"/>
    </row>
    <row r="70">
      <c r="A70" s="98">
        <f>B!C27</f>
        <v/>
      </c>
      <c r="B70" s="98">
        <f>B!D27</f>
        <v/>
      </c>
      <c r="C70" s="99" t="n"/>
      <c r="D70" s="99" t="n"/>
      <c r="E70" s="99" t="n"/>
      <c r="F70" s="99" t="n"/>
      <c r="G70" s="99" t="n"/>
      <c r="H70" s="99" t="n"/>
      <c r="I70" s="99" t="n"/>
      <c r="J70" s="99" t="n"/>
      <c r="K70" s="99" t="n"/>
      <c r="L70" s="99" t="n"/>
      <c r="M70" s="96">
        <f>COUNTIFS(Home!$D$3:$D$976,$F$2,Home!$E$3:$E$976,$D$2,Home!$X$3:$X$976,$A70)</f>
        <v/>
      </c>
      <c r="N70" s="100">
        <f>IFERROR(M70/$A$5,0)</f>
        <v/>
      </c>
      <c r="O70" s="98">
        <f>B!M27</f>
        <v/>
      </c>
      <c r="P70" s="99" t="n"/>
      <c r="Q70" s="99" t="n"/>
      <c r="R70" s="99" t="n"/>
    </row>
    <row r="71">
      <c r="A71" s="98">
        <f>B!C28</f>
        <v/>
      </c>
      <c r="B71" s="98">
        <f>B!D28</f>
        <v/>
      </c>
      <c r="C71" s="99" t="n"/>
      <c r="D71" s="99" t="n"/>
      <c r="E71" s="99" t="n"/>
      <c r="F71" s="99" t="n"/>
      <c r="G71" s="99" t="n"/>
      <c r="H71" s="99" t="n"/>
      <c r="I71" s="99" t="n"/>
      <c r="J71" s="99" t="n"/>
      <c r="K71" s="99" t="n"/>
      <c r="L71" s="99" t="n"/>
      <c r="M71" s="96">
        <f>COUNTIFS(Home!$D$3:$D$976,$F$2,Home!$E$3:$E$976,$D$2,Home!$X$3:$X$976,$A71)</f>
        <v/>
      </c>
      <c r="N71" s="100">
        <f>IFERROR(M71/$A$5,0)</f>
        <v/>
      </c>
      <c r="O71" s="98">
        <f>B!M28</f>
        <v/>
      </c>
      <c r="P71" s="99" t="n"/>
      <c r="Q71" s="99" t="n"/>
      <c r="R71" s="99" t="n"/>
    </row>
  </sheetData>
  <mergeCells count="79">
    <mergeCell ref="Y4:Z4"/>
    <mergeCell ref="O52:R52"/>
    <mergeCell ref="O64:R64"/>
    <mergeCell ref="B47:L47"/>
    <mergeCell ref="AB5:AC5"/>
    <mergeCell ref="O67:R67"/>
    <mergeCell ref="J4:K4"/>
    <mergeCell ref="D4:E4"/>
    <mergeCell ref="O54:R54"/>
    <mergeCell ref="O63:R63"/>
    <mergeCell ref="B49:L49"/>
    <mergeCell ref="B64:L64"/>
    <mergeCell ref="S5:T5"/>
    <mergeCell ref="B51:L51"/>
    <mergeCell ref="O55:R55"/>
    <mergeCell ref="B63:L63"/>
    <mergeCell ref="S4:T4"/>
    <mergeCell ref="B50:L50"/>
    <mergeCell ref="O60:R60"/>
    <mergeCell ref="B66:L66"/>
    <mergeCell ref="A1:AF1"/>
    <mergeCell ref="O68:R68"/>
    <mergeCell ref="B67:L67"/>
    <mergeCell ref="B61:L61"/>
    <mergeCell ref="O53:R53"/>
    <mergeCell ref="B53:L53"/>
    <mergeCell ref="O45:R45"/>
    <mergeCell ref="B69:L69"/>
    <mergeCell ref="M4:N4"/>
    <mergeCell ref="B55:L55"/>
    <mergeCell ref="A43:AF43"/>
    <mergeCell ref="O62:R62"/>
    <mergeCell ref="P4:Q4"/>
    <mergeCell ref="O56:R56"/>
    <mergeCell ref="O71:R71"/>
    <mergeCell ref="O58:R58"/>
    <mergeCell ref="B54:L54"/>
    <mergeCell ref="M5:N5"/>
    <mergeCell ref="B56:L56"/>
    <mergeCell ref="B71:L71"/>
    <mergeCell ref="O57:R57"/>
    <mergeCell ref="B58:L58"/>
    <mergeCell ref="O66:R66"/>
    <mergeCell ref="B52:L52"/>
    <mergeCell ref="B60:L60"/>
    <mergeCell ref="B57:L57"/>
    <mergeCell ref="B44:L44"/>
    <mergeCell ref="A5:B5"/>
    <mergeCell ref="O65:R65"/>
    <mergeCell ref="A4:B4"/>
    <mergeCell ref="D5:E5"/>
    <mergeCell ref="O59:R59"/>
    <mergeCell ref="P5:Q5"/>
    <mergeCell ref="O46:R46"/>
    <mergeCell ref="O51:R51"/>
    <mergeCell ref="O47:R47"/>
    <mergeCell ref="O61:R61"/>
    <mergeCell ref="J5:K5"/>
    <mergeCell ref="B62:L62"/>
    <mergeCell ref="O70:R70"/>
    <mergeCell ref="O48:R48"/>
    <mergeCell ref="B59:L59"/>
    <mergeCell ref="V5:W5"/>
    <mergeCell ref="B46:L46"/>
    <mergeCell ref="AB4:AC4"/>
    <mergeCell ref="V4:W4"/>
    <mergeCell ref="B70:L70"/>
    <mergeCell ref="B48:L48"/>
    <mergeCell ref="Y5:Z5"/>
    <mergeCell ref="A7:AF7"/>
    <mergeCell ref="A16:AF16"/>
    <mergeCell ref="G5:H5"/>
    <mergeCell ref="O49:R49"/>
    <mergeCell ref="G4:H4"/>
    <mergeCell ref="B65:L65"/>
    <mergeCell ref="O69:R69"/>
    <mergeCell ref="B68:L68"/>
    <mergeCell ref="O50:R50"/>
    <mergeCell ref="B45:L45"/>
  </mergeCells>
  <conditionalFormatting sqref="B9:AF9">
    <cfRule type="colorScale" priority="1">
      <colorScale>
        <cfvo type="min"/>
        <cfvo type="max"/>
        <color rgb="00FFFFFF"/>
        <color rgb="004F81BD"/>
      </colorScale>
    </cfRule>
  </conditionalFormatting>
  <conditionalFormatting sqref="B18:AF41">
    <cfRule type="colorScale" priority="2">
      <colorScale>
        <cfvo type="num" val="0"/>
        <cfvo type="percentile" val="60"/>
        <cfvo type="max"/>
        <color rgb="00FFFFFF"/>
        <color rgb="009DC3E6"/>
        <color rgb="001F4E79"/>
      </colorScale>
    </cfRule>
  </conditionalFormatting>
  <conditionalFormatting sqref="M45:M71">
    <cfRule type="colorScale" priority="3">
      <colorScale>
        <cfvo type="min"/>
        <cfvo type="max"/>
        <color rgb="00FFFFFF"/>
        <color rgb="00F4B183"/>
      </colorScale>
    </cfRule>
  </conditionalFormatting>
  <dataValidations count="3">
    <dataValidation sqref="B2" showDropDown="0" showInputMessage="0" showErrorMessage="1" allowBlank="1" type="list">
      <formula1>B!$AL$2:$AL$13</formula1>
    </dataValidation>
    <dataValidation sqref="C2" showDropDown="0" showInputMessage="0" showErrorMessage="1" allowBlank="1" type="list">
      <formula1>B!$AL$14:$AL$15</formula1>
    </dataValidation>
    <dataValidation sqref="B2" showDropDown="0" showInputMessage="0" showErrorMessage="0" allowBlank="0" type="list">
      <formula1>"Janeiro,Fevereiro,Março,Abril,Maio,Junho,Julho,Agosto,Setembro,Outubro,Novembro,Dezembro"</formula1>
    </dataValidation>
  </dataValidation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AP61"/>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3.63" customWidth="1" style="58" min="1" max="1"/>
    <col collapsed="1" width="2.63" customWidth="1" style="58" min="2" max="2"/>
    <col hidden="1" outlineLevel="1" width="12.63" customWidth="1" style="58" min="3" max="3"/>
    <col hidden="1" outlineLevel="1" width="36.63" customWidth="1" style="58" min="4" max="4"/>
    <col hidden="1" outlineLevel="1" width="16.38" customWidth="1" style="58" min="5" max="5"/>
    <col hidden="1" outlineLevel="1" width="12.63" customWidth="1" style="58" min="6" max="13"/>
    <col hidden="1" outlineLevel="1" width="4.38" customWidth="1" style="58" min="14" max="14"/>
    <col hidden="1" outlineLevel="1" width="5.5" customWidth="1" style="58" min="15" max="16"/>
    <col collapsed="1" width="2.63" customWidth="1" style="58" min="17" max="17"/>
    <col hidden="1" outlineLevel="1" width="5.25" customWidth="1" style="58" min="18" max="20"/>
    <col hidden="1" outlineLevel="1" width="38.13" customWidth="1" style="58" min="21" max="21"/>
    <col hidden="1" outlineLevel="1" width="12.63" customWidth="1" style="58" min="22" max="24"/>
    <col hidden="1" outlineLevel="1" width="19.63" customWidth="1" style="58" min="25" max="25"/>
    <col hidden="1" outlineLevel="1" width="12.63" customWidth="1" style="58" min="26" max="27"/>
    <col collapsed="1" width="2.63" customWidth="1" style="58" min="28" max="28"/>
    <col hidden="1" outlineLevel="1" width="12.63" customWidth="1" style="58" min="29" max="37"/>
  </cols>
  <sheetData>
    <row r="1">
      <c r="A1" s="3" t="inlineStr">
        <is>
          <t>###</t>
        </is>
      </c>
      <c r="B1" s="6" t="n"/>
      <c r="C1" s="39" t="inlineStr">
        <is>
          <t>Sigla</t>
        </is>
      </c>
      <c r="D1" s="39" t="inlineStr">
        <is>
          <t>Problema</t>
        </is>
      </c>
      <c r="E1" s="39" t="inlineStr">
        <is>
          <t>Problema com Sigla</t>
        </is>
      </c>
      <c r="F1" s="55" t="inlineStr">
        <is>
          <t>Contact Type</t>
        </is>
      </c>
      <c r="G1" s="55" t="inlineStr">
        <is>
          <t>Link KB</t>
        </is>
      </c>
      <c r="H1" s="55" t="inlineStr">
        <is>
          <t>Etapa</t>
        </is>
      </c>
      <c r="I1" s="55" t="inlineStr">
        <is>
          <t>Informação Extra</t>
        </is>
      </c>
      <c r="J1" s="55" t="inlineStr">
        <is>
          <t>Obs Usuário</t>
        </is>
      </c>
      <c r="K1" s="55" t="inlineStr">
        <is>
          <t>Obs Motorista</t>
        </is>
      </c>
      <c r="L1" s="55" t="inlineStr">
        <is>
          <t>Resp p/Cliente</t>
        </is>
      </c>
      <c r="M1" s="39" t="inlineStr">
        <is>
          <t>Status TKT</t>
        </is>
      </c>
      <c r="N1" s="39" t="inlineStr">
        <is>
          <t>Car?</t>
        </is>
      </c>
      <c r="O1" s="39" t="inlineStr">
        <is>
          <t>XX?</t>
        </is>
      </c>
      <c r="P1" s="39" t="inlineStr">
        <is>
          <t>PSat?</t>
        </is>
      </c>
      <c r="Q1" s="12" t="n"/>
      <c r="R1" s="39" t="inlineStr">
        <is>
          <t>Etapa</t>
        </is>
      </c>
      <c r="S1" s="39" t="inlineStr">
        <is>
          <t>Motivo</t>
        </is>
      </c>
      <c r="T1" s="39" t="inlineStr">
        <is>
          <t>EtaMoti</t>
        </is>
      </c>
      <c r="U1" s="39" t="inlineStr">
        <is>
          <t>Final</t>
        </is>
      </c>
      <c r="V1" s="39" t="inlineStr">
        <is>
          <t>Tipo</t>
        </is>
      </c>
      <c r="W1" s="39" t="inlineStr">
        <is>
          <t>CT1</t>
        </is>
      </c>
      <c r="X1" s="39" t="inlineStr">
        <is>
          <t>Conjuntor</t>
        </is>
      </c>
      <c r="Y1" s="39" t="inlineStr">
        <is>
          <t>CT2</t>
        </is>
      </c>
      <c r="Z1" s="39" t="n"/>
      <c r="AA1" s="39" t="n"/>
      <c r="AB1" s="14" t="n"/>
      <c r="AC1" s="39" t="n"/>
      <c r="AD1" s="39" t="n"/>
      <c r="AE1" s="39" t="n"/>
      <c r="AF1" s="43" t="n"/>
      <c r="AG1" s="43" t="n"/>
      <c r="AH1" s="19" t="n"/>
      <c r="AI1" s="43" t="n"/>
      <c r="AJ1" s="43" t="n"/>
      <c r="AK1" s="43" t="n"/>
      <c r="AL1" s="21" t="n"/>
      <c r="AM1" s="21" t="n"/>
      <c r="AN1" s="21" t="n"/>
      <c r="AO1" s="43" t="n"/>
      <c r="AP1" s="43" t="n"/>
    </row>
    <row r="2" ht="15.75" customHeight="1" s="58">
      <c r="A2" s="3" t="n">
        <v>1</v>
      </c>
      <c r="B2" s="6" t="n"/>
      <c r="C2" s="39" t="inlineStr">
        <is>
          <t>OPEN</t>
        </is>
      </c>
      <c r="D2" s="39" t="inlineStr">
        <is>
          <t>Overpaid, Excede o limite, Sem comprovante</t>
        </is>
      </c>
      <c r="E2" s="39">
        <f>D2&amp;" - ["&amp;C2&amp;"]"</f>
        <v/>
      </c>
      <c r="F2" s="55" t="inlineStr">
        <is>
          <t>Passageiro &gt; Transferência de Dinheiro</t>
        </is>
      </c>
      <c r="G2" s="42" t="inlineStr">
        <is>
          <t>https://docs.google.com/spreadsheets/d/1ZiCGoPjLCjuYvujDTXK9Ixbth3tekiLtFBzBrGjPCr4/edit?gid=0#gid=0</t>
        </is>
      </c>
      <c r="H2" s="55">
        <f>IFERROR(INDEX($T$2:$T$61,MATCH($F2,$U$2:$U$61,0)),"")</f>
        <v/>
      </c>
      <c r="I2" s="55" t="inlineStr">
        <is>
          <t>Reembolsar Usuário</t>
        </is>
      </c>
      <c r="J2" s="55" t="inlineStr">
        <is>
          <t>Trip UUID = [insert.trip.uuid} // add.User.UberCash until max // #N incident in 30 days</t>
        </is>
      </c>
      <c r="K2" s="55" t="inlineStr">
        <is>
          <t xml:space="preserve">Rider already paid amount: </t>
        </is>
      </c>
      <c r="L2" s="55" t="inlineStr">
        <is>
          <t>Olá, usuário!
Recebemos seu contato!
Informamos que realizamos os ajustes necessários em sua corrida
Você pode ver em sua wallet/Carteira sobre os valores ajustados
Se tiver mais dúvidas estaremos à disposição!
A Uber agradece seu contato!</t>
        </is>
      </c>
      <c r="M2" s="39" t="inlineStr">
        <is>
          <t>Encerrado</t>
        </is>
      </c>
      <c r="N2" s="39" t="inlineStr">
        <is>
          <t>Não</t>
        </is>
      </c>
      <c r="O2" s="39" t="inlineStr">
        <is>
          <t>Não</t>
        </is>
      </c>
      <c r="P2" s="39" t="inlineStr">
        <is>
          <t>Sim</t>
        </is>
      </c>
      <c r="Q2" s="12" t="n"/>
      <c r="R2" s="39" t="n">
        <v>1</v>
      </c>
      <c r="S2" s="39" t="inlineStr">
        <is>
          <t>Usuário possui valores pendentes em sua conta e possui comprovante</t>
        </is>
      </c>
      <c r="T2" s="39">
        <f>$R$1&amp;" "&amp;$R2&amp;" - "&amp;$S2</f>
        <v/>
      </c>
      <c r="U2" s="39">
        <f>AA2&amp;Z2&amp;Y2</f>
        <v/>
      </c>
      <c r="V2" s="39" t="inlineStr">
        <is>
          <t>Rider</t>
        </is>
      </c>
      <c r="W2" s="39" t="inlineStr">
        <is>
          <t>Passageiro</t>
        </is>
      </c>
      <c r="X2" s="39" t="inlineStr">
        <is>
          <t xml:space="preserve"> &gt; </t>
        </is>
      </c>
      <c r="Y2" s="39" t="inlineStr">
        <is>
          <t>Transferência de Dinheiro</t>
        </is>
      </c>
      <c r="Z2" s="39" t="inlineStr">
        <is>
          <t xml:space="preserve"> &gt; </t>
        </is>
      </c>
      <c r="AA2" s="39" t="inlineStr">
        <is>
          <t>Passageiro</t>
        </is>
      </c>
      <c r="AB2" s="14" t="n"/>
      <c r="AC2" s="39" t="n"/>
      <c r="AD2" s="39" t="n"/>
      <c r="AE2" s="39" t="n"/>
      <c r="AF2" s="43" t="n"/>
      <c r="AG2" s="43" t="n"/>
      <c r="AH2" s="43" t="n"/>
      <c r="AI2" s="39" t="n"/>
      <c r="AJ2" s="43" t="n"/>
      <c r="AK2" s="43" t="n"/>
      <c r="AL2" s="46" t="inlineStr">
        <is>
          <t>Janeiro</t>
        </is>
      </c>
      <c r="AM2" s="46" t="n">
        <v>31</v>
      </c>
      <c r="AN2" s="46" t="inlineStr">
        <is>
          <t>A</t>
        </is>
      </c>
      <c r="AO2" s="39" t="n"/>
      <c r="AP2" s="39" t="n"/>
    </row>
    <row r="3" ht="15.75" customHeight="1" s="58">
      <c r="A3" s="3">
        <f>A2+1</f>
        <v/>
      </c>
      <c r="B3" s="6" t="n"/>
      <c r="C3" s="39" t="inlineStr">
        <is>
          <t>OPEC</t>
        </is>
      </c>
      <c r="D3" s="39" t="inlineStr">
        <is>
          <t>Overpaid, Excede o limite Com comprovante</t>
        </is>
      </c>
      <c r="E3" s="39">
        <f>D3&amp;" - ["&amp;C3&amp;"]"</f>
        <v/>
      </c>
      <c r="F3" s="55" t="inlineStr">
        <is>
          <t>Passageiro &gt; Transferência de Dinheiro</t>
        </is>
      </c>
      <c r="G3" s="42" t="inlineStr">
        <is>
          <t>https://docs.google.com/spreadsheets/d/1ZiCGoPjLCjuYvujDTXK9Ixbth3tekiLtFBzBrGjPCr4/edit?gid=0#gid=0</t>
        </is>
      </c>
      <c r="H3" s="55">
        <f>IFERROR(INDEX($T$2:$T$61,MATCH($F3,$U$2:$U$61,0)),"")</f>
        <v/>
      </c>
      <c r="I3" s="55" t="inlineStr">
        <is>
          <t>Reembolsar Usuário</t>
        </is>
      </c>
      <c r="J3" s="55" t="inlineStr">
        <is>
          <t>Trip UUID = [insert.trip.uuid} // add.User.UberCash until max // #N incident in 30 days</t>
        </is>
      </c>
      <c r="K3" s="55" t="inlineStr">
        <is>
          <t xml:space="preserve">Rider already paid amount: </t>
        </is>
      </c>
      <c r="L3" s="55" t="inlineStr">
        <is>
          <t>Olá, usuário!
Recebemos seu contato!
Informamos que realizamos os ajustes necessários em sua corrida
Você pode ver em sua wallet/Carteira sobre os valores ajustados
Se tiver mais dúvidas estaremos à disposição!
A Uber agradece seu contato!</t>
        </is>
      </c>
      <c r="M3" s="39" t="inlineStr">
        <is>
          <t>Encerrado</t>
        </is>
      </c>
      <c r="N3" s="39" t="inlineStr">
        <is>
          <t>Não</t>
        </is>
      </c>
      <c r="O3" s="39" t="inlineStr">
        <is>
          <t>Não</t>
        </is>
      </c>
      <c r="P3" s="39" t="inlineStr">
        <is>
          <t>Sim</t>
        </is>
      </c>
      <c r="Q3" s="12" t="n"/>
      <c r="R3" s="39" t="n">
        <v>7</v>
      </c>
      <c r="S3" s="39" t="inlineStr">
        <is>
          <t>Usuário não concorda com a taxa de limpeza aplicada</t>
        </is>
      </c>
      <c r="T3" s="39">
        <f>$R$1&amp;" "&amp;$R3&amp;" - "&amp;$S3</f>
        <v/>
      </c>
      <c r="U3" s="39">
        <f>AA3&amp;Z3&amp;Y3</f>
        <v/>
      </c>
      <c r="V3" s="39" t="inlineStr">
        <is>
          <t>Safety</t>
        </is>
      </c>
      <c r="W3" s="39" t="inlineStr">
        <is>
          <t>Outros</t>
        </is>
      </c>
      <c r="X3" s="39" t="n"/>
      <c r="Y3" s="39" t="inlineStr">
        <is>
          <t>Não concorda com a taxa de limpeza</t>
        </is>
      </c>
      <c r="Z3" s="39" t="inlineStr">
        <is>
          <t xml:space="preserve"> &gt; </t>
        </is>
      </c>
      <c r="AA3" s="39" t="inlineStr">
        <is>
          <t>Passageiro</t>
        </is>
      </c>
      <c r="AB3" s="14" t="n"/>
      <c r="AC3" s="39" t="n"/>
      <c r="AD3" s="39" t="n"/>
      <c r="AE3" s="39" t="n"/>
      <c r="AF3" s="43" t="n"/>
      <c r="AG3" s="43" t="n"/>
      <c r="AH3" s="43" t="n"/>
      <c r="AI3" s="39" t="n"/>
      <c r="AJ3" s="43" t="n"/>
      <c r="AK3" s="43" t="n"/>
      <c r="AL3" s="46" t="inlineStr">
        <is>
          <t>Fevereiro</t>
        </is>
      </c>
      <c r="AM3" s="46" t="n">
        <v>28</v>
      </c>
      <c r="AN3" s="46" t="inlineStr">
        <is>
          <t>C</t>
        </is>
      </c>
      <c r="AO3" s="39" t="n"/>
      <c r="AP3" s="39" t="n"/>
    </row>
    <row r="4" ht="15.75" customHeight="1" s="58">
      <c r="A4" s="3">
        <f>A3+1</f>
        <v/>
      </c>
      <c r="B4" s="6" t="n"/>
      <c r="C4" s="39" t="inlineStr">
        <is>
          <t>OPNN</t>
        </is>
      </c>
      <c r="D4" s="39" t="inlineStr">
        <is>
          <t>Overpaid, Não excede o limite, Sem comprovante</t>
        </is>
      </c>
      <c r="E4" s="39">
        <f>D4&amp;" - ["&amp;C4&amp;"]"</f>
        <v/>
      </c>
      <c r="F4" s="55" t="inlineStr">
        <is>
          <t>Passageiro &gt; Transferência de Dinheiro</t>
        </is>
      </c>
      <c r="G4" s="42" t="inlineStr">
        <is>
          <t>https://docs.google.com/spreadsheets/d/1ZiCGoPjLCjuYvujDTXK9Ixbth3tekiLtFBzBrGjPCr4/edit?gid=0#gid=0</t>
        </is>
      </c>
      <c r="H4" s="55">
        <f>IFERROR(INDEX($T$2:$T$61,MATCH($F4,$U$2:$U$61,0)),"")</f>
        <v/>
      </c>
      <c r="I4" s="55" t="inlineStr">
        <is>
          <t>Reembolsar Usuário</t>
        </is>
      </c>
      <c r="J4" s="55" t="inlineStr">
        <is>
          <t>Trip UUID = [insert.trip.uuid} // add.User.UberCash until max // #N incident in 30 days</t>
        </is>
      </c>
      <c r="K4" s="55" t="inlineStr">
        <is>
          <t xml:space="preserve">Rider already paid amount: </t>
        </is>
      </c>
      <c r="L4" s="55" t="inlineStr">
        <is>
          <t>Olá, usuário!
Recebemos seu contato!
Informamos que realizamos os ajustes necessários em sua corrida
Você pode ver em sua wallet/Carteira sobre os valores ajustados
Se tiver mais dúvidas estaremos à disposição!
A Uber agradece seu contato!</t>
        </is>
      </c>
      <c r="M4" s="39" t="inlineStr">
        <is>
          <t>Encerrado</t>
        </is>
      </c>
      <c r="N4" s="39" t="inlineStr">
        <is>
          <t>Não</t>
        </is>
      </c>
      <c r="O4" s="39" t="inlineStr">
        <is>
          <t>Não</t>
        </is>
      </c>
      <c r="P4" s="39" t="inlineStr">
        <is>
          <t>Sim</t>
        </is>
      </c>
      <c r="Q4" s="12" t="n"/>
      <c r="R4" s="39" t="n">
        <v>2</v>
      </c>
      <c r="S4" s="39" t="inlineStr">
        <is>
          <t>Usuário possui valores pendentes em sua conta</t>
        </is>
      </c>
      <c r="T4" s="39">
        <f>$R$1&amp;" "&amp;$R4&amp;" - "&amp;$S4</f>
        <v/>
      </c>
      <c r="U4" s="39">
        <f>AA4&amp;Z4&amp;Y4</f>
        <v/>
      </c>
      <c r="V4" s="39" t="inlineStr">
        <is>
          <t>Driver</t>
        </is>
      </c>
      <c r="W4" s="39" t="inlineStr">
        <is>
          <t>Motorista</t>
        </is>
      </c>
      <c r="X4" s="39" t="n"/>
      <c r="Y4" s="39" t="inlineStr">
        <is>
          <t>Valores pendentes</t>
        </is>
      </c>
      <c r="Z4" s="39" t="inlineStr">
        <is>
          <t xml:space="preserve"> &gt; </t>
        </is>
      </c>
      <c r="AA4" s="39" t="inlineStr">
        <is>
          <t>Passageiro</t>
        </is>
      </c>
      <c r="AB4" s="14" t="n"/>
      <c r="AC4" s="39" t="n"/>
      <c r="AD4" s="39" t="n"/>
      <c r="AE4" s="39" t="n"/>
      <c r="AF4" s="43" t="n"/>
      <c r="AG4" s="43" t="n"/>
      <c r="AH4" s="43" t="n"/>
      <c r="AI4" s="39" t="n"/>
      <c r="AJ4" s="43" t="n"/>
      <c r="AK4" s="43" t="n"/>
      <c r="AL4" s="46" t="inlineStr">
        <is>
          <t>Março</t>
        </is>
      </c>
      <c r="AM4" s="46" t="n">
        <v>31</v>
      </c>
      <c r="AN4" s="46" t="inlineStr">
        <is>
          <t>A</t>
        </is>
      </c>
      <c r="AO4" s="39" t="n"/>
      <c r="AP4" s="39" t="n"/>
    </row>
    <row r="5" ht="15.75" customHeight="1" s="58">
      <c r="A5" s="3">
        <f>A4+1</f>
        <v/>
      </c>
      <c r="B5" s="6" t="n"/>
      <c r="C5" s="39" t="inlineStr">
        <is>
          <t>OPNC</t>
        </is>
      </c>
      <c r="D5" s="39" t="inlineStr">
        <is>
          <t>Overpaid, Não excede o limite, Com comprovante</t>
        </is>
      </c>
      <c r="E5" s="39">
        <f>D5&amp;" - ["&amp;C5&amp;"]"</f>
        <v/>
      </c>
      <c r="F5" s="55" t="inlineStr">
        <is>
          <t>Passageiro &gt; Transferência de Dinheiro</t>
        </is>
      </c>
      <c r="G5" s="42" t="inlineStr">
        <is>
          <t>https://docs.google.com/spreadsheets/d/1ZiCGoPjLCjuYvujDTXK9Ixbth3tekiLtFBzBrGjPCr4/edit?gid=0#gid=0</t>
        </is>
      </c>
      <c r="H5" s="55">
        <f>IFERROR(INDEX($T$2:$T$61,MATCH($F5,$U$2:$U$61,0)),"")</f>
        <v/>
      </c>
      <c r="I5" s="55" t="inlineStr">
        <is>
          <t>Reembolsar Usuário</t>
        </is>
      </c>
      <c r="J5" s="55" t="inlineStr">
        <is>
          <t>Trip UUID = [insert.trip.uuid} // add.User.UberCash until max // #N incident in 30 days</t>
        </is>
      </c>
      <c r="K5" s="55" t="inlineStr">
        <is>
          <t xml:space="preserve">Rider already paid amount: </t>
        </is>
      </c>
      <c r="L5" s="55" t="inlineStr">
        <is>
          <t>Olá, usuário!
Recebemos seu contato!
Informamos que realizamos os ajustes necessários em sua corrida
Você pode ver em sua wallet/Carteira sobre os valores ajustados
Se tiver mais dúvidas estaremos à disposição!
A Uber agradece seu contato!</t>
        </is>
      </c>
      <c r="M5" s="39" t="inlineStr">
        <is>
          <t>Encerrado</t>
        </is>
      </c>
      <c r="N5" s="39" t="inlineStr">
        <is>
          <t>Não</t>
        </is>
      </c>
      <c r="O5" s="39" t="inlineStr">
        <is>
          <t>Não</t>
        </is>
      </c>
      <c r="P5" s="39" t="inlineStr">
        <is>
          <t>Sim</t>
        </is>
      </c>
      <c r="Q5" s="12" t="n"/>
      <c r="R5" s="39" t="n">
        <v>16</v>
      </c>
      <c r="S5" s="39" t="inlineStr">
        <is>
          <t>a. Assuntos tratados em outro idioma</t>
        </is>
      </c>
      <c r="T5" s="39">
        <f>$R$1&amp;" "&amp;$R5&amp;" - "&amp;$S5</f>
        <v/>
      </c>
      <c r="U5" s="39">
        <f>AA5&amp;Z5&amp;Y5</f>
        <v/>
      </c>
      <c r="V5" s="39" t="inlineStr">
        <is>
          <t>Lost Items</t>
        </is>
      </c>
      <c r="W5" s="39" t="n"/>
      <c r="X5" s="39" t="n"/>
      <c r="Y5" s="39" t="inlineStr">
        <is>
          <t>Idioma</t>
        </is>
      </c>
      <c r="Z5" s="39" t="inlineStr">
        <is>
          <t xml:space="preserve"> &gt; </t>
        </is>
      </c>
      <c r="AA5" s="39" t="inlineStr">
        <is>
          <t>Outros</t>
        </is>
      </c>
      <c r="AB5" s="14" t="n"/>
      <c r="AC5" s="39" t="n"/>
      <c r="AD5" s="39" t="n"/>
      <c r="AE5" s="39" t="n"/>
      <c r="AF5" s="43" t="n"/>
      <c r="AG5" s="43" t="n"/>
      <c r="AH5" s="43" t="n"/>
      <c r="AI5" s="39" t="n"/>
      <c r="AJ5" s="43" t="n"/>
      <c r="AK5" s="43" t="n"/>
      <c r="AL5" s="46" t="inlineStr">
        <is>
          <t>Abril</t>
        </is>
      </c>
      <c r="AM5" s="46" t="n">
        <v>30</v>
      </c>
      <c r="AN5" s="46" t="inlineStr">
        <is>
          <t>B</t>
        </is>
      </c>
      <c r="AO5" s="39" t="n"/>
      <c r="AP5" s="39" t="n"/>
    </row>
    <row r="6" ht="15.75" customHeight="1" s="58">
      <c r="A6" s="3">
        <f>A5+1</f>
        <v/>
      </c>
      <c r="B6" s="6" t="n"/>
      <c r="C6" s="39" t="inlineStr">
        <is>
          <t>TXL</t>
        </is>
      </c>
      <c r="D6" s="39" t="inlineStr">
        <is>
          <t>Taxa de Limpeza</t>
        </is>
      </c>
      <c r="E6" s="39">
        <f>D6&amp;" - ["&amp;C6&amp;"]"</f>
        <v/>
      </c>
      <c r="F6" s="55" t="inlineStr">
        <is>
          <t>Passageiro &gt; Não concorda com a taxa de limpeza</t>
        </is>
      </c>
      <c r="G6" s="42" t="inlineStr">
        <is>
          <t>https://docs.google.com/spreadsheets/d/1ZiCGoPjLCjuYvujDTXK9Ixbth3tekiLtFBzBrGjPCr4/edit?gid=0#gid=0</t>
        </is>
      </c>
      <c r="H6" s="55">
        <f>IFERROR(INDEX($T$2:$T$61,MATCH($F6,$U$2:$U$61,0)),"")</f>
        <v/>
      </c>
      <c r="I6" s="55" t="inlineStr">
        <is>
          <t>Reembolsar Usuário</t>
        </is>
      </c>
      <c r="J6" s="55" t="inlineStr">
        <is>
          <t>Trip UUID = [insert.trip.uuid} // add.User.UberCash until max // #N incident in 30 days</t>
        </is>
      </c>
      <c r="K6" s="55" t="inlineStr">
        <is>
          <t xml:space="preserve">Rider already paid amount: </t>
        </is>
      </c>
      <c r="L6" s="55" t="inlineStr">
        <is>
          <t>Olá, usuário!
Recebemos seu contato!
Informamos que o valor pendente em sua conta
Seria referente à uma taxa de limpeza
Você pode ver essa 
Se tiver mais dúvidas estaremos à disposição!
A Uber agradece seu contato!</t>
        </is>
      </c>
      <c r="M6" s="39" t="inlineStr">
        <is>
          <t>Encerrado</t>
        </is>
      </c>
      <c r="N6" s="39" t="inlineStr">
        <is>
          <t>Não</t>
        </is>
      </c>
      <c r="O6" s="39" t="inlineStr">
        <is>
          <t>Não</t>
        </is>
      </c>
      <c r="P6" s="39" t="inlineStr">
        <is>
          <t>Não</t>
        </is>
      </c>
      <c r="Q6" s="12" t="n"/>
      <c r="R6" s="39" t="n">
        <v>15</v>
      </c>
      <c r="S6" s="39" t="inlineStr">
        <is>
          <t>b. Assuntos tratados por Driver</t>
        </is>
      </c>
      <c r="T6" s="39">
        <f>$R$1&amp;" "&amp;$R6&amp;" - "&amp;$S6</f>
        <v/>
      </c>
      <c r="U6" s="39">
        <f>AA6&amp;Z6&amp;Y6</f>
        <v/>
      </c>
      <c r="V6" s="39" t="inlineStr">
        <is>
          <t>Idioma</t>
        </is>
      </c>
      <c r="W6" s="39" t="n"/>
      <c r="X6" s="39" t="n"/>
      <c r="Y6" s="39" t="inlineStr">
        <is>
          <t>Profisionalismo</t>
        </is>
      </c>
      <c r="Z6" s="39" t="inlineStr">
        <is>
          <t xml:space="preserve"> &gt; </t>
        </is>
      </c>
      <c r="AA6" s="39" t="inlineStr">
        <is>
          <t>Motorista</t>
        </is>
      </c>
      <c r="AB6" s="14" t="n"/>
      <c r="AC6" s="39" t="n"/>
      <c r="AD6" s="39" t="n"/>
      <c r="AE6" s="39" t="n"/>
      <c r="AF6" s="43" t="n"/>
      <c r="AG6" s="43" t="n"/>
      <c r="AH6" s="43" t="n"/>
      <c r="AI6" s="39" t="n"/>
      <c r="AJ6" s="43" t="n"/>
      <c r="AK6" s="43" t="n"/>
      <c r="AL6" s="46" t="inlineStr">
        <is>
          <t>Maio</t>
        </is>
      </c>
      <c r="AM6" s="46" t="n">
        <v>31</v>
      </c>
      <c r="AN6" s="46" t="inlineStr">
        <is>
          <t>A</t>
        </is>
      </c>
      <c r="AO6" s="39" t="n"/>
      <c r="AP6" s="39" t="n"/>
    </row>
    <row r="7" ht="15.75" customHeight="1" s="58">
      <c r="A7" s="3">
        <f>A6+1</f>
        <v/>
      </c>
      <c r="B7" s="6" t="n"/>
      <c r="C7" s="39" t="inlineStr">
        <is>
          <t>TXLO</t>
        </is>
      </c>
      <c r="D7" s="39" t="inlineStr">
        <is>
          <t>Taxa de Limpeza, Sem ajustes</t>
        </is>
      </c>
      <c r="E7" s="39">
        <f>D7&amp;" - ["&amp;C7&amp;"]"</f>
        <v/>
      </c>
      <c r="F7" s="55" t="inlineStr">
        <is>
          <t>Passageiro &gt; Taxa de Limpeza</t>
        </is>
      </c>
      <c r="G7" s="42" t="inlineStr">
        <is>
          <t>https://docs.google.com/spreadsheets/d/1ZiCGoPjLCjuYvujDTXK9Ixbth3tekiLtFBzBrGjPCr4/edit?gid=0#gid=0</t>
        </is>
      </c>
      <c r="H7" s="55">
        <f>IFERROR(INDEX($T$2:$T$61,MATCH($F7,$U$2:$U$61,0)),"")</f>
        <v/>
      </c>
      <c r="I7" s="55" t="inlineStr">
        <is>
          <t>Reembolsar Usuário</t>
        </is>
      </c>
      <c r="J7" s="55" t="inlineStr">
        <is>
          <t>Trip UUID = [insert.trip.uuid} // add.User.UberCash until max // #N incident in 30 days</t>
        </is>
      </c>
      <c r="K7" s="55" t="inlineStr">
        <is>
          <t xml:space="preserve">Rider already paid amount: </t>
        </is>
      </c>
      <c r="L7" s="55" t="inlineStr">
        <is>
          <t>Olá, usuário!
Recebemos seu contato!
Informamos que realizamos os ajustes necessários em sua corrida
Você pode ver em sua wallet/Carteira sobre os valores ajustados
Se tiver mais dúvidas estaremos à disposição!
A Uber agradece seu contato!</t>
        </is>
      </c>
      <c r="M7" s="39" t="inlineStr">
        <is>
          <t>Encerrado</t>
        </is>
      </c>
      <c r="N7" s="39" t="inlineStr">
        <is>
          <t>Não</t>
        </is>
      </c>
      <c r="O7" s="39" t="inlineStr">
        <is>
          <t>Não</t>
        </is>
      </c>
      <c r="P7" s="39" t="inlineStr">
        <is>
          <t>Não</t>
        </is>
      </c>
      <c r="Q7" s="12" t="n"/>
      <c r="R7" s="39" t="n">
        <v>3</v>
      </c>
      <c r="S7" s="39" t="inlineStr">
        <is>
          <t>Usuário não possui valores pendentes em sua conta</t>
        </is>
      </c>
      <c r="T7" s="39">
        <f>$R$1&amp;" "&amp;$R7&amp;" - "&amp;$S7</f>
        <v/>
      </c>
      <c r="U7" s="39">
        <f>AA7&amp;Z7&amp;Y7</f>
        <v/>
      </c>
      <c r="V7" s="39" t="n"/>
      <c r="W7" s="39" t="n"/>
      <c r="X7" s="39" t="n"/>
      <c r="Y7" s="39" t="inlineStr">
        <is>
          <t>Não há valores pendentes</t>
        </is>
      </c>
      <c r="Z7" s="39" t="inlineStr">
        <is>
          <t xml:space="preserve"> &gt; </t>
        </is>
      </c>
      <c r="AA7" s="39" t="inlineStr">
        <is>
          <t>Passageiro</t>
        </is>
      </c>
      <c r="AB7" s="14" t="n"/>
      <c r="AC7" s="39" t="n"/>
      <c r="AD7" s="39" t="n"/>
      <c r="AE7" s="39" t="n"/>
      <c r="AF7" s="43" t="n"/>
      <c r="AG7" s="43" t="n"/>
      <c r="AH7" s="43" t="n"/>
      <c r="AI7" s="39" t="n"/>
      <c r="AJ7" s="43" t="n"/>
      <c r="AK7" s="43" t="n"/>
      <c r="AL7" s="46" t="inlineStr">
        <is>
          <t>Junho</t>
        </is>
      </c>
      <c r="AM7" s="46" t="n">
        <v>30</v>
      </c>
      <c r="AN7" s="46" t="inlineStr">
        <is>
          <t>B</t>
        </is>
      </c>
      <c r="AO7" s="39" t="n"/>
      <c r="AP7" s="39" t="n"/>
    </row>
    <row r="8" ht="15.75" customHeight="1" s="58">
      <c r="A8" s="3">
        <f>A7+1</f>
        <v/>
      </c>
      <c r="B8" s="6" t="n"/>
      <c r="C8" s="39" t="inlineStr">
        <is>
          <t>TXLR</t>
        </is>
      </c>
      <c r="D8" s="39" t="inlineStr">
        <is>
          <t>Taxa de Limpeza, Reembolsado ao cliente</t>
        </is>
      </c>
      <c r="E8" s="39">
        <f>D8&amp;" - ["&amp;C8&amp;"]"</f>
        <v/>
      </c>
      <c r="F8" s="55" t="inlineStr">
        <is>
          <t>Passageiro &gt; Taxa de Limpeza</t>
        </is>
      </c>
      <c r="G8" s="42" t="inlineStr">
        <is>
          <t>https://docs.google.com/spreadsheets/d/1ZiCGoPjLCjuYvujDTXK9Ixbth3tekiLtFBzBrGjPCr4/edit?gid=0#gid=0</t>
        </is>
      </c>
      <c r="H8" s="55">
        <f>IFERROR(INDEX($T$2:$T$61,MATCH($F8,$U$2:$U$61,0)),"")</f>
        <v/>
      </c>
      <c r="I8" s="55" t="inlineStr">
        <is>
          <t>Reembolsar Usuário</t>
        </is>
      </c>
      <c r="J8" s="55" t="inlineStr">
        <is>
          <t>Trip UUID = [insert.trip.uuid} // add.User.UberCash until max // #N incident in 30 days</t>
        </is>
      </c>
      <c r="K8" s="55" t="inlineStr">
        <is>
          <t xml:space="preserve">Rider already paid amount: </t>
        </is>
      </c>
      <c r="L8" s="55" t="inlineStr">
        <is>
          <t>Olá, usuário!
Recebemos seu contato!
Informamos que realizamos os ajustes necessários em sua corrida
Você pode ver em sua wallet/Carteira sobre os valores ajustados
Se tiver mais dúvidas estaremos à disposição!
A Uber agradece seu contato!</t>
        </is>
      </c>
      <c r="M8" s="39" t="inlineStr">
        <is>
          <t>Encerrado</t>
        </is>
      </c>
      <c r="N8" s="39" t="inlineStr">
        <is>
          <t>Não</t>
        </is>
      </c>
      <c r="O8" s="39" t="inlineStr">
        <is>
          <t>Não</t>
        </is>
      </c>
      <c r="P8" s="39" t="inlineStr">
        <is>
          <t>Não</t>
        </is>
      </c>
      <c r="Q8" s="12" t="n"/>
      <c r="R8" s="39" t="n">
        <v>6</v>
      </c>
      <c r="S8" s="39" t="inlineStr">
        <is>
          <t>Usuário reembolsado devido taxa de limpeza indevida</t>
        </is>
      </c>
      <c r="T8" s="39">
        <f>$R$1&amp;" "&amp;$R8&amp;" - "&amp;$S8</f>
        <v/>
      </c>
      <c r="U8" s="39">
        <f>AA8&amp;Z8&amp;Y8</f>
        <v/>
      </c>
      <c r="V8" s="39" t="n"/>
      <c r="W8" s="39" t="n"/>
      <c r="X8" s="39" t="n"/>
      <c r="Y8" s="39" t="inlineStr">
        <is>
          <t>Taxa de Limpeza</t>
        </is>
      </c>
      <c r="Z8" s="39" t="inlineStr">
        <is>
          <t xml:space="preserve"> &gt; </t>
        </is>
      </c>
      <c r="AA8" s="39" t="inlineStr">
        <is>
          <t>Passageiro</t>
        </is>
      </c>
      <c r="AB8" s="14" t="n"/>
      <c r="AC8" s="39" t="n"/>
      <c r="AD8" s="39" t="n"/>
      <c r="AE8" s="39" t="n"/>
      <c r="AF8" s="43" t="n"/>
      <c r="AG8" s="43" t="n"/>
      <c r="AH8" s="43" t="n"/>
      <c r="AI8" s="39" t="n"/>
      <c r="AJ8" s="43" t="n"/>
      <c r="AK8" s="43" t="n"/>
      <c r="AL8" s="46" t="inlineStr">
        <is>
          <t>Julho</t>
        </is>
      </c>
      <c r="AM8" s="46" t="n">
        <v>31</v>
      </c>
      <c r="AN8" s="46" t="inlineStr">
        <is>
          <t>A</t>
        </is>
      </c>
      <c r="AO8" s="39" t="n"/>
      <c r="AP8" s="39" t="n"/>
    </row>
    <row r="9" ht="15.75" customHeight="1" s="58">
      <c r="A9" s="3">
        <f>A8+1</f>
        <v/>
      </c>
      <c r="B9" s="6" t="n"/>
      <c r="C9" s="39" t="inlineStr">
        <is>
          <t>TIAC</t>
        </is>
      </c>
      <c r="D9" s="39" t="inlineStr">
        <is>
          <t>Transferência de LOB (Accounts)</t>
        </is>
      </c>
      <c r="E9" s="39">
        <f>D9&amp;" - ["&amp;C9&amp;"]"</f>
        <v/>
      </c>
      <c r="F9" s="55" t="inlineStr">
        <is>
          <t>Outros &gt; Outros</t>
        </is>
      </c>
      <c r="G9" s="42" t="inlineStr">
        <is>
          <t>https://docs.google.com/spreadsheets/d/1ZiCGoPjLCjuYvujDTXK9Ixbth3tekiLtFBzBrGjPCr4/edit?gid=0#gid=0</t>
        </is>
      </c>
      <c r="H9" s="55">
        <f>IFERROR(INDEX($T$2:$T$61,MATCH($F9,$U$2:$U$61,0)),"")</f>
        <v/>
      </c>
      <c r="I9" s="55" t="inlineStr">
        <is>
          <t>Encaminhado à LOB correta. Assunto não tratado em Rider</t>
        </is>
      </c>
      <c r="J9" s="55" t="n"/>
      <c r="K9" s="55" t="n"/>
      <c r="L9" s="55" t="n"/>
      <c r="M9" s="39" t="inlineStr">
        <is>
          <t>Em Aberto</t>
        </is>
      </c>
      <c r="N9" s="39" t="inlineStr">
        <is>
          <t>Não</t>
        </is>
      </c>
      <c r="O9" s="39" t="inlineStr">
        <is>
          <t>Não</t>
        </is>
      </c>
      <c r="P9" s="39" t="inlineStr">
        <is>
          <t>Não</t>
        </is>
      </c>
      <c r="Q9" s="12" t="n"/>
      <c r="R9" s="39" t="n">
        <v>17</v>
      </c>
      <c r="S9" s="39" t="inlineStr">
        <is>
          <t>c. Assuntos tratados por Lost Items</t>
        </is>
      </c>
      <c r="T9" s="39">
        <f>$R$1&amp;" "&amp;$R9&amp;" - "&amp;$S9</f>
        <v/>
      </c>
      <c r="U9" s="39">
        <f>AA9&amp;Z9&amp;Y9</f>
        <v/>
      </c>
      <c r="V9" s="39" t="n"/>
      <c r="W9" s="39" t="n"/>
      <c r="X9" s="39" t="n"/>
      <c r="Y9" s="39" t="inlineStr">
        <is>
          <t>Lost Items</t>
        </is>
      </c>
      <c r="Z9" s="39" t="inlineStr">
        <is>
          <t xml:space="preserve"> &gt; </t>
        </is>
      </c>
      <c r="AA9" s="39" t="inlineStr">
        <is>
          <t>Outros</t>
        </is>
      </c>
      <c r="AB9" s="14" t="n"/>
      <c r="AC9" s="39" t="n"/>
      <c r="AD9" s="39" t="n"/>
      <c r="AE9" s="39" t="n"/>
      <c r="AF9" s="43" t="n"/>
      <c r="AG9" s="43" t="n"/>
      <c r="AH9" s="43" t="n"/>
      <c r="AI9" s="39" t="n"/>
      <c r="AJ9" s="43" t="n"/>
      <c r="AK9" s="43" t="n"/>
      <c r="AL9" s="46" t="inlineStr">
        <is>
          <t>Agosto</t>
        </is>
      </c>
      <c r="AM9" s="46" t="n">
        <v>31</v>
      </c>
      <c r="AN9" s="46" t="inlineStr">
        <is>
          <t>A</t>
        </is>
      </c>
      <c r="AO9" s="39" t="n"/>
      <c r="AP9" s="39" t="n"/>
    </row>
    <row r="10" ht="15.75" customHeight="1" s="58">
      <c r="A10" s="3">
        <f>A9+1</f>
        <v/>
      </c>
      <c r="B10" s="6" t="n"/>
      <c r="C10" s="39" t="inlineStr">
        <is>
          <t>TILI</t>
        </is>
      </c>
      <c r="D10" s="39" t="inlineStr">
        <is>
          <t>Transferência de LOB (Lost Items)</t>
        </is>
      </c>
      <c r="E10" s="39">
        <f>D10&amp;" - ["&amp;C10&amp;"]"</f>
        <v/>
      </c>
      <c r="F10" s="55" t="inlineStr">
        <is>
          <t>Outros &gt; Lost Items</t>
        </is>
      </c>
      <c r="G10" s="42" t="inlineStr">
        <is>
          <t>https://docs.google.com/spreadsheets/d/1ZiCGoPjLCjuYvujDTXK9Ixbth3tekiLtFBzBrGjPCr4/edit?gid=0#gid=0</t>
        </is>
      </c>
      <c r="H10" s="55">
        <f>IFERROR(INDEX($T$2:$T$61,MATCH($F10,$U$2:$U$61,0)),"")</f>
        <v/>
      </c>
      <c r="I10" s="55" t="inlineStr">
        <is>
          <t>Encaminhado à LOB correta. Assunto não tratado em Rider</t>
        </is>
      </c>
      <c r="J10" s="55" t="n"/>
      <c r="K10" s="55" t="n"/>
      <c r="L10" s="55" t="n"/>
      <c r="M10" s="39" t="inlineStr">
        <is>
          <t>Em Aberto</t>
        </is>
      </c>
      <c r="N10" s="39" t="inlineStr">
        <is>
          <t>Não</t>
        </is>
      </c>
      <c r="O10" s="39" t="inlineStr">
        <is>
          <t>Não</t>
        </is>
      </c>
      <c r="P10" s="39" t="inlineStr">
        <is>
          <t>Não</t>
        </is>
      </c>
      <c r="Q10" s="12" t="n"/>
      <c r="R10" s="39" t="n">
        <v>18</v>
      </c>
      <c r="S10" s="39" t="inlineStr">
        <is>
          <t>d. Assuntos tratados por Safety</t>
        </is>
      </c>
      <c r="T10" s="39">
        <f>$R$1&amp;" "&amp;$R10&amp;" - "&amp;$S10</f>
        <v/>
      </c>
      <c r="U10" s="39">
        <f>AA10&amp;Z10&amp;Y10</f>
        <v/>
      </c>
      <c r="V10" s="39" t="n"/>
      <c r="W10" s="39" t="n"/>
      <c r="X10" s="39" t="n"/>
      <c r="Y10" s="39" t="inlineStr">
        <is>
          <t>Safety</t>
        </is>
      </c>
      <c r="Z10" s="39" t="inlineStr">
        <is>
          <t xml:space="preserve"> &gt; </t>
        </is>
      </c>
      <c r="AA10" s="39" t="inlineStr">
        <is>
          <t>Outros</t>
        </is>
      </c>
      <c r="AB10" s="14" t="n"/>
      <c r="AC10" s="39" t="n"/>
      <c r="AD10" s="39" t="n"/>
      <c r="AE10" s="39" t="n"/>
      <c r="AF10" s="43" t="n"/>
      <c r="AG10" s="43" t="n"/>
      <c r="AH10" s="43" t="n"/>
      <c r="AI10" s="39" t="n"/>
      <c r="AJ10" s="43" t="n"/>
      <c r="AK10" s="43" t="n"/>
      <c r="AL10" s="46" t="inlineStr">
        <is>
          <t>Setembro</t>
        </is>
      </c>
      <c r="AM10" s="46" t="n">
        <v>30</v>
      </c>
      <c r="AN10" s="46" t="inlineStr">
        <is>
          <t>B</t>
        </is>
      </c>
      <c r="AO10" s="39" t="n"/>
      <c r="AP10" s="39" t="n"/>
    </row>
    <row r="11" ht="15.75" customHeight="1" s="58">
      <c r="A11" s="3">
        <f>A10+1</f>
        <v/>
      </c>
      <c r="B11" s="6" t="n"/>
      <c r="C11" s="39" t="inlineStr">
        <is>
          <t>TIST</t>
        </is>
      </c>
      <c r="D11" s="39" t="inlineStr">
        <is>
          <t>Transferência de LOB (Safety)</t>
        </is>
      </c>
      <c r="E11" s="39">
        <f>D11&amp;" - ["&amp;C11&amp;"]"</f>
        <v/>
      </c>
      <c r="F11" s="55" t="inlineStr">
        <is>
          <t>Outros &gt; Safety</t>
        </is>
      </c>
      <c r="G11" s="42" t="inlineStr">
        <is>
          <t>https://docs.google.com/spreadsheets/d/1ZiCGoPjLCjuYvujDTXK9Ixbth3tekiLtFBzBrGjPCr4/edit?gid=0#gid=0</t>
        </is>
      </c>
      <c r="H11" s="55">
        <f>IFERROR(INDEX($T$2:$T$61,MATCH($F11,$U$2:$U$61,0)),"")</f>
        <v/>
      </c>
      <c r="I11" s="55" t="inlineStr">
        <is>
          <t>Encaminhado à LOB correta. Assunto não tratado em Rider</t>
        </is>
      </c>
      <c r="J11" s="55" t="n"/>
      <c r="K11" s="55" t="n"/>
      <c r="L11" s="55" t="n"/>
      <c r="M11" s="39" t="inlineStr">
        <is>
          <t>Em Aberto</t>
        </is>
      </c>
      <c r="N11" s="39" t="inlineStr">
        <is>
          <t>Não</t>
        </is>
      </c>
      <c r="O11" s="39" t="inlineStr">
        <is>
          <t>Não</t>
        </is>
      </c>
      <c r="P11" s="39" t="inlineStr">
        <is>
          <t>Não</t>
        </is>
      </c>
      <c r="Q11" s="12" t="n"/>
      <c r="R11" s="39" t="n">
        <v>19</v>
      </c>
      <c r="S11" s="39" t="inlineStr">
        <is>
          <t>e. Assuntos tratados por outra LOB exceto Rider</t>
        </is>
      </c>
      <c r="T11" s="39">
        <f>$R$1&amp;" "&amp;$R11&amp;" - "&amp;$S11</f>
        <v/>
      </c>
      <c r="U11" s="39">
        <f>AA11&amp;Z11&amp;Y11</f>
        <v/>
      </c>
      <c r="V11" s="39" t="n"/>
      <c r="W11" s="39" t="n"/>
      <c r="X11" s="39" t="n"/>
      <c r="Y11" s="39" t="inlineStr">
        <is>
          <t>Outros</t>
        </is>
      </c>
      <c r="Z11" s="39" t="inlineStr">
        <is>
          <t xml:space="preserve"> &gt; </t>
        </is>
      </c>
      <c r="AA11" s="39" t="inlineStr">
        <is>
          <t>Outros</t>
        </is>
      </c>
      <c r="AB11" s="14" t="n"/>
      <c r="AC11" s="39" t="n"/>
      <c r="AD11" s="39" t="n"/>
      <c r="AE11" s="39" t="n"/>
      <c r="AF11" s="43" t="n"/>
      <c r="AG11" s="43" t="n"/>
      <c r="AH11" s="43" t="n"/>
      <c r="AI11" s="39" t="n"/>
      <c r="AJ11" s="43" t="n"/>
      <c r="AK11" s="43" t="n"/>
      <c r="AL11" s="46" t="inlineStr">
        <is>
          <t>Outubro</t>
        </is>
      </c>
      <c r="AM11" s="46" t="n">
        <v>31</v>
      </c>
      <c r="AN11" s="46" t="inlineStr">
        <is>
          <t>A</t>
        </is>
      </c>
      <c r="AO11" s="39" t="n"/>
      <c r="AP11" s="39" t="n"/>
    </row>
    <row r="12" ht="15.75" customHeight="1" s="58">
      <c r="A12" s="3">
        <f>A11+1</f>
        <v/>
      </c>
      <c r="B12" s="6" t="n"/>
      <c r="C12" s="39" t="inlineStr">
        <is>
          <t>TI</t>
        </is>
      </c>
      <c r="D12" s="39" t="inlineStr">
        <is>
          <t>Transferência de LOB (Geral não especificado)</t>
        </is>
      </c>
      <c r="E12" s="39">
        <f>D12&amp;" - ["&amp;C12&amp;"]"</f>
        <v/>
      </c>
      <c r="F12" s="55" t="inlineStr">
        <is>
          <t>Outros &gt; Outros</t>
        </is>
      </c>
      <c r="G12" s="42" t="inlineStr">
        <is>
          <t>https://docs.google.com/spreadsheets/d/1ZiCGoPjLCjuYvujDTXK9Ixbth3tekiLtFBzBrGjPCr4/edit?gid=0#gid=0</t>
        </is>
      </c>
      <c r="H12" s="55">
        <f>IFERROR(INDEX($T$2:$T$61,MATCH($F12,$U$2:$U$61,0)),"")</f>
        <v/>
      </c>
      <c r="I12" s="55" t="inlineStr">
        <is>
          <t>Encaminhado à LOB correta. Assunto não tratado em Rider</t>
        </is>
      </c>
      <c r="J12" s="55" t="n"/>
      <c r="K12" s="55" t="n"/>
      <c r="L12" s="55" t="n"/>
      <c r="M12" s="39" t="inlineStr">
        <is>
          <t>Em Aberto</t>
        </is>
      </c>
      <c r="N12" s="39" t="inlineStr">
        <is>
          <t>Não</t>
        </is>
      </c>
      <c r="O12" s="39" t="inlineStr">
        <is>
          <t>Não</t>
        </is>
      </c>
      <c r="P12" s="39" t="inlineStr">
        <is>
          <t>Não</t>
        </is>
      </c>
      <c r="Q12" s="12" t="n"/>
      <c r="R12" s="39" t="n">
        <v>14</v>
      </c>
      <c r="S12" s="39" t="inlineStr">
        <is>
          <t>b. Assuntos tratados por Driver</t>
        </is>
      </c>
      <c r="T12" s="39">
        <f>$R$1&amp;" "&amp;$R12&amp;" - "&amp;$S12</f>
        <v/>
      </c>
      <c r="U12" s="39">
        <f>AA12&amp;Z12&amp;Y12</f>
        <v/>
      </c>
      <c r="V12" s="39" t="n"/>
      <c r="W12" s="39" t="n"/>
      <c r="X12" s="39" t="n"/>
      <c r="Y12" s="39" t="inlineStr">
        <is>
          <t>Outros</t>
        </is>
      </c>
      <c r="Z12" s="39" t="inlineStr">
        <is>
          <t xml:space="preserve"> &gt; </t>
        </is>
      </c>
      <c r="AA12" s="39" t="inlineStr">
        <is>
          <t>Motorista</t>
        </is>
      </c>
      <c r="AB12" s="14" t="n"/>
      <c r="AC12" s="39" t="n"/>
      <c r="AD12" s="39" t="n"/>
      <c r="AE12" s="39" t="n"/>
      <c r="AF12" s="43" t="n"/>
      <c r="AG12" s="43" t="n"/>
      <c r="AH12" s="43" t="n"/>
      <c r="AI12" s="39" t="n"/>
      <c r="AJ12" s="43" t="n"/>
      <c r="AK12" s="43" t="n"/>
      <c r="AL12" s="46" t="inlineStr">
        <is>
          <t>Novembro</t>
        </is>
      </c>
      <c r="AM12" s="46" t="n">
        <v>30</v>
      </c>
      <c r="AN12" s="46" t="inlineStr">
        <is>
          <t>B</t>
        </is>
      </c>
      <c r="AO12" s="39" t="n"/>
      <c r="AP12" s="39" t="n"/>
    </row>
    <row r="13" ht="15.75" customHeight="1" s="58">
      <c r="A13" s="3">
        <f>A12+1</f>
        <v/>
      </c>
      <c r="B13" s="6" t="n"/>
      <c r="C13" s="39" t="inlineStr">
        <is>
          <t>TIDV</t>
        </is>
      </c>
      <c r="D13" s="39" t="inlineStr">
        <is>
          <t>Transferência de LOB (Driver)</t>
        </is>
      </c>
      <c r="E13" s="39">
        <f>D13&amp;" - ["&amp;C13&amp;"]"</f>
        <v/>
      </c>
      <c r="F13" s="55" t="inlineStr">
        <is>
          <t>Motorista &gt; Outros</t>
        </is>
      </c>
      <c r="G13" s="42" t="inlineStr">
        <is>
          <t>https://docs.google.com/spreadsheets/d/1ZiCGoPjLCjuYvujDTXK9Ixbth3tekiLtFBzBrGjPCr4/edit?gid=0#gid=0</t>
        </is>
      </c>
      <c r="H13" s="55">
        <f>IFERROR(INDEX($T$2:$T$61,MATCH($F13,$U$2:$U$61,0)),"")</f>
        <v/>
      </c>
      <c r="I13" s="55" t="inlineStr">
        <is>
          <t>Encaminhado à LOB correta. Assunto não tratado em Rider</t>
        </is>
      </c>
      <c r="J13" s="55" t="n"/>
      <c r="K13" s="55" t="n"/>
      <c r="L13" s="55" t="n"/>
      <c r="M13" s="39" t="inlineStr">
        <is>
          <t>Em Aberto</t>
        </is>
      </c>
      <c r="N13" s="39" t="inlineStr">
        <is>
          <t>Não</t>
        </is>
      </c>
      <c r="O13" s="39" t="inlineStr">
        <is>
          <t>Não</t>
        </is>
      </c>
      <c r="P13" s="39" t="inlineStr">
        <is>
          <t>Não</t>
        </is>
      </c>
      <c r="Q13" s="12" t="n"/>
      <c r="R13" s="39" t="n">
        <v>9</v>
      </c>
      <c r="S13" s="39" t="inlineStr">
        <is>
          <t>Viagem alterada devido à um erro de preço</t>
        </is>
      </c>
      <c r="T13" s="39">
        <f>$R$1&amp;" "&amp;$R13&amp;" - "&amp;$S13</f>
        <v/>
      </c>
      <c r="U13" s="39">
        <f>AA13&amp;Z13&amp;Y13</f>
        <v/>
      </c>
      <c r="V13" s="39" t="n"/>
      <c r="W13" s="39" t="n"/>
      <c r="X13" s="39" t="n"/>
      <c r="Y13" s="39" t="inlineStr">
        <is>
          <t>Evento Raro</t>
        </is>
      </c>
      <c r="Z13" s="39" t="inlineStr">
        <is>
          <t xml:space="preserve"> &gt; </t>
        </is>
      </c>
      <c r="AA13" s="39" t="inlineStr">
        <is>
          <t>Passageiro</t>
        </is>
      </c>
      <c r="AB13" s="14" t="n"/>
      <c r="AC13" s="39" t="n"/>
      <c r="AD13" s="39" t="n"/>
      <c r="AE13" s="39" t="n"/>
      <c r="AF13" s="43" t="n"/>
      <c r="AG13" s="43" t="n"/>
      <c r="AH13" s="43" t="n"/>
      <c r="AI13" s="39" t="n"/>
      <c r="AJ13" s="43" t="n"/>
      <c r="AK13" s="43" t="n"/>
      <c r="AL13" s="46" t="inlineStr">
        <is>
          <t>Dezembro</t>
        </is>
      </c>
      <c r="AM13" s="46" t="n">
        <v>31</v>
      </c>
      <c r="AN13" s="46" t="inlineStr">
        <is>
          <t>A</t>
        </is>
      </c>
      <c r="AO13" s="39" t="n"/>
      <c r="AP13" s="39" t="n"/>
    </row>
    <row r="14" ht="15.75" customHeight="1" s="58">
      <c r="A14" s="3">
        <f>A13+1</f>
        <v/>
      </c>
      <c r="B14" s="6" t="n"/>
      <c r="C14" s="39" t="inlineStr">
        <is>
          <t>NRN</t>
        </is>
      </c>
      <c r="D14" s="39" t="inlineStr">
        <is>
          <t>No Need Response (Não precisa de resposta)</t>
        </is>
      </c>
      <c r="E14" s="39">
        <f>D14&amp;" - ["&amp;C14&amp;"]"</f>
        <v/>
      </c>
      <c r="F14" s="55" t="inlineStr">
        <is>
          <t>Passageiro &gt; Não há valores pendentes</t>
        </is>
      </c>
      <c r="G14" s="42" t="inlineStr">
        <is>
          <t>https://docs.google.com/spreadsheets/d/1ZiCGoPjLCjuYvujDTXK9Ixbth3tekiLtFBzBrGjPCr4/edit?gid=0#gid=0</t>
        </is>
      </c>
      <c r="H14" s="55">
        <f>IFERROR(INDEX($T$2:$T$61,MATCH($F14,$U$2:$U$61,0)),"")</f>
        <v/>
      </c>
      <c r="I14" s="55" t="inlineStr">
        <is>
          <t>Encerrar contato devido à resistência excessiva do usuário</t>
        </is>
      </c>
      <c r="J14" s="55" t="n"/>
      <c r="K14" s="55" t="n"/>
      <c r="L14" s="55" t="n"/>
      <c r="M14" s="39" t="inlineStr">
        <is>
          <t>Encerrado</t>
        </is>
      </c>
      <c r="N14" s="39" t="inlineStr">
        <is>
          <t>Não</t>
        </is>
      </c>
      <c r="O14" s="39" t="inlineStr">
        <is>
          <t>Sim</t>
        </is>
      </c>
      <c r="P14" s="39" t="inlineStr">
        <is>
          <t>Não</t>
        </is>
      </c>
      <c r="Q14" s="12" t="n"/>
      <c r="R14" s="39" t="n">
        <v>10</v>
      </c>
      <c r="S14" s="39" t="inlineStr">
        <is>
          <t>Viagem alterada devido à um erro de rota</t>
        </is>
      </c>
      <c r="T14" s="39">
        <f>$R$1&amp;" "&amp;$R14&amp;" - "&amp;$S14</f>
        <v/>
      </c>
      <c r="U14" s="39">
        <f>AA14&amp;Z14&amp;Y14</f>
        <v/>
      </c>
      <c r="V14" s="39" t="n"/>
      <c r="W14" s="39" t="n"/>
      <c r="X14" s="39" t="n"/>
      <c r="Y14" s="39" t="inlineStr">
        <is>
          <t>Trajeto Ruim</t>
        </is>
      </c>
      <c r="Z14" s="39" t="inlineStr">
        <is>
          <t xml:space="preserve"> &gt; </t>
        </is>
      </c>
      <c r="AA14" s="39" t="inlineStr">
        <is>
          <t>Passageiro</t>
        </is>
      </c>
      <c r="AB14" s="14" t="n"/>
      <c r="AC14" s="39" t="n"/>
      <c r="AD14" s="39" t="n"/>
      <c r="AE14" s="39" t="n"/>
      <c r="AF14" s="43" t="n"/>
      <c r="AG14" s="43" t="n"/>
      <c r="AH14" s="43" t="n"/>
      <c r="AI14" s="39" t="n"/>
      <c r="AJ14" s="43" t="n"/>
      <c r="AK14" s="43" t="n"/>
      <c r="AL14" s="46" t="n">
        <v>2025</v>
      </c>
      <c r="AM14" s="46" t="n"/>
      <c r="AN14" s="46" t="n"/>
      <c r="AO14" s="39" t="n"/>
      <c r="AP14" s="39" t="n"/>
    </row>
    <row r="15" ht="15.75" customHeight="1" s="58">
      <c r="A15" s="3">
        <f>A14+1</f>
        <v/>
      </c>
      <c r="B15" s="6" t="n"/>
      <c r="C15" s="39" t="inlineStr">
        <is>
          <t>XX</t>
        </is>
      </c>
      <c r="D15" s="39" t="inlineStr">
        <is>
          <t>Pushback</t>
        </is>
      </c>
      <c r="E15" s="39">
        <f>D15&amp;" - ["&amp;C15&amp;"]"</f>
        <v/>
      </c>
      <c r="F15" s="55" t="inlineStr">
        <is>
          <t>Passageiro &gt; Não há valores pendentes</t>
        </is>
      </c>
      <c r="G15" s="42" t="inlineStr">
        <is>
          <t>https://docs.google.com/spreadsheets/d/1ZiCGoPjLCjuYvujDTXK9Ixbth3tekiLtFBzBrGjPCr4/edit?gid=0#gid=0</t>
        </is>
      </c>
      <c r="H15" s="55">
        <f>IFERROR(INDEX($T$2:$T$61,MATCH($F15,$U$2:$U$61,0)),"")</f>
        <v/>
      </c>
      <c r="I15" s="55" t="inlineStr">
        <is>
          <t>Tratar de acordo com problema do cliente</t>
        </is>
      </c>
      <c r="J15" s="55" t="n"/>
      <c r="K15" s="55" t="n"/>
      <c r="L15" s="55" t="n"/>
      <c r="M15" s="39" t="inlineStr">
        <is>
          <t>Aguardando resposta</t>
        </is>
      </c>
      <c r="N15" s="39" t="inlineStr">
        <is>
          <t>Não</t>
        </is>
      </c>
      <c r="O15" s="39" t="inlineStr">
        <is>
          <t>Sim</t>
        </is>
      </c>
      <c r="P15" s="39" t="inlineStr">
        <is>
          <t>Não</t>
        </is>
      </c>
      <c r="Q15" s="12" t="n"/>
      <c r="R15" s="39" t="n">
        <v>11</v>
      </c>
      <c r="S15" s="39" t="inlineStr">
        <is>
          <t>Viagem alterada devido à um erro de GPS</t>
        </is>
      </c>
      <c r="T15" s="39">
        <f>$R$1&amp;" "&amp;$R15&amp;" - "&amp;$S15</f>
        <v/>
      </c>
      <c r="U15" s="39">
        <f>AA15&amp;Z15&amp;Y15</f>
        <v/>
      </c>
      <c r="V15" s="39" t="n"/>
      <c r="W15" s="39" t="n"/>
      <c r="X15" s="39" t="n"/>
      <c r="Y15" s="39" t="inlineStr">
        <is>
          <t>Problema Técnico</t>
        </is>
      </c>
      <c r="Z15" s="39" t="inlineStr">
        <is>
          <t xml:space="preserve"> &gt; </t>
        </is>
      </c>
      <c r="AA15" s="39" t="inlineStr">
        <is>
          <t>Passageiro</t>
        </is>
      </c>
      <c r="AB15" s="14" t="n"/>
      <c r="AC15" s="39" t="n"/>
      <c r="AD15" s="39" t="n"/>
      <c r="AE15" s="39" t="n"/>
      <c r="AF15" s="43" t="n"/>
      <c r="AG15" s="43" t="n"/>
      <c r="AH15" s="43" t="n"/>
      <c r="AI15" s="39" t="n"/>
      <c r="AJ15" s="43" t="n"/>
      <c r="AK15" s="43" t="n"/>
      <c r="AL15" s="46" t="n">
        <v>2026</v>
      </c>
      <c r="AM15" s="46" t="n"/>
      <c r="AN15" s="46" t="n"/>
      <c r="AO15" s="39" t="n"/>
      <c r="AP15" s="39" t="n"/>
    </row>
    <row r="16" ht="15.75" customHeight="1" s="58">
      <c r="A16" s="3">
        <f>A15+1</f>
        <v/>
      </c>
      <c r="B16" s="6" t="n"/>
      <c r="C16" s="39" t="inlineStr">
        <is>
          <t>XXA</t>
        </is>
      </c>
      <c r="D16" s="39" t="inlineStr">
        <is>
          <t>Pushback (Agradecimento)</t>
        </is>
      </c>
      <c r="E16" s="39">
        <f>D16&amp;" - ["&amp;C16&amp;"]"</f>
        <v/>
      </c>
      <c r="F16" s="55" t="inlineStr">
        <is>
          <t>Passageiro &gt; Não há valores pendentes</t>
        </is>
      </c>
      <c r="G16" s="42" t="inlineStr">
        <is>
          <t>https://docs.google.com/spreadsheets/d/1ZiCGoPjLCjuYvujDTXK9Ixbth3tekiLtFBzBrGjPCr4/edit?gid=0#gid=0</t>
        </is>
      </c>
      <c r="H16" s="55">
        <f>IFERROR(INDEX($T$2:$T$61,MATCH($F16,$U$2:$U$61,0)),"")</f>
        <v/>
      </c>
      <c r="I16" s="55" t="inlineStr">
        <is>
          <t>Encerrar agradecendo contato</t>
        </is>
      </c>
      <c r="J16" s="55" t="n"/>
      <c r="K16" s="55" t="n"/>
      <c r="L16" s="55" t="inlineStr">
        <is>
          <t>Olá, usuário!
Recebemos seu contato!
Que bom que sua dúvida foi repsondida com sucesso!
Se tiver mais dúvidas estaremos à disposição!
A Uber agradece seu contato!</t>
        </is>
      </c>
      <c r="M16" s="39" t="inlineStr">
        <is>
          <t>Aguardando resposta</t>
        </is>
      </c>
      <c r="N16" s="39" t="inlineStr">
        <is>
          <t>Não</t>
        </is>
      </c>
      <c r="O16" s="39" t="inlineStr">
        <is>
          <t>Sim</t>
        </is>
      </c>
      <c r="P16" s="39" t="inlineStr">
        <is>
          <t>Sim</t>
        </is>
      </c>
      <c r="Q16" s="12" t="n"/>
      <c r="R16" s="39" t="n">
        <v>12</v>
      </c>
      <c r="S16" s="39" t="inlineStr">
        <is>
          <t>Viagem alterada devido à um erro de cálculo feito incorretamente</t>
        </is>
      </c>
      <c r="T16" s="39">
        <f>$R$1&amp;" "&amp;$R16&amp;" - "&amp;$S16</f>
        <v/>
      </c>
      <c r="U16" s="39">
        <f>AA16&amp;Z16&amp;Y16</f>
        <v/>
      </c>
      <c r="V16" s="39" t="n"/>
      <c r="W16" s="39" t="n"/>
      <c r="X16" s="39" t="n"/>
      <c r="Y16" s="39" t="inlineStr">
        <is>
          <t>Viagem Calculada Incorretamente</t>
        </is>
      </c>
      <c r="Z16" s="39" t="inlineStr">
        <is>
          <t xml:space="preserve"> &gt; </t>
        </is>
      </c>
      <c r="AA16" s="39" t="inlineStr">
        <is>
          <t>Passageiro</t>
        </is>
      </c>
      <c r="AB16" s="14" t="n"/>
      <c r="AC16" s="39" t="n"/>
      <c r="AD16" s="39" t="n"/>
      <c r="AE16" s="39" t="n"/>
      <c r="AF16" s="43" t="n"/>
      <c r="AG16" s="43" t="n"/>
      <c r="AH16" s="43" t="n"/>
      <c r="AI16" s="39" t="n"/>
      <c r="AJ16" s="43" t="n"/>
      <c r="AK16" s="43" t="n"/>
      <c r="AL16" s="21" t="n"/>
      <c r="AM16" s="21" t="n"/>
      <c r="AN16" s="21" t="n"/>
      <c r="AO16" s="43" t="n"/>
      <c r="AP16" s="43" t="n"/>
    </row>
    <row r="17" ht="15.75" customHeight="1" s="58">
      <c r="A17" s="3">
        <f>A16+1</f>
        <v/>
      </c>
      <c r="B17" s="6" t="n"/>
      <c r="C17" s="39" t="inlineStr">
        <is>
          <t>AA</t>
        </is>
      </c>
      <c r="D17" s="39" t="inlineStr">
        <is>
          <t>Mais informações Gerais</t>
        </is>
      </c>
      <c r="E17" s="39">
        <f>D17&amp;" - ["&amp;C17&amp;"]"</f>
        <v/>
      </c>
      <c r="F17" s="55" t="inlineStr">
        <is>
          <t>Passageiro &gt; Não há valores pendentes</t>
        </is>
      </c>
      <c r="G17" s="42" t="inlineStr">
        <is>
          <t>https://docs.google.com/spreadsheets/d/1ZiCGoPjLCjuYvujDTXK9Ixbth3tekiLtFBzBrGjPCr4/edit?gid=0#gid=0</t>
        </is>
      </c>
      <c r="H17" s="55">
        <f>IFERROR(INDEX($T$2:$T$61,MATCH($F17,$U$2:$U$61,0)),"")</f>
        <v/>
      </c>
      <c r="I17" s="55" t="inlineStr">
        <is>
          <t>Solicitar mais informações</t>
        </is>
      </c>
      <c r="J17" s="55" t="n"/>
      <c r="K17" s="55" t="n"/>
      <c r="L17" s="55" t="inlineStr">
        <is>
          <t>Olá, usuário!
Recebemos seu contato!
Você consegue nos informar 
O motivo de seu contato com mais informações?
Aguardamos sua resposta!</t>
        </is>
      </c>
      <c r="M17" s="39" t="inlineStr">
        <is>
          <t>Aguardando resposta</t>
        </is>
      </c>
      <c r="N17" s="39" t="inlineStr">
        <is>
          <t>Não</t>
        </is>
      </c>
      <c r="O17" s="39" t="inlineStr">
        <is>
          <t>Não</t>
        </is>
      </c>
      <c r="P17" s="39" t="inlineStr">
        <is>
          <t>Não</t>
        </is>
      </c>
      <c r="Q17" s="12" t="n"/>
      <c r="R17" s="39" t="n">
        <v>4</v>
      </c>
      <c r="S17" s="39" t="inlineStr">
        <is>
          <t>Reembolsado Taxa de cancelamento</t>
        </is>
      </c>
      <c r="T17" s="39">
        <f>$R$1&amp;" "&amp;$R17&amp;" - "&amp;$S17</f>
        <v/>
      </c>
      <c r="U17" s="39">
        <f>AA17&amp;Z17&amp;Y17</f>
        <v/>
      </c>
      <c r="V17" s="39" t="n"/>
      <c r="W17" s="39" t="n"/>
      <c r="X17" s="39" t="n"/>
      <c r="Y17" s="39" t="inlineStr">
        <is>
          <t>Taxa de Cancelamento</t>
        </is>
      </c>
      <c r="Z17" s="39" t="inlineStr">
        <is>
          <t xml:space="preserve"> &gt; </t>
        </is>
      </c>
      <c r="AA17" s="39" t="inlineStr">
        <is>
          <t>Passageiro</t>
        </is>
      </c>
      <c r="AB17" s="14" t="n"/>
      <c r="AC17" s="39" t="n"/>
      <c r="AD17" s="39" t="n"/>
      <c r="AE17" s="39" t="n"/>
      <c r="AF17" s="43" t="n"/>
      <c r="AG17" s="43" t="n"/>
      <c r="AH17" s="43" t="n"/>
      <c r="AI17" s="39" t="n"/>
      <c r="AJ17" s="43" t="n"/>
      <c r="AK17" s="43" t="n"/>
      <c r="AL17" s="21" t="n"/>
      <c r="AM17" s="21" t="n"/>
      <c r="AN17" s="21" t="n"/>
      <c r="AO17" s="43" t="n"/>
      <c r="AP17" s="43" t="n"/>
    </row>
    <row r="18" ht="15.75" customHeight="1" s="58">
      <c r="A18" s="3">
        <f>A17+1</f>
        <v/>
      </c>
      <c r="B18" s="6" t="n"/>
      <c r="C18" s="39" t="inlineStr">
        <is>
          <t>AAV</t>
        </is>
      </c>
      <c r="D18" s="39" t="inlineStr">
        <is>
          <t>Mais informações (Quanto Pagou?)</t>
        </is>
      </c>
      <c r="E18" s="39">
        <f>D18&amp;" - ["&amp;C18&amp;"]"</f>
        <v/>
      </c>
      <c r="F18" s="55" t="inlineStr">
        <is>
          <t>Passageiro &gt; Não há valores pendentes</t>
        </is>
      </c>
      <c r="G18" s="42" t="inlineStr">
        <is>
          <t>https://docs.google.com/spreadsheets/d/1ZiCGoPjLCjuYvujDTXK9Ixbth3tekiLtFBzBrGjPCr4/edit?gid=0#gid=0</t>
        </is>
      </c>
      <c r="H18" s="55">
        <f>IFERROR(INDEX($T$2:$T$61,MATCH($F18,$U$2:$U$61,0)),"")</f>
        <v/>
      </c>
      <c r="I18" s="55" t="inlineStr">
        <is>
          <t>Solicitar mais informações de quanto pagou</t>
        </is>
      </c>
      <c r="J18" s="55" t="n"/>
      <c r="K18" s="55" t="n"/>
      <c r="L18" s="55" t="inlineStr">
        <is>
          <t>Olá, usuário!
Recebemos seu contato!
Você consegue nos informar 
Com mais informações quanto pagou
Ao motorista?
Aguardamos sua resposta!</t>
        </is>
      </c>
      <c r="M18" s="39" t="inlineStr">
        <is>
          <t>Aguardando resposta</t>
        </is>
      </c>
      <c r="N18" s="39" t="inlineStr">
        <is>
          <t>Não</t>
        </is>
      </c>
      <c r="O18" s="39" t="inlineStr">
        <is>
          <t>Não</t>
        </is>
      </c>
      <c r="P18" s="39" t="inlineStr">
        <is>
          <t>Não</t>
        </is>
      </c>
      <c r="Q18" s="12" t="n"/>
      <c r="R18" s="39" t="n">
        <v>5</v>
      </c>
      <c r="S18" s="39" t="inlineStr">
        <is>
          <t>Valores retidos devido à seguraça de conta</t>
        </is>
      </c>
      <c r="T18" s="39">
        <f>$R$1&amp;" "&amp;$R18&amp;" - "&amp;$S18</f>
        <v/>
      </c>
      <c r="U18" s="39">
        <f>AA18&amp;Z18&amp;Y18</f>
        <v/>
      </c>
      <c r="V18" s="39" t="n"/>
      <c r="W18" s="39" t="n"/>
      <c r="X18" s="39" t="n"/>
      <c r="Y18" s="39" t="inlineStr">
        <is>
          <t>Outros Valores</t>
        </is>
      </c>
      <c r="Z18" s="39" t="inlineStr">
        <is>
          <t xml:space="preserve"> &gt; </t>
        </is>
      </c>
      <c r="AA18" s="39" t="inlineStr">
        <is>
          <t>Passageiro</t>
        </is>
      </c>
      <c r="AB18" s="14" t="n"/>
      <c r="AC18" s="39" t="n"/>
      <c r="AD18" s="39" t="n"/>
      <c r="AE18" s="39" t="n"/>
      <c r="AF18" s="43" t="n"/>
      <c r="AG18" s="43" t="n"/>
      <c r="AH18" s="43" t="n"/>
      <c r="AI18" s="39" t="n"/>
      <c r="AJ18" s="43" t="n"/>
      <c r="AK18" s="43" t="n"/>
      <c r="AL18" s="21" t="n"/>
      <c r="AM18" s="21" t="n"/>
      <c r="AN18" s="21" t="n"/>
      <c r="AO18" s="43" t="n"/>
      <c r="AP18" s="43" t="n"/>
    </row>
    <row r="19" ht="15.75" customHeight="1" s="58">
      <c r="A19" s="3">
        <f>A18+1</f>
        <v/>
      </c>
      <c r="B19" s="6" t="n"/>
      <c r="C19" s="39" t="inlineStr">
        <is>
          <t>ER</t>
        </is>
      </c>
      <c r="D19" s="39" t="inlineStr">
        <is>
          <t>Evento Raro</t>
        </is>
      </c>
      <c r="E19" s="39">
        <f>D19&amp;" - ["&amp;C19&amp;"]"</f>
        <v/>
      </c>
      <c r="F19" s="55" t="inlineStr">
        <is>
          <t>Passageiro &gt; Evento raro</t>
        </is>
      </c>
      <c r="G19" s="55" t="inlineStr">
        <is>
          <t>https://docs.google.com/spreadsheets/d/1ZiCGoPjLCjuYvujDTXK9Ixbth3tekiLtFBzBrGjPCr4/edit?gid=0#gid=0</t>
        </is>
      </c>
      <c r="H19" s="55" t="inlineStr">
        <is>
          <t>Etapa 20 - Evento fora do fluxo padrão</t>
        </is>
      </c>
      <c r="I19" s="55" t="inlineStr">
        <is>
          <t>Registrar o caso e encaminhar para análise</t>
        </is>
      </c>
      <c r="J19" s="55" t="inlineStr">
        <is>
          <t>Trip UUID = [insert.trip.uuid} // caso atípico, descrever</t>
        </is>
      </c>
      <c r="K19" s="55" t="inlineStr"/>
      <c r="L19" s="55" t="inlineStr">
        <is>
          <t>Olá, usuário!
Recebemos seu contato e registramos o ocorrido. Como se trata de uma situação fora do padrão, nossa equipe fará uma análise detalhada e retornará por aqui.
Qualquer dúvida, estamos à disposição.
A Uber agradece o seu contato!</t>
        </is>
      </c>
      <c r="M19" s="39" t="inlineStr">
        <is>
          <t>Encerrado</t>
        </is>
      </c>
      <c r="N19" s="39" t="inlineStr">
        <is>
          <t>Sim</t>
        </is>
      </c>
      <c r="O19" s="39" t="inlineStr">
        <is>
          <t>Não</t>
        </is>
      </c>
      <c r="P19" s="39" t="inlineStr">
        <is>
          <t>Não</t>
        </is>
      </c>
      <c r="Q19" s="12" t="n"/>
      <c r="R19" s="39" t="n"/>
      <c r="S19" s="39" t="n"/>
      <c r="T19" s="39" t="n"/>
      <c r="U19" s="39" t="n"/>
      <c r="V19" s="39" t="n"/>
      <c r="W19" s="39" t="n"/>
      <c r="X19" s="39" t="n"/>
      <c r="Y19" s="39" t="n"/>
      <c r="Z19" s="39" t="n"/>
      <c r="AA19" s="39" t="n"/>
      <c r="AB19" s="14" t="n"/>
      <c r="AC19" s="39" t="n"/>
      <c r="AD19" s="39" t="n"/>
      <c r="AE19" s="39" t="n"/>
      <c r="AF19" s="43" t="n"/>
      <c r="AG19" s="43" t="n"/>
      <c r="AH19" s="43" t="n"/>
      <c r="AI19" s="39" t="n"/>
      <c r="AJ19" s="43" t="n"/>
      <c r="AK19" s="43" t="n"/>
      <c r="AL19" s="21" t="n"/>
      <c r="AM19" s="21" t="n"/>
      <c r="AN19" s="21" t="n"/>
      <c r="AO19" s="43" t="n"/>
      <c r="AP19" s="43" t="n"/>
    </row>
    <row r="20" ht="15.75" customHeight="1" s="58">
      <c r="A20" s="3">
        <f>A19+1</f>
        <v/>
      </c>
      <c r="B20" s="6" t="n"/>
      <c r="C20" s="39" t="inlineStr">
        <is>
          <t>TR</t>
        </is>
      </c>
      <c r="D20" s="39" t="inlineStr">
        <is>
          <t>Trajeto Ruim</t>
        </is>
      </c>
      <c r="E20" s="39">
        <f>D20&amp;" - ["&amp;C20&amp;"]"</f>
        <v/>
      </c>
      <c r="F20" s="55" t="inlineStr">
        <is>
          <t>Passageiro &gt; Trajeto ruim</t>
        </is>
      </c>
      <c r="G20" s="55" t="inlineStr">
        <is>
          <t>https://docs.google.com/spreadsheets/d/1ZiCGoPjLCjuYvujDTXK9Ixbth3tekiLtFBzBrGjPCr4/edit?gid=0#gid=0</t>
        </is>
      </c>
      <c r="H20" s="55" t="inlineStr">
        <is>
          <t>Etapa 9 - Usuário reclama do trajeto realizado</t>
        </is>
      </c>
      <c r="I20" s="55" t="inlineStr">
        <is>
          <t>Verificar rota no mapa; ajustar se houver desvio</t>
        </is>
      </c>
      <c r="J20" s="55" t="inlineStr">
        <is>
          <t>Trip UUID = [insert.trip.uuid} // comparar rota prevista x realizada</t>
        </is>
      </c>
      <c r="K20" s="55" t="inlineStr">
        <is>
          <t xml:space="preserve">Driver route deviation: </t>
        </is>
      </c>
      <c r="L20" s="55" t="inlineStr">
        <is>
          <t>Olá, usuário!
Analisamos o trajeto da sua viagem. Caso tenha havido desvio em relação à rota prevista, o valor é ajustado e devolvido em créditos na sua conta. Obrigado por nos avisar.
Qualquer dúvida, estamos à disposição.
A Uber agradece o seu contato!</t>
        </is>
      </c>
      <c r="M20" s="39" t="inlineStr">
        <is>
          <t>Encerrado</t>
        </is>
      </c>
      <c r="N20" s="39" t="inlineStr">
        <is>
          <t>Sim</t>
        </is>
      </c>
      <c r="O20" s="39" t="inlineStr">
        <is>
          <t>Não</t>
        </is>
      </c>
      <c r="P20" s="39" t="inlineStr">
        <is>
          <t>Não</t>
        </is>
      </c>
      <c r="Q20" s="12" t="n"/>
      <c r="R20" s="39" t="n"/>
      <c r="S20" s="39" t="n"/>
      <c r="T20" s="39" t="n"/>
      <c r="U20" s="39" t="n"/>
      <c r="V20" s="39" t="n"/>
      <c r="W20" s="39" t="n"/>
      <c r="X20" s="39" t="n"/>
      <c r="Y20" s="39" t="n"/>
      <c r="Z20" s="39" t="n"/>
      <c r="AA20" s="39" t="n"/>
      <c r="AB20" s="14" t="n"/>
      <c r="AC20" s="39" t="n"/>
      <c r="AD20" s="39" t="n"/>
      <c r="AE20" s="39" t="n"/>
      <c r="AF20" s="43" t="n"/>
      <c r="AG20" s="43" t="n"/>
      <c r="AH20" s="43" t="n"/>
      <c r="AI20" s="39" t="n"/>
      <c r="AJ20" s="43" t="n"/>
      <c r="AK20" s="43" t="n"/>
      <c r="AL20" s="21" t="n"/>
      <c r="AM20" s="21" t="n"/>
      <c r="AN20" s="21" t="n"/>
      <c r="AO20" s="43" t="n"/>
      <c r="AP20" s="43" t="n"/>
    </row>
    <row r="21" ht="15.75" customHeight="1" s="58">
      <c r="A21" s="3">
        <f>A20+1</f>
        <v/>
      </c>
      <c r="B21" s="6" t="n"/>
      <c r="C21" s="39" t="inlineStr">
        <is>
          <t>GPS</t>
        </is>
      </c>
      <c r="D21" s="39" t="inlineStr">
        <is>
          <t>Erro de Gps (Problema Técnico)</t>
        </is>
      </c>
      <c r="E21" s="39">
        <f>D21&amp;" - ["&amp;C21&amp;"]"</f>
        <v/>
      </c>
      <c r="F21" s="55" t="inlineStr">
        <is>
          <t>Passageiro &gt; Problema técnico &gt; GPS</t>
        </is>
      </c>
      <c r="G21" s="55" t="inlineStr">
        <is>
          <t>https://docs.google.com/spreadsheets/d/1ZiCGoPjLCjuYvujDTXK9Ixbth3tekiLtFBzBrGjPCr4/edit?gid=0#gid=0</t>
        </is>
      </c>
      <c r="H21" s="55" t="inlineStr">
        <is>
          <t>Etapa 10 - Erro de GPS afetou o valor da viagem</t>
        </is>
      </c>
      <c r="I21" s="55" t="inlineStr">
        <is>
          <t>Ajustar valor pela rota prevista</t>
        </is>
      </c>
      <c r="J21" s="55" t="inlineStr">
        <is>
          <t>Trip UUID = [insert.trip.uuid} // GPS error, recalc fare</t>
        </is>
      </c>
      <c r="K21" s="55" t="inlineStr"/>
      <c r="L21" s="55" t="inlineStr">
        <is>
          <t>Olá, usuário!
Identificamos uma falha de GPS durante a viagem, que afetou o valor cobrado. Já corrigimos o valor com base na rota prevista e a diferença foi devolvida em créditos.
Qualquer dúvida, estamos à disposição.
A Uber agradece o seu contato!</t>
        </is>
      </c>
      <c r="M21" s="39" t="inlineStr">
        <is>
          <t>Encerrado</t>
        </is>
      </c>
      <c r="N21" s="39" t="inlineStr">
        <is>
          <t>Sim</t>
        </is>
      </c>
      <c r="O21" s="39" t="inlineStr">
        <is>
          <t>Não</t>
        </is>
      </c>
      <c r="P21" s="39" t="inlineStr">
        <is>
          <t>Não</t>
        </is>
      </c>
      <c r="Q21" s="12" t="n"/>
      <c r="R21" s="39" t="n"/>
      <c r="S21" s="39" t="n"/>
      <c r="T21" s="39" t="n"/>
      <c r="U21" s="39" t="n"/>
      <c r="V21" s="39" t="n"/>
      <c r="W21" s="39" t="n"/>
      <c r="X21" s="39" t="n"/>
      <c r="Y21" s="39" t="n"/>
      <c r="Z21" s="39" t="n"/>
      <c r="AA21" s="39" t="n"/>
      <c r="AB21" s="14" t="n"/>
      <c r="AC21" s="39" t="n"/>
      <c r="AD21" s="39" t="n"/>
      <c r="AE21" s="39" t="n"/>
      <c r="AF21" s="43" t="n"/>
      <c r="AG21" s="43" t="n"/>
      <c r="AH21" s="43" t="n"/>
      <c r="AI21" s="39" t="n"/>
      <c r="AJ21" s="43" t="n"/>
      <c r="AK21" s="43" t="n"/>
      <c r="AL21" s="21" t="n"/>
      <c r="AM21" s="21" t="n"/>
      <c r="AN21" s="21" t="n"/>
      <c r="AO21" s="43" t="n"/>
      <c r="AP21" s="43" t="n"/>
    </row>
    <row r="22" ht="15.75" customHeight="1" s="58">
      <c r="A22" s="3">
        <f>A21+1</f>
        <v/>
      </c>
      <c r="B22" s="6" t="n"/>
      <c r="C22" s="39" t="inlineStr">
        <is>
          <t>VCI</t>
        </is>
      </c>
      <c r="D22" s="39" t="inlineStr">
        <is>
          <t>Viagem Calculada Incorretamente</t>
        </is>
      </c>
      <c r="E22" s="39">
        <f>D22&amp;" - ["&amp;C22&amp;"]"</f>
        <v/>
      </c>
      <c r="F22" s="55" t="inlineStr">
        <is>
          <t>Passageiro &gt; Viagem calculada incorretamente</t>
        </is>
      </c>
      <c r="G22" s="55" t="inlineStr">
        <is>
          <t>https://docs.google.com/spreadsheets/d/1ZiCGoPjLCjuYvujDTXK9Ixbth3tekiLtFBzBrGjPCr4/edit?gid=0#gid=0</t>
        </is>
      </c>
      <c r="H22" s="55" t="inlineStr">
        <is>
          <t>Etapa 11 - Valor da viagem divergente do estimado</t>
        </is>
      </c>
      <c r="I22" s="55" t="inlineStr">
        <is>
          <t>Recalcular e ajustar diferença</t>
        </is>
      </c>
      <c r="J22" s="55" t="inlineStr">
        <is>
          <t>Trip UUID = [insert.trip.uuid} // fare review</t>
        </is>
      </c>
      <c r="K22" s="55" t="inlineStr"/>
      <c r="L22" s="55" t="inlineStr">
        <is>
          <t>Olá, usuário!
Revisamos o cálculo da sua viagem e ajustamos o valor. A diferença foi devolvida em créditos, disponíveis para a próxima viagem.
Qualquer dúvida, estamos à disposição.
A Uber agradece o seu contato!</t>
        </is>
      </c>
      <c r="M22" s="39" t="inlineStr">
        <is>
          <t>Encerrado</t>
        </is>
      </c>
      <c r="N22" s="39" t="inlineStr">
        <is>
          <t>Sim</t>
        </is>
      </c>
      <c r="O22" s="39" t="inlineStr">
        <is>
          <t>Não</t>
        </is>
      </c>
      <c r="P22" s="39" t="inlineStr">
        <is>
          <t>Não</t>
        </is>
      </c>
      <c r="Q22" s="12" t="n"/>
      <c r="R22" s="39" t="n"/>
      <c r="S22" s="39" t="n"/>
      <c r="T22" s="39" t="n"/>
      <c r="U22" s="39" t="n"/>
      <c r="V22" s="39" t="n"/>
      <c r="W22" s="39" t="n"/>
      <c r="X22" s="39" t="n"/>
      <c r="Y22" s="39" t="n"/>
      <c r="Z22" s="39" t="n"/>
      <c r="AA22" s="39" t="n"/>
      <c r="AB22" s="14" t="n"/>
      <c r="AC22" s="39" t="n"/>
      <c r="AD22" s="39" t="n"/>
      <c r="AE22" s="39" t="n"/>
      <c r="AF22" s="43" t="n"/>
      <c r="AG22" s="43" t="n"/>
      <c r="AH22" s="43" t="n"/>
      <c r="AI22" s="39" t="n"/>
      <c r="AJ22" s="43" t="n"/>
      <c r="AK22" s="43" t="n"/>
      <c r="AL22" s="21" t="n"/>
      <c r="AM22" s="21" t="n"/>
      <c r="AN22" s="21" t="n"/>
      <c r="AO22" s="43" t="n"/>
      <c r="AP22" s="43" t="n"/>
    </row>
    <row r="23" ht="15.75" customHeight="1" s="58">
      <c r="A23" s="3">
        <f>A22+1</f>
        <v/>
      </c>
      <c r="B23" s="6" t="n"/>
      <c r="C23" s="39" t="inlineStr">
        <is>
          <t>TXC</t>
        </is>
      </c>
      <c r="D23" s="39" t="inlineStr">
        <is>
          <t>Taxa de Cancelamento</t>
        </is>
      </c>
      <c r="E23" s="39">
        <f>D23&amp;" - ["&amp;C23&amp;"]"</f>
        <v/>
      </c>
      <c r="F23" s="55" t="inlineStr">
        <is>
          <t>Passageiro &gt; Taxa de cancelamento</t>
        </is>
      </c>
      <c r="G23" s="55" t="inlineStr">
        <is>
          <t>https://docs.google.com/spreadsheets/d/1ZiCGoPjLCjuYvujDTXK9Ixbth3tekiLtFBzBrGjPCr4/edit?gid=0#gid=0</t>
        </is>
      </c>
      <c r="H23" s="55" t="inlineStr">
        <is>
          <t>Etapa 12 - Usuário contesta taxa de cancelamento</t>
        </is>
      </c>
      <c r="I23" s="55" t="inlineStr">
        <is>
          <t>Verificar tempo de espera e cancelamento; reembolsar se indevida</t>
        </is>
      </c>
      <c r="J23" s="55" t="inlineStr">
        <is>
          <t>Trip UUID = [insert.trip.uuid} // cancel fee review</t>
        </is>
      </c>
      <c r="K23" s="55" t="inlineStr">
        <is>
          <t xml:space="preserve">Driver wait time: </t>
        </is>
      </c>
      <c r="L23" s="55" t="inlineStr">
        <is>
          <t>Olá, usuário!
Verificamos a taxa de cancelamento da sua viagem. Como ela não se aplicava ao caso, o valor foi devolvido em créditos na sua conta.
Qualquer dúvida, estamos à disposição.
A Uber agradece o seu contato!</t>
        </is>
      </c>
      <c r="M23" s="39" t="inlineStr">
        <is>
          <t>Encerrado</t>
        </is>
      </c>
      <c r="N23" s="39" t="inlineStr">
        <is>
          <t>Sim</t>
        </is>
      </c>
      <c r="O23" s="39" t="inlineStr">
        <is>
          <t>Não</t>
        </is>
      </c>
      <c r="P23" s="39" t="inlineStr">
        <is>
          <t>Não</t>
        </is>
      </c>
      <c r="Q23" s="12" t="n"/>
      <c r="R23" s="39" t="n"/>
      <c r="S23" s="39" t="n"/>
      <c r="T23" s="39" t="n"/>
      <c r="U23" s="39" t="n"/>
      <c r="V23" s="39" t="n"/>
      <c r="W23" s="39" t="n"/>
      <c r="X23" s="39" t="n"/>
      <c r="Y23" s="39" t="n"/>
      <c r="Z23" s="39" t="n"/>
      <c r="AA23" s="39" t="n"/>
      <c r="AB23" s="14" t="n"/>
      <c r="AC23" s="39" t="n"/>
      <c r="AD23" s="39" t="n"/>
      <c r="AE23" s="39" t="n"/>
      <c r="AF23" s="43" t="n"/>
      <c r="AG23" s="43" t="n"/>
      <c r="AH23" s="43" t="n"/>
      <c r="AI23" s="39" t="n"/>
      <c r="AJ23" s="43" t="n"/>
      <c r="AK23" s="43" t="n"/>
      <c r="AL23" s="21" t="n"/>
      <c r="AM23" s="21" t="n"/>
      <c r="AN23" s="21" t="n"/>
      <c r="AO23" s="43" t="n"/>
      <c r="AP23" s="43" t="n"/>
    </row>
    <row r="24" ht="15.75" customHeight="1" s="58">
      <c r="A24" s="3">
        <f>A23+1</f>
        <v/>
      </c>
      <c r="B24" s="6" t="n"/>
      <c r="C24" s="39" t="inlineStr">
        <is>
          <t>NTX</t>
        </is>
      </c>
      <c r="D24" s="39" t="inlineStr">
        <is>
          <t>Não houve Taxa de Cancelamento</t>
        </is>
      </c>
      <c r="E24" s="39">
        <f>D24&amp;" - ["&amp;C24&amp;"]"</f>
        <v/>
      </c>
      <c r="F24" s="55" t="inlineStr">
        <is>
          <t>Passageiro &gt; Taxa de cancelamento &gt; Não houve cobrança</t>
        </is>
      </c>
      <c r="G24" s="55" t="inlineStr">
        <is>
          <t>https://docs.google.com/spreadsheets/d/1ZiCGoPjLCjuYvujDTXK9Ixbth3tekiLtFBzBrGjPCr4/edit?gid=0#gid=0</t>
        </is>
      </c>
      <c r="H24" s="55" t="inlineStr">
        <is>
          <t>Etapa 12 - Usuário contesta taxa não cobrada</t>
        </is>
      </c>
      <c r="I24" s="55" t="inlineStr">
        <is>
          <t>Informar que não houve cobrança</t>
        </is>
      </c>
      <c r="J24" s="55" t="inlineStr">
        <is>
          <t>Trip UUID = [insert.trip.uuid} // no fee charged</t>
        </is>
      </c>
      <c r="K24" s="55" t="inlineStr"/>
      <c r="L24" s="55" t="inlineStr">
        <is>
          <t>Olá, usuário!
Verificamos a viagem informada e não houve cobrança de taxa de cancelamento. Se o valor aparecer no seu extrato, é apenas uma pré-autorização que será liberada pelo banco.
Qualquer dúvida, estamos à disposição.
A Uber agradece o seu contato!</t>
        </is>
      </c>
      <c r="M24" s="39" t="inlineStr">
        <is>
          <t>Encerrado</t>
        </is>
      </c>
      <c r="N24" s="39" t="inlineStr">
        <is>
          <t>Sim</t>
        </is>
      </c>
      <c r="O24" s="39" t="inlineStr">
        <is>
          <t>Não</t>
        </is>
      </c>
      <c r="P24" s="39" t="inlineStr">
        <is>
          <t>Não</t>
        </is>
      </c>
      <c r="Q24" s="12" t="n"/>
      <c r="R24" s="39" t="n"/>
      <c r="S24" s="39" t="n"/>
      <c r="T24" s="39" t="n"/>
      <c r="U24" s="39" t="n"/>
      <c r="V24" s="39" t="n"/>
      <c r="W24" s="39" t="n"/>
      <c r="X24" s="39" t="n"/>
      <c r="Y24" s="39" t="n"/>
      <c r="Z24" s="39" t="n"/>
      <c r="AA24" s="39" t="n"/>
      <c r="AB24" s="14" t="n"/>
      <c r="AC24" s="39" t="n"/>
      <c r="AD24" s="39" t="n"/>
      <c r="AE24" s="39" t="n"/>
      <c r="AF24" s="43" t="n"/>
      <c r="AG24" s="43" t="n"/>
      <c r="AH24" s="43" t="n"/>
      <c r="AI24" s="39" t="n"/>
      <c r="AJ24" s="43" t="n"/>
      <c r="AK24" s="43" t="n"/>
      <c r="AL24" s="21" t="n"/>
      <c r="AM24" s="21" t="n"/>
      <c r="AN24" s="21" t="n"/>
      <c r="AO24" s="43" t="n"/>
      <c r="AP24" s="43" t="n"/>
    </row>
    <row r="25" ht="15.75" customHeight="1" s="58">
      <c r="A25" s="3">
        <f>A24+1</f>
        <v/>
      </c>
      <c r="B25" s="6" t="n"/>
      <c r="C25" s="39" t="inlineStr">
        <is>
          <t>TXCO</t>
        </is>
      </c>
      <c r="D25" s="39" t="inlineStr">
        <is>
          <t>Taxa de Cancelamento Cobrada Corretamente</t>
        </is>
      </c>
      <c r="E25" s="39">
        <f>D25&amp;" - ["&amp;C25&amp;"]"</f>
        <v/>
      </c>
      <c r="F25" s="55" t="inlineStr">
        <is>
          <t>Passageiro &gt; Taxa de cancelamento &gt; Cobrada corretamente</t>
        </is>
      </c>
      <c r="G25" s="55" t="inlineStr">
        <is>
          <t>https://docs.google.com/spreadsheets/d/1ZiCGoPjLCjuYvujDTXK9Ixbth3tekiLtFBzBrGjPCr4/edit?gid=0#gid=0</t>
        </is>
      </c>
      <c r="H25" s="55" t="inlineStr">
        <is>
          <t>Etapa 12 - Taxa de cancelamento aplicada conforme política</t>
        </is>
      </c>
      <c r="I25" s="55" t="inlineStr">
        <is>
          <t>Explicar a política; sem ajuste</t>
        </is>
      </c>
      <c r="J25" s="55" t="inlineStr">
        <is>
          <t>Trip UUID = [insert.trip.uuid} // fee correct per policy</t>
        </is>
      </c>
      <c r="K25" s="55" t="inlineStr">
        <is>
          <t xml:space="preserve">Driver arrived on time: </t>
        </is>
      </c>
      <c r="L25" s="55" t="inlineStr">
        <is>
          <t>Olá, usuário!
Analisamos a viagem e a taxa de cancelamento foi aplicada conforme a política: o cancelamento ocorreu após o tempo de tolerância, com o motorista já a caminho. Por isso, o valor não pode ser devolvido.
Qualquer dúvida, estamos à disposição.
A Uber agradece o seu contato!</t>
        </is>
      </c>
      <c r="M25" s="39" t="inlineStr">
        <is>
          <t>Encerrado</t>
        </is>
      </c>
      <c r="N25" s="39" t="inlineStr">
        <is>
          <t>Sim</t>
        </is>
      </c>
      <c r="O25" s="39" t="inlineStr">
        <is>
          <t>Não</t>
        </is>
      </c>
      <c r="P25" s="39" t="inlineStr">
        <is>
          <t>Não</t>
        </is>
      </c>
      <c r="Q25" s="12" t="n"/>
      <c r="R25" s="39" t="n"/>
      <c r="S25" s="39" t="n"/>
      <c r="T25" s="39" t="n"/>
      <c r="U25" s="39" t="n"/>
      <c r="V25" s="39" t="n"/>
      <c r="W25" s="39" t="n"/>
      <c r="X25" s="39" t="n"/>
      <c r="Y25" s="39" t="n"/>
      <c r="Z25" s="39" t="n"/>
      <c r="AA25" s="39" t="n"/>
      <c r="AB25" s="14" t="n"/>
      <c r="AC25" s="39" t="n"/>
      <c r="AD25" s="39" t="n"/>
      <c r="AE25" s="39" t="n"/>
      <c r="AF25" s="43" t="n"/>
      <c r="AG25" s="43" t="n"/>
      <c r="AH25" s="43" t="n"/>
      <c r="AI25" s="39" t="n"/>
      <c r="AJ25" s="43" t="n"/>
      <c r="AK25" s="43" t="n"/>
      <c r="AL25" s="21" t="n"/>
      <c r="AM25" s="21" t="n"/>
      <c r="AN25" s="21" t="n"/>
      <c r="AO25" s="43" t="n"/>
      <c r="AP25" s="43" t="n"/>
    </row>
    <row r="26" ht="15.75" customHeight="1" s="58">
      <c r="A26" s="3">
        <f>A25+1</f>
        <v/>
      </c>
      <c r="B26" s="6" t="n"/>
      <c r="C26" s="39" t="inlineStr">
        <is>
          <t>OTV</t>
        </is>
      </c>
      <c r="D26" s="39" t="inlineStr">
        <is>
          <t>Outros Valores Retidos (Pedágio, Cartão, Taxa de Cancelamento...)</t>
        </is>
      </c>
      <c r="E26" s="39">
        <f>D26&amp;" - ["&amp;C26&amp;"]"</f>
        <v/>
      </c>
      <c r="F26" s="55" t="inlineStr">
        <is>
          <t>Passageiro &gt; Outros valores retidos</t>
        </is>
      </c>
      <c r="G26" s="55" t="inlineStr">
        <is>
          <t>https://docs.google.com/spreadsheets/d/1ZiCGoPjLCjuYvujDTXK9Ixbth3tekiLtFBzBrGjPCr4/edit?gid=0#gid=0</t>
        </is>
      </c>
      <c r="H26" s="55" t="inlineStr">
        <is>
          <t>Etapa 13 - Pedágio, taxa ou valor retido</t>
        </is>
      </c>
      <c r="I26" s="55" t="inlineStr">
        <is>
          <t>Identificar o valor e explicar; ajustar se indevido</t>
        </is>
      </c>
      <c r="J26" s="55" t="inlineStr">
        <is>
          <t>Trip UUID = [insert.trip.uuid} // toll/fee breakdown</t>
        </is>
      </c>
      <c r="K26" s="55" t="inlineStr"/>
      <c r="L26" s="55" t="inlineStr">
        <is>
          <t>Olá, usuário!
O valor adicional da sua viagem corresponde a pedágio ou taxa prevista na rota. Enviamos o detalhamento abaixo. Caso algum item esteja incorreto, nos avise que ajustamos.
Qualquer dúvida, estamos à disposição.
A Uber agradece o seu contato!</t>
        </is>
      </c>
      <c r="M26" s="39" t="inlineStr">
        <is>
          <t>Encerrado</t>
        </is>
      </c>
      <c r="N26" s="39" t="inlineStr">
        <is>
          <t>Sim</t>
        </is>
      </c>
      <c r="O26" s="39" t="inlineStr">
        <is>
          <t>Não</t>
        </is>
      </c>
      <c r="P26" s="39" t="inlineStr">
        <is>
          <t>Não</t>
        </is>
      </c>
      <c r="Q26" s="12" t="n"/>
      <c r="R26" s="39" t="n"/>
      <c r="S26" s="39" t="n"/>
      <c r="T26" s="39" t="n"/>
      <c r="U26" s="39" t="n"/>
      <c r="V26" s="39" t="n"/>
      <c r="W26" s="39" t="n"/>
      <c r="X26" s="39" t="n"/>
      <c r="Y26" s="39" t="n"/>
      <c r="Z26" s="39" t="n"/>
      <c r="AA26" s="39" t="n"/>
      <c r="AB26" s="14" t="n"/>
      <c r="AC26" s="39" t="n"/>
      <c r="AD26" s="39" t="n"/>
      <c r="AE26" s="39" t="n"/>
      <c r="AF26" s="43" t="n"/>
      <c r="AG26" s="43" t="n"/>
      <c r="AH26" s="43" t="n"/>
      <c r="AI26" s="39" t="n"/>
      <c r="AJ26" s="43" t="n"/>
      <c r="AK26" s="43" t="n"/>
      <c r="AL26" s="21" t="n"/>
      <c r="AM26" s="21" t="n"/>
      <c r="AN26" s="21" t="n"/>
      <c r="AO26" s="43" t="n"/>
      <c r="AP26" s="43" t="n"/>
    </row>
    <row r="27" ht="15.75" customHeight="1" s="58">
      <c r="A27" s="3">
        <f>A26+1</f>
        <v/>
      </c>
      <c r="B27" s="6" t="n"/>
      <c r="C27" s="39" t="inlineStr">
        <is>
          <t>CP</t>
        </is>
      </c>
      <c r="D27" s="39" t="inlineStr">
        <is>
          <t>Comprovante de Pagamento</t>
        </is>
      </c>
      <c r="E27" s="39">
        <f>D27&amp;" - ["&amp;C27&amp;"]"</f>
        <v/>
      </c>
      <c r="F27" s="55" t="inlineStr">
        <is>
          <t>Passageiro &gt; Valores pendentes</t>
        </is>
      </c>
      <c r="G27" s="42" t="inlineStr">
        <is>
          <t>https://docs.google.com/spreadsheets/d/1ZiCGoPjLCjuYvujDTXK9Ixbth3tekiLtFBzBrGjPCr4/edit?gid=0#gid=0</t>
        </is>
      </c>
      <c r="H27" s="55">
        <f>IFERROR(INDEX($T$2:$T$61,MATCH($F27,$U$2:$U$61,0)),"")</f>
        <v/>
      </c>
      <c r="I27" s="55" t="inlineStr">
        <is>
          <t>Solicitar comprovante de pagamento</t>
        </is>
      </c>
      <c r="J27" s="55" t="n"/>
      <c r="K27" s="55" t="n"/>
      <c r="L27" s="55" t="inlineStr">
        <is>
          <t>Olá, usuário!
Recebemos seu contato!
Você consegue nos informar 
Com mais informações quanto pagou
Ao motorista?
Aguardamos sua resposta com um comprovante válido!</t>
        </is>
      </c>
      <c r="M27" s="39" t="inlineStr">
        <is>
          <t>Aguardando resposta</t>
        </is>
      </c>
      <c r="N27" s="39" t="inlineStr">
        <is>
          <t>Não</t>
        </is>
      </c>
      <c r="O27" s="39" t="inlineStr">
        <is>
          <t>Não</t>
        </is>
      </c>
      <c r="P27" s="39" t="inlineStr">
        <is>
          <t>Não</t>
        </is>
      </c>
      <c r="Q27" s="12" t="n"/>
      <c r="R27" s="39" t="n"/>
      <c r="S27" s="39" t="n"/>
      <c r="T27" s="39" t="n"/>
      <c r="U27" s="39" t="n"/>
      <c r="V27" s="39" t="n"/>
      <c r="W27" s="39" t="n"/>
      <c r="X27" s="39" t="n"/>
      <c r="Y27" s="39" t="n"/>
      <c r="Z27" s="39" t="n"/>
      <c r="AA27" s="39" t="n"/>
      <c r="AB27" s="14" t="n"/>
      <c r="AC27" s="39" t="n"/>
      <c r="AD27" s="39" t="n"/>
      <c r="AE27" s="39" t="n"/>
      <c r="AF27" s="43" t="n"/>
      <c r="AG27" s="43" t="n"/>
      <c r="AH27" s="43" t="n"/>
      <c r="AI27" s="39" t="n"/>
      <c r="AJ27" s="43" t="n"/>
      <c r="AK27" s="43" t="n"/>
      <c r="AL27" s="21" t="n"/>
      <c r="AM27" s="21" t="n"/>
      <c r="AN27" s="21" t="n"/>
      <c r="AO27" s="43" t="n"/>
      <c r="AP27" s="43" t="n"/>
    </row>
    <row r="28" ht="15.75" customHeight="1" s="58">
      <c r="A28" s="3">
        <f>A27+1</f>
        <v/>
      </c>
      <c r="B28" s="6" t="n"/>
      <c r="C28" s="39" t="inlineStr">
        <is>
          <t>TIPR</t>
        </is>
      </c>
      <c r="D28" s="39" t="inlineStr">
        <is>
          <t>Transferência de LOB (Profissionalismo)</t>
        </is>
      </c>
      <c r="E28" s="39">
        <f>D28&amp;" - ["&amp;C28&amp;"]"</f>
        <v/>
      </c>
      <c r="F28" s="55" t="inlineStr">
        <is>
          <t>Motorista &gt; Profisionalismo</t>
        </is>
      </c>
      <c r="G28" s="42" t="inlineStr">
        <is>
          <t>https://docs.google.com/spreadsheets/d/1ZiCGoPjLCjuYvujDTXK9Ixbth3tekiLtFBzBrGjPCr4/edit?gid=0#gid=0</t>
        </is>
      </c>
      <c r="H28" s="55">
        <f>IFERROR(INDEX($T$2:$T$61,MATCH($F28,$U$2:$U$61,0)),"")</f>
        <v/>
      </c>
      <c r="I28" s="55" t="inlineStr">
        <is>
          <t>Encaminhado à LOB correta. Assunto não tratado em Rider</t>
        </is>
      </c>
      <c r="J28" s="55" t="n"/>
      <c r="K28" s="55" t="n"/>
      <c r="L28" s="55" t="n"/>
      <c r="M28" s="39" t="inlineStr">
        <is>
          <t>Em Aberto</t>
        </is>
      </c>
      <c r="N28" s="39" t="inlineStr">
        <is>
          <t>Não</t>
        </is>
      </c>
      <c r="O28" s="39" t="inlineStr">
        <is>
          <t>Não</t>
        </is>
      </c>
      <c r="P28" s="39" t="inlineStr">
        <is>
          <t>Não</t>
        </is>
      </c>
      <c r="Q28" s="12" t="n"/>
      <c r="R28" s="39" t="n"/>
      <c r="S28" s="39" t="n"/>
      <c r="T28" s="39" t="n"/>
      <c r="U28" s="39" t="n"/>
      <c r="V28" s="39" t="n"/>
      <c r="W28" s="39" t="n"/>
      <c r="X28" s="39" t="n"/>
      <c r="Y28" s="39" t="n"/>
      <c r="Z28" s="39" t="n"/>
      <c r="AA28" s="39" t="n"/>
      <c r="AB28" s="14" t="n"/>
      <c r="AC28" s="39" t="n"/>
      <c r="AD28" s="39" t="n"/>
      <c r="AE28" s="39" t="n"/>
      <c r="AF28" s="43" t="n"/>
      <c r="AG28" s="43" t="n"/>
      <c r="AH28" s="43" t="n"/>
      <c r="AI28" s="39" t="n"/>
      <c r="AJ28" s="43" t="n"/>
      <c r="AK28" s="43" t="n"/>
      <c r="AL28" s="21" t="n"/>
      <c r="AM28" s="21" t="n"/>
      <c r="AN28" s="21" t="n"/>
      <c r="AO28" s="43" t="n"/>
      <c r="AP28" s="43" t="n"/>
    </row>
    <row r="29" ht="15.75" customHeight="1" s="58">
      <c r="A29" s="3">
        <f>A28+1</f>
        <v/>
      </c>
      <c r="B29" s="6" t="n"/>
      <c r="C29" s="39" t="n"/>
      <c r="D29" s="39" t="n"/>
      <c r="E29" s="39" t="n"/>
      <c r="F29" s="55" t="n"/>
      <c r="G29" s="55" t="n"/>
      <c r="H29" s="55" t="n"/>
      <c r="I29" s="55" t="n"/>
      <c r="J29" s="55" t="n"/>
      <c r="K29" s="55" t="n"/>
      <c r="L29" s="55" t="n"/>
      <c r="M29" s="39" t="n"/>
      <c r="N29" s="39" t="n"/>
      <c r="O29" s="39" t="n"/>
      <c r="P29" s="39" t="n"/>
      <c r="Q29" s="12" t="n"/>
      <c r="R29" s="39" t="n"/>
      <c r="S29" s="39" t="n"/>
      <c r="T29" s="39" t="n"/>
      <c r="U29" s="39" t="n"/>
      <c r="V29" s="39" t="n"/>
      <c r="W29" s="39" t="n"/>
      <c r="X29" s="39" t="n"/>
      <c r="Y29" s="39" t="n"/>
      <c r="Z29" s="39" t="n"/>
      <c r="AA29" s="39" t="n"/>
      <c r="AB29" s="14" t="n"/>
      <c r="AC29" s="39" t="n"/>
      <c r="AD29" s="39" t="n"/>
      <c r="AE29" s="39" t="n"/>
      <c r="AF29" s="43" t="n"/>
      <c r="AG29" s="43" t="n"/>
      <c r="AH29" s="43" t="n"/>
      <c r="AI29" s="39" t="n"/>
      <c r="AJ29" s="43" t="n"/>
      <c r="AK29" s="43" t="n"/>
      <c r="AL29" s="21" t="n"/>
      <c r="AM29" s="21" t="n"/>
      <c r="AN29" s="21" t="n"/>
      <c r="AO29" s="43" t="n"/>
      <c r="AP29" s="43" t="n"/>
    </row>
    <row r="30" ht="15.75" customHeight="1" s="58">
      <c r="A30" s="3">
        <f>A29+1</f>
        <v/>
      </c>
      <c r="B30" s="6" t="n"/>
      <c r="C30" s="39" t="n"/>
      <c r="D30" s="39" t="n"/>
      <c r="E30" s="39" t="n"/>
      <c r="F30" s="55" t="n"/>
      <c r="G30" s="55" t="n"/>
      <c r="H30" s="55" t="n"/>
      <c r="I30" s="55" t="n"/>
      <c r="J30" s="55" t="n"/>
      <c r="K30" s="55" t="n"/>
      <c r="L30" s="55" t="n"/>
      <c r="M30" s="39" t="n"/>
      <c r="N30" s="39" t="n"/>
      <c r="O30" s="39" t="n"/>
      <c r="P30" s="39" t="n"/>
      <c r="Q30" s="12" t="n"/>
      <c r="R30" s="39" t="n"/>
      <c r="S30" s="39" t="n"/>
      <c r="T30" s="39" t="n"/>
      <c r="U30" s="39" t="n"/>
      <c r="V30" s="39" t="n"/>
      <c r="W30" s="39" t="n"/>
      <c r="X30" s="39" t="n"/>
      <c r="Y30" s="39" t="n"/>
      <c r="Z30" s="39" t="n"/>
      <c r="AA30" s="39" t="n"/>
      <c r="AB30" s="14" t="n"/>
      <c r="AC30" s="39" t="n"/>
      <c r="AD30" s="39" t="n"/>
      <c r="AE30" s="39" t="n"/>
      <c r="AF30" s="43" t="n"/>
      <c r="AG30" s="43" t="n"/>
      <c r="AH30" s="43" t="n"/>
      <c r="AI30" s="39" t="n"/>
      <c r="AJ30" s="43" t="n"/>
      <c r="AK30" s="43" t="n"/>
      <c r="AL30" s="21" t="n"/>
      <c r="AM30" s="21" t="n"/>
      <c r="AN30" s="21" t="n"/>
      <c r="AO30" s="43" t="n"/>
      <c r="AP30" s="43" t="n"/>
    </row>
    <row r="31" ht="15.75" customHeight="1" s="58">
      <c r="A31" s="3">
        <f>A30+1</f>
        <v/>
      </c>
      <c r="B31" s="6" t="n"/>
      <c r="C31" s="39" t="n"/>
      <c r="D31" s="39" t="n"/>
      <c r="E31" s="39" t="n"/>
      <c r="F31" s="55" t="n"/>
      <c r="G31" s="55" t="n"/>
      <c r="H31" s="55" t="n"/>
      <c r="I31" s="55" t="n"/>
      <c r="J31" s="55" t="n"/>
      <c r="K31" s="55" t="n"/>
      <c r="L31" s="55" t="n"/>
      <c r="M31" s="39" t="n"/>
      <c r="N31" s="39" t="n"/>
      <c r="O31" s="39" t="n"/>
      <c r="P31" s="39" t="n"/>
      <c r="Q31" s="12" t="n"/>
      <c r="R31" s="39" t="n"/>
      <c r="S31" s="39" t="n"/>
      <c r="T31" s="39" t="n"/>
      <c r="U31" s="39" t="n"/>
      <c r="V31" s="39" t="n"/>
      <c r="W31" s="39" t="n"/>
      <c r="X31" s="39" t="n"/>
      <c r="Y31" s="39" t="n"/>
      <c r="Z31" s="39" t="n"/>
      <c r="AA31" s="39" t="n"/>
      <c r="AB31" s="14" t="n"/>
      <c r="AC31" s="39" t="n"/>
      <c r="AD31" s="39" t="n"/>
      <c r="AE31" s="39" t="n"/>
      <c r="AF31" s="43" t="n"/>
      <c r="AG31" s="43" t="n"/>
      <c r="AH31" s="43" t="n"/>
      <c r="AI31" s="39" t="n"/>
      <c r="AJ31" s="43" t="n"/>
      <c r="AK31" s="43" t="n"/>
      <c r="AL31" s="21" t="n"/>
      <c r="AM31" s="21" t="n"/>
      <c r="AN31" s="21" t="n"/>
      <c r="AO31" s="43" t="n"/>
      <c r="AP31" s="43" t="n"/>
    </row>
    <row r="32" ht="15.75" customHeight="1" s="58">
      <c r="A32" s="3">
        <f>A31+1</f>
        <v/>
      </c>
      <c r="B32" s="6" t="n"/>
      <c r="C32" s="39" t="n"/>
      <c r="D32" s="39" t="n"/>
      <c r="E32" s="39" t="n"/>
      <c r="F32" s="55" t="n"/>
      <c r="G32" s="55" t="n"/>
      <c r="H32" s="55" t="n"/>
      <c r="I32" s="55" t="n"/>
      <c r="J32" s="55" t="n"/>
      <c r="K32" s="55" t="n"/>
      <c r="L32" s="55" t="n"/>
      <c r="M32" s="39" t="n"/>
      <c r="N32" s="39" t="n"/>
      <c r="O32" s="39" t="n"/>
      <c r="P32" s="39" t="n"/>
      <c r="Q32" s="12" t="n"/>
      <c r="R32" s="39" t="n"/>
      <c r="S32" s="39" t="n"/>
      <c r="T32" s="39" t="n"/>
      <c r="U32" s="39" t="n"/>
      <c r="V32" s="39" t="n"/>
      <c r="W32" s="39" t="n"/>
      <c r="X32" s="39" t="n"/>
      <c r="Y32" s="39" t="n"/>
      <c r="Z32" s="39" t="n"/>
      <c r="AA32" s="39" t="n"/>
      <c r="AB32" s="14" t="n"/>
      <c r="AC32" s="39" t="n"/>
      <c r="AD32" s="39" t="n"/>
      <c r="AE32" s="39" t="n"/>
      <c r="AF32" s="43" t="n"/>
      <c r="AG32" s="43" t="n"/>
      <c r="AH32" s="43" t="n"/>
      <c r="AI32" s="39" t="n"/>
      <c r="AJ32" s="43" t="n"/>
      <c r="AK32" s="43" t="n"/>
      <c r="AL32" s="21" t="n"/>
      <c r="AM32" s="21" t="n"/>
      <c r="AN32" s="21" t="n"/>
      <c r="AO32" s="43" t="n"/>
      <c r="AP32" s="43" t="n"/>
    </row>
    <row r="33" ht="15.75" customHeight="1" s="58">
      <c r="A33" s="3">
        <f>A32+1</f>
        <v/>
      </c>
      <c r="B33" s="6" t="n"/>
      <c r="C33" s="39" t="n"/>
      <c r="D33" s="39" t="n"/>
      <c r="E33" s="39" t="n"/>
      <c r="F33" s="55" t="n"/>
      <c r="G33" s="55" t="n"/>
      <c r="H33" s="55" t="n"/>
      <c r="I33" s="55" t="n"/>
      <c r="J33" s="55" t="n"/>
      <c r="K33" s="55" t="n"/>
      <c r="L33" s="55" t="n"/>
      <c r="M33" s="39" t="n"/>
      <c r="N33" s="39" t="n"/>
      <c r="O33" s="39" t="n"/>
      <c r="P33" s="39" t="n"/>
      <c r="Q33" s="12" t="n"/>
      <c r="R33" s="39" t="n"/>
      <c r="S33" s="39" t="n"/>
      <c r="T33" s="39" t="n"/>
      <c r="U33" s="39" t="n"/>
      <c r="V33" s="39" t="n"/>
      <c r="W33" s="39" t="n"/>
      <c r="X33" s="39" t="n"/>
      <c r="Y33" s="39" t="n"/>
      <c r="Z33" s="39" t="n"/>
      <c r="AA33" s="39" t="n"/>
      <c r="AB33" s="14" t="n"/>
      <c r="AC33" s="39" t="n"/>
      <c r="AD33" s="39" t="n"/>
      <c r="AE33" s="39" t="n"/>
      <c r="AF33" s="43" t="n"/>
      <c r="AG33" s="43" t="n"/>
      <c r="AH33" s="43" t="n"/>
      <c r="AI33" s="39" t="n"/>
      <c r="AJ33" s="43" t="n"/>
      <c r="AK33" s="43" t="n"/>
      <c r="AL33" s="21" t="n"/>
      <c r="AM33" s="21" t="n"/>
      <c r="AN33" s="21" t="n"/>
      <c r="AO33" s="43" t="n"/>
      <c r="AP33" s="43" t="n"/>
    </row>
    <row r="34" ht="15.75" customHeight="1" s="58">
      <c r="A34" s="3">
        <f>A33+1</f>
        <v/>
      </c>
      <c r="B34" s="6" t="n"/>
      <c r="C34" s="39" t="n"/>
      <c r="D34" s="39" t="n"/>
      <c r="E34" s="39" t="n"/>
      <c r="F34" s="55" t="n"/>
      <c r="G34" s="55" t="n"/>
      <c r="H34" s="55" t="n"/>
      <c r="I34" s="55" t="n"/>
      <c r="J34" s="55" t="n"/>
      <c r="K34" s="55" t="n"/>
      <c r="L34" s="55" t="n"/>
      <c r="M34" s="39" t="n"/>
      <c r="N34" s="39" t="n"/>
      <c r="O34" s="39" t="n"/>
      <c r="P34" s="39" t="n"/>
      <c r="Q34" s="12" t="n"/>
      <c r="R34" s="39" t="n"/>
      <c r="S34" s="39" t="n"/>
      <c r="T34" s="39" t="n"/>
      <c r="U34" s="39" t="n"/>
      <c r="V34" s="39" t="n"/>
      <c r="W34" s="39" t="n"/>
      <c r="X34" s="39" t="n"/>
      <c r="Y34" s="39" t="n"/>
      <c r="Z34" s="39" t="n"/>
      <c r="AA34" s="39" t="n"/>
      <c r="AB34" s="14" t="n"/>
      <c r="AC34" s="39" t="n"/>
      <c r="AD34" s="39" t="n"/>
      <c r="AE34" s="39" t="n"/>
      <c r="AF34" s="43" t="n"/>
      <c r="AG34" s="43" t="n"/>
      <c r="AH34" s="43" t="n"/>
      <c r="AI34" s="39" t="n"/>
      <c r="AJ34" s="43" t="n"/>
      <c r="AK34" s="43" t="n"/>
      <c r="AL34" s="21" t="n"/>
      <c r="AM34" s="21" t="n"/>
      <c r="AN34" s="21" t="n"/>
      <c r="AO34" s="43" t="n"/>
      <c r="AP34" s="43" t="n"/>
    </row>
    <row r="35" ht="15.75" customHeight="1" s="58">
      <c r="A35" s="3">
        <f>A34+1</f>
        <v/>
      </c>
      <c r="B35" s="6" t="n"/>
      <c r="C35" s="39" t="n"/>
      <c r="D35" s="39" t="n"/>
      <c r="E35" s="39" t="n"/>
      <c r="F35" s="55" t="n"/>
      <c r="G35" s="55" t="n"/>
      <c r="H35" s="55" t="n"/>
      <c r="I35" s="55" t="n"/>
      <c r="J35" s="55" t="n"/>
      <c r="K35" s="55" t="n"/>
      <c r="L35" s="55" t="n"/>
      <c r="M35" s="39" t="n"/>
      <c r="N35" s="39" t="n"/>
      <c r="O35" s="39" t="n"/>
      <c r="P35" s="39" t="n"/>
      <c r="Q35" s="12" t="n"/>
      <c r="R35" s="39" t="n"/>
      <c r="S35" s="39" t="n"/>
      <c r="T35" s="39" t="n"/>
      <c r="U35" s="39" t="n"/>
      <c r="V35" s="39" t="n"/>
      <c r="W35" s="39" t="n"/>
      <c r="X35" s="39" t="n"/>
      <c r="Y35" s="39" t="n"/>
      <c r="Z35" s="39" t="n"/>
      <c r="AA35" s="39" t="n"/>
      <c r="AB35" s="14" t="n"/>
      <c r="AC35" s="39" t="n"/>
      <c r="AD35" s="39" t="n"/>
      <c r="AE35" s="39" t="n"/>
      <c r="AF35" s="43" t="n"/>
      <c r="AG35" s="43" t="n"/>
      <c r="AH35" s="43" t="n"/>
      <c r="AI35" s="39" t="n"/>
      <c r="AJ35" s="43" t="n"/>
      <c r="AK35" s="43" t="n"/>
      <c r="AL35" s="21" t="n"/>
      <c r="AM35" s="21" t="n"/>
      <c r="AN35" s="21" t="n"/>
      <c r="AO35" s="43" t="n"/>
      <c r="AP35" s="43" t="n"/>
    </row>
    <row r="36" ht="15.75" customHeight="1" s="58">
      <c r="A36" s="3">
        <f>A35+1</f>
        <v/>
      </c>
      <c r="B36" s="6" t="n"/>
      <c r="C36" s="39" t="n"/>
      <c r="D36" s="39" t="n"/>
      <c r="E36" s="39" t="n"/>
      <c r="F36" s="55" t="n"/>
      <c r="G36" s="55" t="n"/>
      <c r="H36" s="55" t="n"/>
      <c r="I36" s="55" t="n"/>
      <c r="J36" s="55" t="n"/>
      <c r="K36" s="55" t="n"/>
      <c r="L36" s="55" t="n"/>
      <c r="M36" s="39" t="n"/>
      <c r="N36" s="39" t="n"/>
      <c r="O36" s="39" t="n"/>
      <c r="P36" s="39" t="n"/>
      <c r="Q36" s="12" t="n"/>
      <c r="R36" s="39" t="n"/>
      <c r="S36" s="39" t="n"/>
      <c r="T36" s="39" t="n"/>
      <c r="U36" s="39" t="n"/>
      <c r="V36" s="39" t="n"/>
      <c r="W36" s="39" t="n"/>
      <c r="X36" s="39" t="n"/>
      <c r="Y36" s="39" t="n"/>
      <c r="Z36" s="39" t="n"/>
      <c r="AA36" s="39" t="n"/>
      <c r="AB36" s="14" t="n"/>
      <c r="AC36" s="39" t="n"/>
      <c r="AD36" s="39" t="n"/>
      <c r="AE36" s="39" t="n"/>
      <c r="AF36" s="43" t="n"/>
      <c r="AG36" s="43" t="n"/>
      <c r="AH36" s="43" t="n"/>
      <c r="AI36" s="39" t="n"/>
      <c r="AJ36" s="43" t="n"/>
      <c r="AK36" s="43" t="n"/>
      <c r="AL36" s="21" t="n"/>
      <c r="AM36" s="21" t="n"/>
      <c r="AN36" s="21" t="n"/>
      <c r="AO36" s="43" t="n"/>
      <c r="AP36" s="43" t="n"/>
    </row>
    <row r="37" ht="15.75" customHeight="1" s="58">
      <c r="A37" s="3">
        <f>A36+1</f>
        <v/>
      </c>
      <c r="B37" s="6" t="n"/>
      <c r="C37" s="39" t="n"/>
      <c r="D37" s="39" t="n"/>
      <c r="E37" s="39" t="n"/>
      <c r="F37" s="55" t="n"/>
      <c r="G37" s="55" t="n"/>
      <c r="H37" s="55" t="n"/>
      <c r="I37" s="55" t="n"/>
      <c r="J37" s="55" t="n"/>
      <c r="K37" s="55" t="n"/>
      <c r="L37" s="55" t="n"/>
      <c r="M37" s="39" t="n"/>
      <c r="N37" s="39" t="n"/>
      <c r="O37" s="39" t="n"/>
      <c r="P37" s="39" t="n"/>
      <c r="Q37" s="12" t="n"/>
      <c r="R37" s="39" t="n"/>
      <c r="S37" s="39" t="n"/>
      <c r="T37" s="39" t="n"/>
      <c r="U37" s="39" t="n"/>
      <c r="V37" s="39" t="n"/>
      <c r="W37" s="39" t="n"/>
      <c r="X37" s="39" t="n"/>
      <c r="Y37" s="39" t="n"/>
      <c r="Z37" s="39" t="n"/>
      <c r="AA37" s="39" t="n"/>
      <c r="AB37" s="14" t="n"/>
      <c r="AC37" s="39" t="n"/>
      <c r="AD37" s="39" t="n"/>
      <c r="AE37" s="39" t="n"/>
      <c r="AF37" s="43" t="n"/>
      <c r="AG37" s="43" t="n"/>
      <c r="AH37" s="43" t="n"/>
      <c r="AI37" s="39" t="n"/>
      <c r="AJ37" s="43" t="n"/>
      <c r="AK37" s="43" t="n"/>
      <c r="AL37" s="21" t="n"/>
      <c r="AM37" s="21" t="n"/>
      <c r="AN37" s="21" t="n"/>
      <c r="AO37" s="43" t="n"/>
      <c r="AP37" s="43" t="n"/>
    </row>
    <row r="38" ht="15.75" customHeight="1" s="58">
      <c r="A38" s="3">
        <f>A37+1</f>
        <v/>
      </c>
      <c r="B38" s="6" t="n"/>
      <c r="C38" s="39" t="n"/>
      <c r="D38" s="39" t="n"/>
      <c r="E38" s="39" t="n"/>
      <c r="F38" s="55" t="n"/>
      <c r="G38" s="55" t="n"/>
      <c r="H38" s="55" t="n"/>
      <c r="I38" s="55" t="n"/>
      <c r="J38" s="55" t="n"/>
      <c r="K38" s="55" t="n"/>
      <c r="L38" s="55" t="n"/>
      <c r="M38" s="39" t="n"/>
      <c r="N38" s="39" t="n"/>
      <c r="O38" s="39" t="n"/>
      <c r="P38" s="39" t="n"/>
      <c r="Q38" s="12" t="n"/>
      <c r="R38" s="39" t="n"/>
      <c r="S38" s="39" t="n"/>
      <c r="T38" s="39" t="n"/>
      <c r="U38" s="39" t="n"/>
      <c r="V38" s="39" t="n"/>
      <c r="W38" s="39" t="n"/>
      <c r="X38" s="39" t="n"/>
      <c r="Y38" s="39" t="n"/>
      <c r="Z38" s="39" t="n"/>
      <c r="AA38" s="39" t="n"/>
      <c r="AB38" s="14" t="n"/>
      <c r="AC38" s="39" t="n"/>
      <c r="AD38" s="39" t="n"/>
      <c r="AE38" s="39" t="n"/>
      <c r="AF38" s="43" t="n"/>
      <c r="AG38" s="43" t="n"/>
      <c r="AH38" s="43" t="n"/>
      <c r="AI38" s="39" t="n"/>
      <c r="AJ38" s="43" t="n"/>
      <c r="AK38" s="43" t="n"/>
      <c r="AL38" s="21" t="n"/>
      <c r="AM38" s="21" t="n"/>
      <c r="AN38" s="21" t="n"/>
      <c r="AO38" s="43" t="n"/>
      <c r="AP38" s="43" t="n"/>
    </row>
    <row r="39" ht="15.75" customHeight="1" s="58">
      <c r="A39" s="3">
        <f>A38+1</f>
        <v/>
      </c>
      <c r="B39" s="6" t="n"/>
      <c r="C39" s="39" t="n"/>
      <c r="D39" s="39" t="n"/>
      <c r="E39" s="39" t="n"/>
      <c r="F39" s="55" t="n"/>
      <c r="G39" s="55" t="n"/>
      <c r="H39" s="55" t="n"/>
      <c r="I39" s="55" t="n"/>
      <c r="J39" s="55" t="n"/>
      <c r="K39" s="55" t="n"/>
      <c r="L39" s="55" t="n"/>
      <c r="M39" s="39" t="n"/>
      <c r="N39" s="39" t="n"/>
      <c r="O39" s="39" t="n"/>
      <c r="P39" s="39" t="n"/>
      <c r="Q39" s="12" t="n"/>
      <c r="R39" s="39" t="n"/>
      <c r="S39" s="39" t="n"/>
      <c r="T39" s="39" t="n"/>
      <c r="U39" s="39" t="n"/>
      <c r="V39" s="39" t="n"/>
      <c r="W39" s="39" t="n"/>
      <c r="X39" s="39" t="n"/>
      <c r="Y39" s="39" t="n"/>
      <c r="Z39" s="39" t="n"/>
      <c r="AA39" s="39" t="n"/>
      <c r="AB39" s="14" t="n"/>
      <c r="AC39" s="39" t="n"/>
      <c r="AD39" s="39" t="n"/>
      <c r="AE39" s="39" t="n"/>
      <c r="AF39" s="43" t="n"/>
      <c r="AG39" s="43" t="n"/>
      <c r="AH39" s="43" t="n"/>
      <c r="AI39" s="39" t="n"/>
      <c r="AJ39" s="43" t="n"/>
      <c r="AK39" s="43" t="n"/>
      <c r="AL39" s="21" t="n"/>
      <c r="AM39" s="21" t="n"/>
      <c r="AN39" s="21" t="n"/>
      <c r="AO39" s="43" t="n"/>
      <c r="AP39" s="43" t="n"/>
    </row>
    <row r="40" ht="15.75" customHeight="1" s="58">
      <c r="A40" s="3">
        <f>A39+1</f>
        <v/>
      </c>
      <c r="B40" s="6" t="n"/>
      <c r="C40" s="39" t="n"/>
      <c r="D40" s="39" t="n"/>
      <c r="E40" s="39" t="n"/>
      <c r="F40" s="55" t="n"/>
      <c r="G40" s="55" t="n"/>
      <c r="H40" s="55" t="n"/>
      <c r="I40" s="55" t="n"/>
      <c r="J40" s="55" t="n"/>
      <c r="K40" s="55" t="n"/>
      <c r="L40" s="55" t="n"/>
      <c r="M40" s="39" t="n"/>
      <c r="N40" s="39" t="n"/>
      <c r="O40" s="39" t="n"/>
      <c r="P40" s="39" t="n"/>
      <c r="Q40" s="12" t="n"/>
      <c r="R40" s="39" t="n"/>
      <c r="S40" s="39" t="n"/>
      <c r="T40" s="39" t="n"/>
      <c r="U40" s="39" t="n"/>
      <c r="V40" s="39" t="n"/>
      <c r="W40" s="39" t="n"/>
      <c r="X40" s="39" t="n"/>
      <c r="Y40" s="39" t="n"/>
      <c r="Z40" s="39" t="n"/>
      <c r="AA40" s="39" t="n"/>
      <c r="AB40" s="14" t="n"/>
      <c r="AC40" s="39" t="n"/>
      <c r="AD40" s="39" t="n"/>
      <c r="AE40" s="39" t="n"/>
      <c r="AF40" s="43" t="n"/>
      <c r="AG40" s="43" t="n"/>
      <c r="AH40" s="43" t="n"/>
      <c r="AI40" s="39" t="n"/>
      <c r="AJ40" s="43" t="n"/>
      <c r="AK40" s="43" t="n"/>
      <c r="AL40" s="21" t="n"/>
      <c r="AM40" s="21" t="n"/>
      <c r="AN40" s="21" t="n"/>
      <c r="AO40" s="43" t="n"/>
      <c r="AP40" s="43" t="n"/>
    </row>
    <row r="41" ht="15.75" customHeight="1" s="58">
      <c r="A41" s="3">
        <f>A40+1</f>
        <v/>
      </c>
      <c r="B41" s="6" t="n"/>
      <c r="C41" s="39" t="n"/>
      <c r="D41" s="39" t="n"/>
      <c r="E41" s="39" t="n"/>
      <c r="F41" s="55" t="n"/>
      <c r="G41" s="55" t="n"/>
      <c r="H41" s="55" t="n"/>
      <c r="I41" s="55" t="n"/>
      <c r="J41" s="55" t="n"/>
      <c r="K41" s="55" t="n"/>
      <c r="L41" s="55" t="n"/>
      <c r="M41" s="39" t="n"/>
      <c r="N41" s="39" t="n"/>
      <c r="O41" s="39" t="n"/>
      <c r="P41" s="39" t="n"/>
      <c r="Q41" s="12" t="n"/>
      <c r="R41" s="39" t="n"/>
      <c r="S41" s="39" t="n"/>
      <c r="T41" s="39" t="n"/>
      <c r="U41" s="39" t="n"/>
      <c r="V41" s="39" t="n"/>
      <c r="W41" s="39" t="n"/>
      <c r="X41" s="39" t="n"/>
      <c r="Y41" s="39" t="n"/>
      <c r="Z41" s="39" t="n"/>
      <c r="AA41" s="39" t="n"/>
      <c r="AB41" s="14" t="n"/>
      <c r="AC41" s="39" t="n"/>
      <c r="AD41" s="39" t="n"/>
      <c r="AE41" s="39" t="n"/>
      <c r="AF41" s="43" t="n"/>
      <c r="AG41" s="43" t="n"/>
      <c r="AH41" s="43" t="n"/>
      <c r="AI41" s="39" t="n"/>
      <c r="AJ41" s="43" t="n"/>
      <c r="AK41" s="43" t="n"/>
      <c r="AL41" s="21" t="n"/>
      <c r="AM41" s="21" t="n"/>
      <c r="AN41" s="21" t="n"/>
      <c r="AO41" s="43" t="n"/>
      <c r="AP41" s="43" t="n"/>
    </row>
    <row r="42" ht="15.75" customHeight="1" s="58">
      <c r="A42" s="3">
        <f>A41+1</f>
        <v/>
      </c>
      <c r="B42" s="6" t="n"/>
      <c r="C42" s="39" t="n"/>
      <c r="D42" s="39" t="n"/>
      <c r="E42" s="39" t="n"/>
      <c r="F42" s="55" t="n"/>
      <c r="G42" s="55" t="n"/>
      <c r="H42" s="55" t="n"/>
      <c r="I42" s="55" t="n"/>
      <c r="J42" s="55" t="n"/>
      <c r="K42" s="55" t="n"/>
      <c r="L42" s="55" t="n"/>
      <c r="M42" s="39" t="n"/>
      <c r="N42" s="39" t="n"/>
      <c r="O42" s="39" t="n"/>
      <c r="P42" s="39" t="n"/>
      <c r="Q42" s="12" t="n"/>
      <c r="R42" s="39" t="n"/>
      <c r="S42" s="39" t="n"/>
      <c r="T42" s="39" t="n"/>
      <c r="U42" s="39" t="n"/>
      <c r="V42" s="39" t="n"/>
      <c r="W42" s="39" t="n"/>
      <c r="X42" s="39" t="n"/>
      <c r="Y42" s="39" t="n"/>
      <c r="Z42" s="39" t="n"/>
      <c r="AA42" s="39" t="n"/>
      <c r="AB42" s="14" t="n"/>
      <c r="AC42" s="39" t="n"/>
      <c r="AD42" s="39" t="n"/>
      <c r="AE42" s="39" t="n"/>
      <c r="AF42" s="43" t="n"/>
      <c r="AG42" s="43" t="n"/>
      <c r="AH42" s="43" t="n"/>
      <c r="AI42" s="39" t="n"/>
      <c r="AJ42" s="43" t="n"/>
      <c r="AK42" s="43" t="n"/>
      <c r="AL42" s="21" t="n"/>
      <c r="AM42" s="21" t="n"/>
      <c r="AN42" s="21" t="n"/>
      <c r="AO42" s="43" t="n"/>
      <c r="AP42" s="43" t="n"/>
    </row>
    <row r="43" ht="15.75" customHeight="1" s="58">
      <c r="A43" s="3">
        <f>A42+1</f>
        <v/>
      </c>
      <c r="B43" s="6" t="n"/>
      <c r="C43" s="39" t="n"/>
      <c r="D43" s="39" t="n"/>
      <c r="E43" s="39" t="n"/>
      <c r="F43" s="55" t="n"/>
      <c r="G43" s="55" t="n"/>
      <c r="H43" s="55" t="n"/>
      <c r="I43" s="55" t="n"/>
      <c r="J43" s="55" t="n"/>
      <c r="K43" s="55" t="n"/>
      <c r="L43" s="55" t="n"/>
      <c r="M43" s="39" t="n"/>
      <c r="N43" s="39" t="n"/>
      <c r="O43" s="39" t="n"/>
      <c r="P43" s="39" t="n"/>
      <c r="Q43" s="12" t="n"/>
      <c r="R43" s="39" t="n"/>
      <c r="S43" s="39" t="n"/>
      <c r="T43" s="39" t="n"/>
      <c r="U43" s="39" t="n"/>
      <c r="V43" s="39" t="n"/>
      <c r="W43" s="39" t="n"/>
      <c r="X43" s="39" t="n"/>
      <c r="Y43" s="39" t="n"/>
      <c r="Z43" s="39" t="n"/>
      <c r="AA43" s="39" t="n"/>
      <c r="AB43" s="14" t="n"/>
      <c r="AC43" s="39" t="n"/>
      <c r="AD43" s="39" t="n"/>
      <c r="AE43" s="39" t="n"/>
      <c r="AF43" s="43" t="n"/>
      <c r="AG43" s="43" t="n"/>
      <c r="AH43" s="43" t="n"/>
      <c r="AI43" s="39" t="n"/>
      <c r="AJ43" s="43" t="n"/>
      <c r="AK43" s="43" t="n"/>
      <c r="AL43" s="21" t="n"/>
      <c r="AM43" s="21" t="n"/>
      <c r="AN43" s="21" t="n"/>
      <c r="AO43" s="43" t="n"/>
      <c r="AP43" s="43" t="n"/>
    </row>
    <row r="44" ht="15.75" customHeight="1" s="58">
      <c r="A44" s="3">
        <f>A43+1</f>
        <v/>
      </c>
      <c r="B44" s="6" t="n"/>
      <c r="C44" s="39" t="n"/>
      <c r="D44" s="39" t="n"/>
      <c r="E44" s="39" t="n"/>
      <c r="F44" s="55" t="n"/>
      <c r="G44" s="55" t="n"/>
      <c r="H44" s="55" t="n"/>
      <c r="I44" s="55" t="n"/>
      <c r="J44" s="55" t="n"/>
      <c r="K44" s="55" t="n"/>
      <c r="L44" s="55" t="n"/>
      <c r="M44" s="39" t="n"/>
      <c r="N44" s="39" t="n"/>
      <c r="O44" s="39" t="n"/>
      <c r="P44" s="39" t="n"/>
      <c r="Q44" s="12" t="n"/>
      <c r="R44" s="39" t="n"/>
      <c r="S44" s="39" t="n"/>
      <c r="T44" s="39" t="n"/>
      <c r="U44" s="39" t="n"/>
      <c r="V44" s="39" t="n"/>
      <c r="W44" s="39" t="n"/>
      <c r="X44" s="39" t="n"/>
      <c r="Y44" s="39" t="n"/>
      <c r="Z44" s="39" t="n"/>
      <c r="AA44" s="39" t="n"/>
      <c r="AB44" s="14" t="n"/>
      <c r="AC44" s="39" t="n"/>
      <c r="AD44" s="39" t="n"/>
      <c r="AE44" s="39" t="n"/>
      <c r="AF44" s="43" t="n"/>
      <c r="AG44" s="43" t="n"/>
      <c r="AH44" s="43" t="n"/>
      <c r="AI44" s="39" t="n"/>
      <c r="AJ44" s="43" t="n"/>
      <c r="AK44" s="43" t="n"/>
      <c r="AL44" s="21" t="n"/>
      <c r="AM44" s="21" t="n"/>
      <c r="AN44" s="21" t="n"/>
      <c r="AO44" s="43" t="n"/>
      <c r="AP44" s="43" t="n"/>
    </row>
    <row r="45" ht="15.75" customHeight="1" s="58">
      <c r="A45" s="3">
        <f>A44+1</f>
        <v/>
      </c>
      <c r="B45" s="6" t="n"/>
      <c r="C45" s="39" t="n"/>
      <c r="D45" s="39" t="n"/>
      <c r="E45" s="39" t="n"/>
      <c r="F45" s="55" t="n"/>
      <c r="G45" s="55" t="n"/>
      <c r="H45" s="55" t="n"/>
      <c r="I45" s="55" t="n"/>
      <c r="J45" s="55" t="n"/>
      <c r="K45" s="55" t="n"/>
      <c r="L45" s="55" t="n"/>
      <c r="M45" s="39" t="n"/>
      <c r="N45" s="39" t="n"/>
      <c r="O45" s="39" t="n"/>
      <c r="P45" s="39" t="n"/>
      <c r="Q45" s="12" t="n"/>
      <c r="R45" s="39" t="n"/>
      <c r="S45" s="39" t="n"/>
      <c r="T45" s="39" t="n"/>
      <c r="U45" s="39" t="n"/>
      <c r="V45" s="39" t="n"/>
      <c r="W45" s="39" t="n"/>
      <c r="X45" s="39" t="n"/>
      <c r="Y45" s="39" t="n"/>
      <c r="Z45" s="39" t="n"/>
      <c r="AA45" s="39" t="n"/>
      <c r="AB45" s="14" t="n"/>
      <c r="AC45" s="39" t="n"/>
      <c r="AD45" s="39" t="n"/>
      <c r="AE45" s="39" t="n"/>
      <c r="AF45" s="43" t="n"/>
      <c r="AG45" s="43" t="n"/>
      <c r="AH45" s="43" t="n"/>
      <c r="AI45" s="39" t="n"/>
      <c r="AJ45" s="43" t="n"/>
      <c r="AK45" s="43" t="n"/>
      <c r="AL45" s="21" t="n"/>
      <c r="AM45" s="21" t="n"/>
      <c r="AN45" s="21" t="n"/>
      <c r="AO45" s="43" t="n"/>
      <c r="AP45" s="43" t="n"/>
    </row>
    <row r="46" ht="15.75" customHeight="1" s="58">
      <c r="A46" s="3">
        <f>A45+1</f>
        <v/>
      </c>
      <c r="B46" s="6" t="n"/>
      <c r="C46" s="39" t="n"/>
      <c r="D46" s="39" t="n"/>
      <c r="E46" s="39" t="n"/>
      <c r="F46" s="55" t="n"/>
      <c r="G46" s="55" t="n"/>
      <c r="H46" s="55" t="n"/>
      <c r="I46" s="55" t="n"/>
      <c r="J46" s="55" t="n"/>
      <c r="K46" s="55" t="n"/>
      <c r="L46" s="55" t="n"/>
      <c r="M46" s="39" t="n"/>
      <c r="N46" s="39" t="n"/>
      <c r="O46" s="39" t="n"/>
      <c r="P46" s="39" t="n"/>
      <c r="Q46" s="12" t="n"/>
      <c r="R46" s="39" t="n"/>
      <c r="S46" s="39" t="n"/>
      <c r="T46" s="39" t="n"/>
      <c r="U46" s="39" t="n"/>
      <c r="V46" s="39" t="n"/>
      <c r="W46" s="39" t="n"/>
      <c r="X46" s="39" t="n"/>
      <c r="Y46" s="39" t="n"/>
      <c r="Z46" s="39" t="n"/>
      <c r="AA46" s="39" t="n"/>
      <c r="AB46" s="14" t="n"/>
      <c r="AC46" s="39" t="n"/>
      <c r="AD46" s="39" t="n"/>
      <c r="AE46" s="39" t="n"/>
      <c r="AF46" s="43" t="n"/>
      <c r="AG46" s="43" t="n"/>
      <c r="AH46" s="43" t="n"/>
      <c r="AI46" s="39" t="n"/>
      <c r="AJ46" s="43" t="n"/>
      <c r="AK46" s="43" t="n"/>
      <c r="AL46" s="21" t="n"/>
      <c r="AM46" s="21" t="n"/>
      <c r="AN46" s="21" t="n"/>
      <c r="AO46" s="43" t="n"/>
      <c r="AP46" s="43" t="n"/>
    </row>
    <row r="47" ht="15.75" customHeight="1" s="58">
      <c r="A47" s="3">
        <f>A46+1</f>
        <v/>
      </c>
      <c r="B47" s="6" t="n"/>
      <c r="C47" s="39" t="n"/>
      <c r="D47" s="39" t="n"/>
      <c r="E47" s="39" t="n"/>
      <c r="F47" s="55" t="n"/>
      <c r="G47" s="55" t="n"/>
      <c r="H47" s="55" t="n"/>
      <c r="I47" s="55" t="n"/>
      <c r="J47" s="55" t="n"/>
      <c r="K47" s="55" t="n"/>
      <c r="L47" s="55" t="n"/>
      <c r="M47" s="39" t="n"/>
      <c r="N47" s="39" t="n"/>
      <c r="O47" s="39" t="n"/>
      <c r="P47" s="39" t="n"/>
      <c r="Q47" s="12" t="n"/>
      <c r="R47" s="39" t="n"/>
      <c r="S47" s="39" t="n"/>
      <c r="T47" s="39" t="n"/>
      <c r="U47" s="39" t="n"/>
      <c r="V47" s="39" t="n"/>
      <c r="W47" s="39" t="n"/>
      <c r="X47" s="39" t="n"/>
      <c r="Y47" s="39" t="n"/>
      <c r="Z47" s="39" t="n"/>
      <c r="AA47" s="39" t="n"/>
      <c r="AB47" s="14" t="n"/>
      <c r="AC47" s="39" t="n"/>
      <c r="AD47" s="39" t="n"/>
      <c r="AE47" s="39" t="n"/>
      <c r="AF47" s="43" t="n"/>
      <c r="AG47" s="43" t="n"/>
      <c r="AH47" s="43" t="n"/>
      <c r="AI47" s="39" t="n"/>
      <c r="AJ47" s="43" t="n"/>
      <c r="AK47" s="43" t="n"/>
      <c r="AL47" s="21" t="n"/>
      <c r="AM47" s="21" t="n"/>
      <c r="AN47" s="21" t="n"/>
      <c r="AO47" s="43" t="n"/>
      <c r="AP47" s="43" t="n"/>
    </row>
    <row r="48" ht="15.75" customHeight="1" s="58">
      <c r="A48" s="3">
        <f>A47+1</f>
        <v/>
      </c>
      <c r="B48" s="6" t="n"/>
      <c r="C48" s="39" t="n"/>
      <c r="D48" s="39" t="n"/>
      <c r="E48" s="39" t="n"/>
      <c r="F48" s="55" t="n"/>
      <c r="G48" s="55" t="n"/>
      <c r="H48" s="55" t="n"/>
      <c r="I48" s="55" t="n"/>
      <c r="J48" s="55" t="n"/>
      <c r="K48" s="55" t="n"/>
      <c r="L48" s="55" t="n"/>
      <c r="M48" s="39" t="n"/>
      <c r="N48" s="39" t="n"/>
      <c r="O48" s="39" t="n"/>
      <c r="P48" s="39" t="n"/>
      <c r="Q48" s="12" t="n"/>
      <c r="R48" s="39" t="n"/>
      <c r="S48" s="39" t="n"/>
      <c r="T48" s="39" t="n"/>
      <c r="U48" s="39" t="n"/>
      <c r="V48" s="39" t="n"/>
      <c r="W48" s="39" t="n"/>
      <c r="X48" s="39" t="n"/>
      <c r="Y48" s="39" t="n"/>
      <c r="Z48" s="39" t="n"/>
      <c r="AA48" s="39" t="n"/>
      <c r="AB48" s="14" t="n"/>
      <c r="AC48" s="39" t="n"/>
      <c r="AD48" s="39" t="n"/>
      <c r="AE48" s="39" t="n"/>
      <c r="AF48" s="43" t="n"/>
      <c r="AG48" s="43" t="n"/>
      <c r="AH48" s="43" t="n"/>
      <c r="AI48" s="39" t="n"/>
      <c r="AJ48" s="43" t="n"/>
      <c r="AK48" s="43" t="n"/>
      <c r="AL48" s="21" t="n"/>
      <c r="AM48" s="21" t="n"/>
      <c r="AN48" s="21" t="n"/>
      <c r="AO48" s="43" t="n"/>
      <c r="AP48" s="43" t="n"/>
    </row>
    <row r="49" ht="15.75" customHeight="1" s="58">
      <c r="A49" s="3">
        <f>A48+1</f>
        <v/>
      </c>
      <c r="B49" s="6" t="n"/>
      <c r="C49" s="39" t="n"/>
      <c r="D49" s="39" t="n"/>
      <c r="E49" s="39" t="n"/>
      <c r="F49" s="55" t="n"/>
      <c r="G49" s="55" t="n"/>
      <c r="H49" s="55" t="n"/>
      <c r="I49" s="55" t="n"/>
      <c r="J49" s="55" t="n"/>
      <c r="K49" s="55" t="n"/>
      <c r="L49" s="55" t="n"/>
      <c r="M49" s="39" t="n"/>
      <c r="N49" s="39" t="n"/>
      <c r="O49" s="39" t="n"/>
      <c r="P49" s="39" t="n"/>
      <c r="Q49" s="12" t="n"/>
      <c r="R49" s="39" t="n"/>
      <c r="S49" s="39" t="n"/>
      <c r="T49" s="39" t="n"/>
      <c r="U49" s="39" t="n"/>
      <c r="V49" s="39" t="n"/>
      <c r="W49" s="39" t="n"/>
      <c r="X49" s="39" t="n"/>
      <c r="Y49" s="39" t="n"/>
      <c r="Z49" s="39" t="n"/>
      <c r="AA49" s="39" t="n"/>
      <c r="AB49" s="14" t="n"/>
      <c r="AC49" s="39" t="n"/>
      <c r="AD49" s="39" t="n"/>
      <c r="AE49" s="39" t="n"/>
      <c r="AF49" s="43" t="n"/>
      <c r="AG49" s="43" t="n"/>
      <c r="AH49" s="43" t="n"/>
      <c r="AI49" s="39" t="n"/>
      <c r="AJ49" s="43" t="n"/>
      <c r="AK49" s="43" t="n"/>
      <c r="AL49" s="21" t="n"/>
      <c r="AM49" s="21" t="n"/>
      <c r="AN49" s="21" t="n"/>
      <c r="AO49" s="43" t="n"/>
      <c r="AP49" s="43" t="n"/>
    </row>
    <row r="50" ht="15.75" customHeight="1" s="58">
      <c r="A50" s="3">
        <f>A49+1</f>
        <v/>
      </c>
      <c r="B50" s="6" t="n"/>
      <c r="C50" s="39" t="n"/>
      <c r="D50" s="39" t="n"/>
      <c r="E50" s="39" t="n"/>
      <c r="F50" s="55" t="n"/>
      <c r="G50" s="55" t="n"/>
      <c r="H50" s="55" t="n"/>
      <c r="I50" s="55" t="n"/>
      <c r="J50" s="55" t="n"/>
      <c r="K50" s="55" t="n"/>
      <c r="L50" s="55" t="n"/>
      <c r="M50" s="39" t="n"/>
      <c r="N50" s="39" t="n"/>
      <c r="O50" s="39" t="n"/>
      <c r="P50" s="39" t="n"/>
      <c r="Q50" s="12" t="n"/>
      <c r="R50" s="39" t="n"/>
      <c r="S50" s="39" t="n"/>
      <c r="T50" s="39" t="n"/>
      <c r="U50" s="39" t="n"/>
      <c r="V50" s="39" t="n"/>
      <c r="W50" s="39" t="n"/>
      <c r="X50" s="39" t="n"/>
      <c r="Y50" s="39" t="n"/>
      <c r="Z50" s="39" t="n"/>
      <c r="AA50" s="39" t="n"/>
      <c r="AB50" s="14" t="n"/>
      <c r="AC50" s="39" t="n"/>
      <c r="AD50" s="39" t="n"/>
      <c r="AE50" s="39" t="n"/>
      <c r="AF50" s="43" t="n"/>
      <c r="AG50" s="43" t="n"/>
      <c r="AH50" s="43" t="n"/>
      <c r="AI50" s="39" t="n"/>
      <c r="AJ50" s="43" t="n"/>
      <c r="AK50" s="43" t="n"/>
      <c r="AL50" s="21" t="n"/>
      <c r="AM50" s="21" t="n"/>
      <c r="AN50" s="21" t="n"/>
      <c r="AO50" s="43" t="n"/>
      <c r="AP50" s="43" t="n"/>
    </row>
    <row r="51" ht="15.75" customHeight="1" s="58">
      <c r="A51" s="3">
        <f>A50+1</f>
        <v/>
      </c>
      <c r="B51" s="6" t="n"/>
      <c r="C51" s="39" t="n"/>
      <c r="D51" s="39" t="n"/>
      <c r="E51" s="39" t="n"/>
      <c r="F51" s="55" t="n"/>
      <c r="G51" s="55" t="n"/>
      <c r="H51" s="55" t="n"/>
      <c r="I51" s="55" t="n"/>
      <c r="J51" s="55" t="n"/>
      <c r="K51" s="55" t="n"/>
      <c r="L51" s="55" t="n"/>
      <c r="M51" s="39" t="n"/>
      <c r="N51" s="39" t="n"/>
      <c r="O51" s="39" t="n"/>
      <c r="P51" s="39" t="n"/>
      <c r="Q51" s="12" t="n"/>
      <c r="R51" s="39" t="n"/>
      <c r="S51" s="39" t="n"/>
      <c r="T51" s="39" t="n"/>
      <c r="U51" s="39" t="n"/>
      <c r="V51" s="39" t="n"/>
      <c r="W51" s="39" t="n"/>
      <c r="X51" s="39" t="n"/>
      <c r="Y51" s="39" t="n"/>
      <c r="Z51" s="39" t="n"/>
      <c r="AA51" s="39" t="n"/>
      <c r="AB51" s="14" t="n"/>
      <c r="AC51" s="39" t="n"/>
      <c r="AD51" s="39" t="n"/>
      <c r="AE51" s="39" t="n"/>
      <c r="AF51" s="43" t="n"/>
      <c r="AG51" s="43" t="n"/>
      <c r="AH51" s="43" t="n"/>
      <c r="AI51" s="39" t="n"/>
      <c r="AJ51" s="43" t="n"/>
      <c r="AK51" s="43" t="n"/>
      <c r="AL51" s="21" t="n"/>
      <c r="AM51" s="21" t="n"/>
      <c r="AN51" s="21" t="n"/>
      <c r="AO51" s="43" t="n"/>
      <c r="AP51" s="43" t="n"/>
    </row>
    <row r="52" ht="15.75" customHeight="1" s="58">
      <c r="A52" s="3">
        <f>A51+1</f>
        <v/>
      </c>
      <c r="B52" s="6" t="n"/>
      <c r="C52" s="39" t="n"/>
      <c r="D52" s="39" t="n"/>
      <c r="E52" s="39" t="n"/>
      <c r="F52" s="55" t="n"/>
      <c r="G52" s="55" t="n"/>
      <c r="H52" s="55" t="n"/>
      <c r="I52" s="55" t="n"/>
      <c r="J52" s="55" t="n"/>
      <c r="K52" s="55" t="n"/>
      <c r="L52" s="55" t="n"/>
      <c r="M52" s="39" t="n"/>
      <c r="N52" s="39" t="n"/>
      <c r="O52" s="39" t="n"/>
      <c r="P52" s="39" t="n"/>
      <c r="Q52" s="12" t="n"/>
      <c r="R52" s="39" t="n"/>
      <c r="S52" s="39" t="n"/>
      <c r="T52" s="39" t="n"/>
      <c r="U52" s="39" t="n"/>
      <c r="V52" s="39" t="n"/>
      <c r="W52" s="39" t="n"/>
      <c r="X52" s="39" t="n"/>
      <c r="Y52" s="39" t="n"/>
      <c r="Z52" s="39" t="n"/>
      <c r="AA52" s="39" t="n"/>
      <c r="AB52" s="14" t="n"/>
      <c r="AC52" s="39" t="n"/>
      <c r="AD52" s="39" t="n"/>
      <c r="AE52" s="39" t="n"/>
      <c r="AF52" s="43" t="n"/>
      <c r="AG52" s="43" t="n"/>
      <c r="AH52" s="43" t="n"/>
      <c r="AI52" s="39" t="n"/>
      <c r="AJ52" s="43" t="n"/>
      <c r="AK52" s="43" t="n"/>
      <c r="AL52" s="21" t="n"/>
      <c r="AM52" s="21" t="n"/>
      <c r="AN52" s="21" t="n"/>
      <c r="AO52" s="43" t="n"/>
      <c r="AP52" s="43" t="n"/>
    </row>
    <row r="53" ht="15.75" customHeight="1" s="58">
      <c r="A53" s="3">
        <f>A52+1</f>
        <v/>
      </c>
      <c r="B53" s="6" t="n"/>
      <c r="C53" s="39" t="n"/>
      <c r="D53" s="39" t="n"/>
      <c r="E53" s="39" t="n"/>
      <c r="F53" s="55" t="n"/>
      <c r="G53" s="55" t="n"/>
      <c r="H53" s="55" t="n"/>
      <c r="I53" s="55" t="n"/>
      <c r="J53" s="55" t="n"/>
      <c r="K53" s="55" t="n"/>
      <c r="L53" s="55" t="n"/>
      <c r="M53" s="39" t="n"/>
      <c r="N53" s="39" t="n"/>
      <c r="O53" s="39" t="n"/>
      <c r="P53" s="39" t="n"/>
      <c r="Q53" s="12" t="n"/>
      <c r="R53" s="39" t="n"/>
      <c r="S53" s="39" t="n"/>
      <c r="T53" s="39" t="n"/>
      <c r="U53" s="39" t="n"/>
      <c r="V53" s="39" t="n"/>
      <c r="W53" s="39" t="n"/>
      <c r="X53" s="39" t="n"/>
      <c r="Y53" s="39" t="n"/>
      <c r="Z53" s="39" t="n"/>
      <c r="AA53" s="39" t="n"/>
      <c r="AB53" s="14" t="n"/>
      <c r="AC53" s="39" t="n"/>
      <c r="AD53" s="39" t="n"/>
      <c r="AE53" s="39" t="n"/>
      <c r="AF53" s="43" t="n"/>
      <c r="AG53" s="43" t="n"/>
      <c r="AH53" s="43" t="n"/>
      <c r="AI53" s="39" t="n"/>
      <c r="AJ53" s="43" t="n"/>
      <c r="AK53" s="43" t="n"/>
      <c r="AL53" s="21" t="n"/>
      <c r="AM53" s="21" t="n"/>
      <c r="AN53" s="21" t="n"/>
      <c r="AO53" s="43" t="n"/>
      <c r="AP53" s="43" t="n"/>
    </row>
    <row r="54" ht="15.75" customHeight="1" s="58">
      <c r="A54" s="3">
        <f>A53+1</f>
        <v/>
      </c>
      <c r="B54" s="6" t="n"/>
      <c r="C54" s="39" t="n"/>
      <c r="D54" s="39" t="n"/>
      <c r="E54" s="39" t="n"/>
      <c r="F54" s="55" t="n"/>
      <c r="G54" s="55" t="n"/>
      <c r="H54" s="55" t="n"/>
      <c r="I54" s="55" t="n"/>
      <c r="J54" s="55" t="n"/>
      <c r="K54" s="55" t="n"/>
      <c r="L54" s="55" t="n"/>
      <c r="M54" s="39" t="n"/>
      <c r="N54" s="39" t="n"/>
      <c r="O54" s="39" t="n"/>
      <c r="P54" s="39" t="n"/>
      <c r="Q54" s="12" t="n"/>
      <c r="R54" s="39" t="n"/>
      <c r="S54" s="39" t="n"/>
      <c r="T54" s="39" t="n"/>
      <c r="U54" s="39" t="n"/>
      <c r="V54" s="39" t="n"/>
      <c r="W54" s="39" t="n"/>
      <c r="X54" s="39" t="n"/>
      <c r="Y54" s="39" t="n"/>
      <c r="Z54" s="39" t="n"/>
      <c r="AA54" s="39" t="n"/>
      <c r="AB54" s="14" t="n"/>
      <c r="AC54" s="39" t="n"/>
      <c r="AD54" s="39" t="n"/>
      <c r="AE54" s="39" t="n"/>
      <c r="AF54" s="43" t="n"/>
      <c r="AG54" s="43" t="n"/>
      <c r="AH54" s="43" t="n"/>
      <c r="AI54" s="39" t="n"/>
      <c r="AJ54" s="43" t="n"/>
      <c r="AK54" s="43" t="n"/>
      <c r="AL54" s="21" t="n"/>
      <c r="AM54" s="21" t="n"/>
      <c r="AN54" s="21" t="n"/>
      <c r="AO54" s="43" t="n"/>
      <c r="AP54" s="43" t="n"/>
    </row>
    <row r="55" ht="15.75" customHeight="1" s="58">
      <c r="A55" s="3">
        <f>A54+1</f>
        <v/>
      </c>
      <c r="B55" s="6" t="n"/>
      <c r="C55" s="39" t="n"/>
      <c r="D55" s="39" t="n"/>
      <c r="E55" s="39" t="n"/>
      <c r="F55" s="55" t="n"/>
      <c r="G55" s="55" t="n"/>
      <c r="H55" s="55" t="n"/>
      <c r="I55" s="55" t="n"/>
      <c r="J55" s="55" t="n"/>
      <c r="K55" s="55" t="n"/>
      <c r="L55" s="55" t="n"/>
      <c r="M55" s="39" t="n"/>
      <c r="N55" s="39" t="n"/>
      <c r="O55" s="39" t="n"/>
      <c r="P55" s="39" t="n"/>
      <c r="Q55" s="12" t="n"/>
      <c r="R55" s="39" t="n"/>
      <c r="S55" s="39" t="n"/>
      <c r="T55" s="39" t="n"/>
      <c r="U55" s="39" t="n"/>
      <c r="V55" s="39" t="n"/>
      <c r="W55" s="39" t="n"/>
      <c r="X55" s="39" t="n"/>
      <c r="Y55" s="39" t="n"/>
      <c r="Z55" s="39" t="n"/>
      <c r="AA55" s="39" t="n"/>
      <c r="AB55" s="14" t="n"/>
      <c r="AC55" s="39" t="n"/>
      <c r="AD55" s="39" t="n"/>
      <c r="AE55" s="39" t="n"/>
      <c r="AF55" s="43" t="n"/>
      <c r="AG55" s="43" t="n"/>
      <c r="AH55" s="43" t="n"/>
      <c r="AI55" s="39" t="n"/>
      <c r="AJ55" s="43" t="n"/>
      <c r="AK55" s="43" t="n"/>
      <c r="AL55" s="21" t="n"/>
      <c r="AM55" s="21" t="n"/>
      <c r="AN55" s="21" t="n"/>
      <c r="AO55" s="43" t="n"/>
      <c r="AP55" s="43" t="n"/>
    </row>
    <row r="56" ht="15.75" customHeight="1" s="58">
      <c r="A56" s="3">
        <f>A55+1</f>
        <v/>
      </c>
      <c r="B56" s="6" t="n"/>
      <c r="C56" s="39" t="n"/>
      <c r="D56" s="39" t="n"/>
      <c r="E56" s="39" t="n"/>
      <c r="F56" s="55" t="n"/>
      <c r="G56" s="55" t="n"/>
      <c r="H56" s="55" t="n"/>
      <c r="I56" s="55" t="n"/>
      <c r="J56" s="55" t="n"/>
      <c r="K56" s="55" t="n"/>
      <c r="L56" s="55" t="n"/>
      <c r="M56" s="39" t="n"/>
      <c r="N56" s="39" t="n"/>
      <c r="O56" s="39" t="n"/>
      <c r="P56" s="39" t="n"/>
      <c r="Q56" s="12" t="n"/>
      <c r="R56" s="39" t="n"/>
      <c r="S56" s="39" t="n"/>
      <c r="T56" s="39" t="n"/>
      <c r="U56" s="39" t="n"/>
      <c r="V56" s="39" t="n"/>
      <c r="W56" s="39" t="n"/>
      <c r="X56" s="39" t="n"/>
      <c r="Y56" s="39" t="n"/>
      <c r="Z56" s="39" t="n"/>
      <c r="AA56" s="39" t="n"/>
      <c r="AB56" s="14" t="n"/>
      <c r="AC56" s="39" t="n"/>
      <c r="AD56" s="39" t="n"/>
      <c r="AE56" s="39" t="n"/>
      <c r="AF56" s="43" t="n"/>
      <c r="AG56" s="43" t="n"/>
      <c r="AH56" s="43" t="n"/>
      <c r="AI56" s="39" t="n"/>
      <c r="AJ56" s="43" t="n"/>
      <c r="AK56" s="43" t="n"/>
      <c r="AL56" s="21" t="n"/>
      <c r="AM56" s="21" t="n"/>
      <c r="AN56" s="21" t="n"/>
      <c r="AO56" s="43" t="n"/>
      <c r="AP56" s="43" t="n"/>
    </row>
    <row r="57" ht="15.75" customHeight="1" s="58">
      <c r="A57" s="3">
        <f>A56+1</f>
        <v/>
      </c>
      <c r="B57" s="6" t="n"/>
      <c r="C57" s="39" t="n"/>
      <c r="D57" s="39" t="n"/>
      <c r="E57" s="39" t="n"/>
      <c r="F57" s="55" t="n"/>
      <c r="G57" s="55" t="n"/>
      <c r="H57" s="55" t="n"/>
      <c r="I57" s="55" t="n"/>
      <c r="J57" s="55" t="n"/>
      <c r="K57" s="55" t="n"/>
      <c r="L57" s="55" t="n"/>
      <c r="M57" s="39" t="n"/>
      <c r="N57" s="39" t="n"/>
      <c r="O57" s="39" t="n"/>
      <c r="P57" s="39" t="n"/>
      <c r="Q57" s="12" t="n"/>
      <c r="R57" s="39" t="n"/>
      <c r="S57" s="39" t="n"/>
      <c r="T57" s="39" t="n"/>
      <c r="U57" s="39" t="n"/>
      <c r="V57" s="39" t="n"/>
      <c r="W57" s="39" t="n"/>
      <c r="X57" s="39" t="n"/>
      <c r="Y57" s="39" t="n"/>
      <c r="Z57" s="39" t="n"/>
      <c r="AA57" s="39" t="n"/>
      <c r="AB57" s="14" t="n"/>
      <c r="AC57" s="39" t="n"/>
      <c r="AD57" s="39" t="n"/>
      <c r="AE57" s="39" t="n"/>
      <c r="AF57" s="43" t="n"/>
      <c r="AG57" s="43" t="n"/>
      <c r="AH57" s="43" t="n"/>
      <c r="AI57" s="39" t="n"/>
      <c r="AJ57" s="43" t="n"/>
      <c r="AK57" s="43" t="n"/>
      <c r="AL57" s="21" t="n"/>
      <c r="AM57" s="21" t="n"/>
      <c r="AN57" s="21" t="n"/>
      <c r="AO57" s="43" t="n"/>
      <c r="AP57" s="43" t="n"/>
    </row>
    <row r="58" ht="15.75" customHeight="1" s="58">
      <c r="A58" s="3">
        <f>A57+1</f>
        <v/>
      </c>
      <c r="B58" s="6" t="n"/>
      <c r="C58" s="39" t="n"/>
      <c r="D58" s="39" t="n"/>
      <c r="E58" s="39" t="n"/>
      <c r="F58" s="55" t="n"/>
      <c r="G58" s="55" t="n"/>
      <c r="H58" s="55" t="n"/>
      <c r="I58" s="55" t="n"/>
      <c r="J58" s="55" t="n"/>
      <c r="K58" s="55" t="n"/>
      <c r="L58" s="55" t="n"/>
      <c r="M58" s="39" t="n"/>
      <c r="N58" s="39" t="n"/>
      <c r="O58" s="39" t="n"/>
      <c r="P58" s="39" t="n"/>
      <c r="Q58" s="12" t="n"/>
      <c r="R58" s="39" t="n"/>
      <c r="S58" s="39" t="n"/>
      <c r="T58" s="39" t="n"/>
      <c r="U58" s="39" t="n"/>
      <c r="V58" s="39" t="n"/>
      <c r="W58" s="39" t="n"/>
      <c r="X58" s="39" t="n"/>
      <c r="Y58" s="39" t="n"/>
      <c r="Z58" s="39" t="n"/>
      <c r="AA58" s="39" t="n"/>
      <c r="AB58" s="14" t="n"/>
      <c r="AC58" s="39" t="n"/>
      <c r="AD58" s="39" t="n"/>
      <c r="AE58" s="39" t="n"/>
      <c r="AF58" s="43" t="n"/>
      <c r="AG58" s="43" t="n"/>
      <c r="AH58" s="43" t="n"/>
      <c r="AI58" s="39" t="n"/>
      <c r="AJ58" s="43" t="n"/>
      <c r="AK58" s="43" t="n"/>
      <c r="AL58" s="21" t="n"/>
      <c r="AM58" s="21" t="n"/>
      <c r="AN58" s="21" t="n"/>
      <c r="AO58" s="43" t="n"/>
      <c r="AP58" s="43" t="n"/>
    </row>
    <row r="59" ht="15.75" customHeight="1" s="58">
      <c r="A59" s="3">
        <f>A58+1</f>
        <v/>
      </c>
      <c r="B59" s="6" t="n"/>
      <c r="C59" s="39" t="n"/>
      <c r="D59" s="39" t="n"/>
      <c r="E59" s="39" t="n"/>
      <c r="F59" s="55" t="n"/>
      <c r="G59" s="55" t="n"/>
      <c r="H59" s="55" t="n"/>
      <c r="I59" s="55" t="n"/>
      <c r="J59" s="55" t="n"/>
      <c r="K59" s="55" t="n"/>
      <c r="L59" s="55" t="n"/>
      <c r="M59" s="39" t="n"/>
      <c r="N59" s="39" t="n"/>
      <c r="O59" s="39" t="n"/>
      <c r="P59" s="39" t="n"/>
      <c r="Q59" s="12" t="n"/>
      <c r="R59" s="39" t="n"/>
      <c r="S59" s="39" t="n"/>
      <c r="T59" s="39" t="n"/>
      <c r="U59" s="39" t="n"/>
      <c r="V59" s="39" t="n"/>
      <c r="W59" s="39" t="n"/>
      <c r="X59" s="39" t="n"/>
      <c r="Y59" s="39" t="n"/>
      <c r="Z59" s="39" t="n"/>
      <c r="AA59" s="39" t="n"/>
      <c r="AB59" s="14" t="n"/>
      <c r="AC59" s="39" t="n"/>
      <c r="AD59" s="39" t="n"/>
      <c r="AE59" s="39" t="n"/>
      <c r="AF59" s="43" t="n"/>
      <c r="AG59" s="43" t="n"/>
      <c r="AH59" s="43" t="n"/>
      <c r="AI59" s="39" t="n"/>
      <c r="AJ59" s="43" t="n"/>
      <c r="AK59" s="43" t="n"/>
      <c r="AL59" s="21" t="n"/>
      <c r="AM59" s="21" t="n"/>
      <c r="AN59" s="21" t="n"/>
      <c r="AO59" s="43" t="n"/>
      <c r="AP59" s="43" t="n"/>
    </row>
    <row r="60" ht="15.75" customHeight="1" s="58">
      <c r="A60" s="3">
        <f>A59+1</f>
        <v/>
      </c>
      <c r="B60" s="6" t="n"/>
      <c r="C60" s="39" t="n"/>
      <c r="D60" s="39" t="n"/>
      <c r="E60" s="39" t="n"/>
      <c r="F60" s="55" t="n"/>
      <c r="G60" s="55" t="n"/>
      <c r="H60" s="55" t="n"/>
      <c r="I60" s="55" t="n"/>
      <c r="J60" s="55" t="n"/>
      <c r="K60" s="55" t="n"/>
      <c r="L60" s="55" t="n"/>
      <c r="M60" s="39" t="n"/>
      <c r="N60" s="39" t="n"/>
      <c r="O60" s="39" t="n"/>
      <c r="P60" s="39" t="n"/>
      <c r="Q60" s="12" t="n"/>
      <c r="R60" s="39" t="n"/>
      <c r="S60" s="39" t="n"/>
      <c r="T60" s="39" t="n"/>
      <c r="U60" s="39" t="n"/>
      <c r="V60" s="39" t="n"/>
      <c r="W60" s="39" t="n"/>
      <c r="X60" s="39" t="n"/>
      <c r="Y60" s="39" t="n"/>
      <c r="Z60" s="39" t="n"/>
      <c r="AA60" s="39" t="n"/>
      <c r="AB60" s="14" t="n"/>
      <c r="AC60" s="39" t="n"/>
      <c r="AD60" s="39" t="n"/>
      <c r="AE60" s="39" t="n"/>
      <c r="AF60" s="43" t="n"/>
      <c r="AG60" s="43" t="n"/>
      <c r="AH60" s="43" t="n"/>
      <c r="AI60" s="39" t="n"/>
      <c r="AJ60" s="43" t="n"/>
      <c r="AK60" s="43" t="n"/>
      <c r="AL60" s="21" t="n"/>
      <c r="AM60" s="21" t="n"/>
      <c r="AN60" s="21" t="n"/>
      <c r="AO60" s="43" t="n"/>
      <c r="AP60" s="43" t="n"/>
    </row>
    <row r="61" ht="15.75" customHeight="1" s="58">
      <c r="A61" s="3">
        <f>A60+1</f>
        <v/>
      </c>
      <c r="B61" s="6" t="n"/>
      <c r="C61" s="39" t="n"/>
      <c r="D61" s="39" t="n"/>
      <c r="E61" s="39" t="n"/>
      <c r="F61" s="55" t="n"/>
      <c r="G61" s="55" t="n"/>
      <c r="H61" s="55" t="n"/>
      <c r="I61" s="55" t="n"/>
      <c r="J61" s="55" t="n"/>
      <c r="K61" s="55" t="n"/>
      <c r="L61" s="55" t="n"/>
      <c r="M61" s="39" t="n"/>
      <c r="N61" s="39" t="n"/>
      <c r="O61" s="39" t="n"/>
      <c r="P61" s="39" t="n"/>
      <c r="Q61" s="12" t="n"/>
      <c r="R61" s="39" t="n"/>
      <c r="S61" s="39" t="n"/>
      <c r="T61" s="39" t="n"/>
      <c r="U61" s="39" t="n"/>
      <c r="V61" s="39" t="n"/>
      <c r="W61" s="39" t="n"/>
      <c r="X61" s="39" t="n"/>
      <c r="Y61" s="39" t="n"/>
      <c r="Z61" s="39" t="n"/>
      <c r="AA61" s="39" t="n"/>
      <c r="AB61" s="14" t="n"/>
      <c r="AC61" s="39" t="n"/>
      <c r="AD61" s="39" t="n"/>
      <c r="AE61" s="39" t="n"/>
      <c r="AF61" s="43" t="n"/>
      <c r="AG61" s="43" t="n"/>
      <c r="AH61" s="43" t="n"/>
      <c r="AI61" s="39" t="n"/>
      <c r="AJ61" s="43" t="n"/>
      <c r="AK61" s="43" t="n"/>
      <c r="AL61" s="21" t="n"/>
      <c r="AM61" s="21" t="n"/>
      <c r="AN61" s="21" t="n"/>
      <c r="AO61" s="43" t="n"/>
      <c r="AP61" s="43" t="n"/>
    </row>
  </sheetData>
  <dataValidations count="3">
    <dataValidation sqref="N2:N61" showDropDown="1" showInputMessage="0" showErrorMessage="1" allowBlank="1" type="list">
      <formula1>"Não,Sim"</formula1>
    </dataValidation>
    <dataValidation sqref="M2:M61" showDropDown="1" showInputMessage="0" showErrorMessage="1" allowBlank="1" type="list">
      <formula1>"Encerrado,Em Aberto,Aguardando resposta"</formula1>
    </dataValidation>
    <dataValidation sqref="O2:P61" showDropDown="1" showInputMessage="0" showErrorMessage="1" allowBlank="1" type="list">
      <formula1>"Sim,Não"</formula1>
    </dataValidation>
  </dataValidations>
  <hyperlinks>
    <hyperlink xmlns:r="http://schemas.openxmlformats.org/officeDocument/2006/relationships" ref="G2" location="gid=0" r:id="rId1"/>
    <hyperlink xmlns:r="http://schemas.openxmlformats.org/officeDocument/2006/relationships" ref="G3" location="gid=0" r:id="rId2"/>
    <hyperlink xmlns:r="http://schemas.openxmlformats.org/officeDocument/2006/relationships" ref="G4" location="gid=0" r:id="rId3"/>
    <hyperlink xmlns:r="http://schemas.openxmlformats.org/officeDocument/2006/relationships" ref="G5" location="gid=0" r:id="rId4"/>
    <hyperlink xmlns:r="http://schemas.openxmlformats.org/officeDocument/2006/relationships" ref="G6" location="gid=0" r:id="rId5"/>
    <hyperlink xmlns:r="http://schemas.openxmlformats.org/officeDocument/2006/relationships" ref="G7" location="gid=0" r:id="rId6"/>
    <hyperlink xmlns:r="http://schemas.openxmlformats.org/officeDocument/2006/relationships" ref="G8" location="gid=0" r:id="rId7"/>
    <hyperlink xmlns:r="http://schemas.openxmlformats.org/officeDocument/2006/relationships" ref="G9" location="gid=0" r:id="rId8"/>
    <hyperlink xmlns:r="http://schemas.openxmlformats.org/officeDocument/2006/relationships" ref="G10" location="gid=0" r:id="rId9"/>
    <hyperlink xmlns:r="http://schemas.openxmlformats.org/officeDocument/2006/relationships" ref="G11" location="gid=0" r:id="rId10"/>
    <hyperlink xmlns:r="http://schemas.openxmlformats.org/officeDocument/2006/relationships" ref="G12" location="gid=0" r:id="rId11"/>
    <hyperlink xmlns:r="http://schemas.openxmlformats.org/officeDocument/2006/relationships" ref="G13" location="gid=0" r:id="rId12"/>
    <hyperlink xmlns:r="http://schemas.openxmlformats.org/officeDocument/2006/relationships" ref="G14" location="gid=0" r:id="rId13"/>
    <hyperlink xmlns:r="http://schemas.openxmlformats.org/officeDocument/2006/relationships" ref="G15" location="gid=0" r:id="rId14"/>
    <hyperlink xmlns:r="http://schemas.openxmlformats.org/officeDocument/2006/relationships" ref="G16" location="gid=0" r:id="rId15"/>
    <hyperlink xmlns:r="http://schemas.openxmlformats.org/officeDocument/2006/relationships" ref="G17" location="gid=0" r:id="rId16"/>
    <hyperlink xmlns:r="http://schemas.openxmlformats.org/officeDocument/2006/relationships" ref="G18" location="gid=0" r:id="rId17"/>
    <hyperlink xmlns:r="http://schemas.openxmlformats.org/officeDocument/2006/relationships" ref="G27" location="gid=0" r:id="rId18"/>
    <hyperlink xmlns:r="http://schemas.openxmlformats.org/officeDocument/2006/relationships" ref="G28" location="gid=0" r:id="rId19"/>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style="58" min="1" max="1"/>
    <col width="58" customWidth="1" style="58" min="2" max="2"/>
    <col width="52" customWidth="1" style="58" min="3" max="3"/>
    <col width="60" customWidth="1" style="58" min="4" max="4"/>
    <col width="52" customWidth="1" style="58" min="5" max="5"/>
    <col width="44" customWidth="1" style="58" min="6" max="6"/>
    <col width="18" customWidth="1" style="58" min="7" max="7"/>
  </cols>
  <sheetData>
    <row r="1">
      <c r="A1" s="101" t="inlineStr">
        <is>
          <t>ID</t>
        </is>
      </c>
      <c r="B1" s="101" t="inlineStr">
        <is>
          <t>Pergunta</t>
        </is>
      </c>
      <c r="C1" s="101" t="inlineStr">
        <is>
          <t>Se Sim →</t>
        </is>
      </c>
      <c r="D1" s="101" t="inlineStr">
        <is>
          <t>Se Não →</t>
        </is>
      </c>
      <c r="I1" s="102" t="inlineStr">
        <is>
          <t>Como ler: cada pergunta aponta para a próxima (P) ou para uma resolução (R) conforme a resposta. Para mudar o fluxo, edite as colunas 'Se Sim' e 'Se Não'.</t>
        </is>
      </c>
    </row>
    <row r="2">
      <c r="A2" s="99" t="inlineStr">
        <is>
          <t>P1</t>
        </is>
      </c>
      <c r="B2" s="99" t="inlineStr">
        <is>
          <t>Cliente informa que pagou a corrida em dinheiro?</t>
        </is>
      </c>
      <c r="C2" s="99" t="inlineStr">
        <is>
          <t>P2</t>
        </is>
      </c>
      <c r="D2" s="99" t="inlineStr">
        <is>
          <t>R8</t>
        </is>
      </c>
    </row>
    <row r="3">
      <c r="A3" s="99" t="inlineStr">
        <is>
          <t>P2</t>
        </is>
      </c>
      <c r="B3" s="99" t="inlineStr">
        <is>
          <t>A corrida consta como paga no sistema?</t>
        </is>
      </c>
      <c r="C3" s="99" t="inlineStr">
        <is>
          <t>P3</t>
        </is>
      </c>
      <c r="D3" s="99" t="inlineStr">
        <is>
          <t>P4</t>
        </is>
      </c>
    </row>
    <row r="4">
      <c r="A4" s="99" t="inlineStr">
        <is>
          <t>P3</t>
        </is>
      </c>
      <c r="B4" s="99" t="inlineStr">
        <is>
          <t>Cliente relata troco não devolvido ou valor cobrado a mais?</t>
        </is>
      </c>
      <c r="C4" s="99" t="inlineStr">
        <is>
          <t>P5</t>
        </is>
      </c>
      <c r="D4" s="99" t="inlineStr">
        <is>
          <t>R7</t>
        </is>
      </c>
    </row>
    <row r="5">
      <c r="A5" s="99" t="inlineStr">
        <is>
          <t>P4</t>
        </is>
      </c>
      <c r="B5" s="99" t="inlineStr">
        <is>
          <t>O motorista registrou valor pendente (arrears) na conta do cliente?</t>
        </is>
      </c>
      <c r="C5" s="99" t="inlineStr">
        <is>
          <t>P5</t>
        </is>
      </c>
      <c r="D5" s="99" t="inlineStr">
        <is>
          <t>R6</t>
        </is>
      </c>
    </row>
    <row r="6">
      <c r="A6" s="99" t="inlineStr">
        <is>
          <t>P5</t>
        </is>
      </c>
      <c r="B6" s="99" t="inlineStr">
        <is>
          <t>Cliente possui impeditivo na conta (histórico de abuso)?</t>
        </is>
      </c>
      <c r="C6" s="99" t="inlineStr">
        <is>
          <t>R1</t>
        </is>
      </c>
      <c r="D6" s="99" t="inlineStr">
        <is>
          <t>P6</t>
        </is>
      </c>
    </row>
    <row r="7">
      <c r="A7" s="99" t="inlineStr">
        <is>
          <t>P6</t>
        </is>
      </c>
      <c r="B7" s="99" t="inlineStr">
        <is>
          <t>Cliente recebeu mais de um reembolso no mês?</t>
        </is>
      </c>
      <c r="C7" s="99" t="inlineStr">
        <is>
          <t>R2</t>
        </is>
      </c>
      <c r="D7" s="99" t="inlineStr">
        <is>
          <t>P7</t>
        </is>
      </c>
    </row>
    <row r="8">
      <c r="A8" s="99" t="inlineStr">
        <is>
          <t>P7</t>
        </is>
      </c>
      <c r="B8" s="99" t="inlineStr">
        <is>
          <t>O valor solicitado excede o limite de alçada?</t>
        </is>
      </c>
      <c r="C8" s="99" t="inlineStr">
        <is>
          <t>R3</t>
        </is>
      </c>
      <c r="D8" s="99" t="inlineStr">
        <is>
          <t>P8</t>
        </is>
      </c>
    </row>
    <row r="9">
      <c r="A9" s="99" t="inlineStr">
        <is>
          <t>P8</t>
        </is>
      </c>
      <c r="B9" s="99" t="inlineStr">
        <is>
          <t>Cliente enviou comprovante do pagamento?</t>
        </is>
      </c>
      <c r="C9" s="99" t="inlineStr">
        <is>
          <t>P9</t>
        </is>
      </c>
      <c r="D9" s="99" t="inlineStr">
        <is>
          <t>P10</t>
        </is>
      </c>
    </row>
    <row r="10">
      <c r="A10" s="99" t="inlineStr">
        <is>
          <t>P9</t>
        </is>
      </c>
      <c r="B10" s="99" t="inlineStr">
        <is>
          <t>A rota teve desvio ou trânsito fora do normal?</t>
        </is>
      </c>
      <c r="C10" s="99" t="inlineStr">
        <is>
          <t>R4</t>
        </is>
      </c>
      <c r="D10" s="99" t="inlineStr">
        <is>
          <t>R5</t>
        </is>
      </c>
    </row>
    <row r="11">
      <c r="A11" s="99" t="inlineStr">
        <is>
          <t>P10</t>
        </is>
      </c>
      <c r="B11" s="99" t="inlineStr">
        <is>
          <t>O valor está abaixo do limite que dispensa comprovante?</t>
        </is>
      </c>
      <c r="C11" s="99" t="inlineStr">
        <is>
          <t>P9</t>
        </is>
      </c>
      <c r="D11" s="99" t="inlineStr">
        <is>
          <t>R6</t>
        </is>
      </c>
    </row>
    <row r="13">
      <c r="A13" s="101" t="inlineStr">
        <is>
          <t>ID</t>
        </is>
      </c>
      <c r="B13" s="101" t="inlineStr">
        <is>
          <t>Resolução</t>
        </is>
      </c>
      <c r="C13" s="101" t="inlineStr">
        <is>
          <t>Etiquetação</t>
        </is>
      </c>
      <c r="D13" s="101" t="inlineStr">
        <is>
          <t>Resumo do cliente</t>
        </is>
      </c>
      <c r="E13" s="101" t="inlineStr">
        <is>
          <t>Resumo do atendimento</t>
        </is>
      </c>
      <c r="F13" s="101" t="inlineStr">
        <is>
          <t>Link do problema</t>
        </is>
      </c>
      <c r="G13" s="101" t="inlineStr">
        <is>
          <t>Status do ticket</t>
        </is>
      </c>
    </row>
    <row r="14" ht="90" customHeight="1" s="58">
      <c r="A14" s="103" t="inlineStr">
        <is>
          <t>R1</t>
        </is>
      </c>
      <c r="B14" s="103" t="inlineStr">
        <is>
          <t>Negativa (impeditivo)</t>
        </is>
      </c>
      <c r="C14" s="103" t="inlineStr">
        <is>
          <t>Rider &gt; Problemas com pagamento em dinheiro &gt; Conta com impeditivo</t>
        </is>
      </c>
      <c r="D14" s="103" t="inlineStr">
        <is>
          <t>Olá, &lt;Rider_Name&gt;!
Analisamos a sua solicitação sobre a corrida informada. Após verificação da conta, não foi possível realizar o ajuste solicitado neste momento.
Se tiver novas informações sobre o ocorrido, responda a esta mensagem.</t>
        </is>
      </c>
      <c r="E14" s="103" t="inlineStr">
        <is>
          <t>Cliente solicita reembolso em dinheiro.
Conta com impeditivo registrado (histórico de solicitações indevidas).
Negativa aplicada conforme procedimento. Sem ajuste.</t>
        </is>
      </c>
      <c r="F14" s="103" t="inlineStr">
        <is>
          <t>https://sitedetransporte/link-do-informativo/impeditivo</t>
        </is>
      </c>
      <c r="G14" s="103" t="inlineStr">
        <is>
          <t>Encerrado</t>
        </is>
      </c>
    </row>
    <row r="15" ht="90" customHeight="1" s="58">
      <c r="A15" s="103" t="inlineStr">
        <is>
          <t>R2</t>
        </is>
      </c>
      <c r="B15" s="103" t="inlineStr">
        <is>
          <t>Negativa (reincidência no mês)</t>
        </is>
      </c>
      <c r="C15" s="103" t="inlineStr">
        <is>
          <t>Rider &gt; Problemas com pagamento em dinheiro &gt; Reincidência</t>
        </is>
      </c>
      <c r="D15" s="103" t="inlineStr">
        <is>
          <t>Olá, &lt;Rider_Name&gt;!
Verificamos que já houve um ajuste em sua conta neste mês por um caso semelhante. Por isso, não conseguimos aplicar um novo ajuste agora.
Se tiver um comprovante do pagamento, envie por aqui que reanalisamos.</t>
        </is>
      </c>
      <c r="E15" s="103" t="inlineStr">
        <is>
          <t>Cliente solicita reembolso em dinheiro.
Já houve reembolso no mês corrente.
Negativa aplicada; orientado a enviar comprovante para reanálise.</t>
        </is>
      </c>
      <c r="F15" s="103" t="inlineStr">
        <is>
          <t>https://sitedetransporte/link-do-informativo/reincidencia</t>
        </is>
      </c>
      <c r="G15" s="103" t="inlineStr">
        <is>
          <t>Encerrado</t>
        </is>
      </c>
    </row>
    <row r="16" ht="90" customHeight="1" s="58">
      <c r="A16" s="103" t="inlineStr">
        <is>
          <t>R3</t>
        </is>
      </c>
      <c r="B16" s="103" t="inlineStr">
        <is>
          <t>Escalar para auditoria</t>
        </is>
      </c>
      <c r="C16" s="103" t="inlineStr">
        <is>
          <t>Rider &gt; Problemas com pagamento em dinheiro &gt; Acima da alçada</t>
        </is>
      </c>
      <c r="D16" s="103" t="inlineStr">
        <is>
          <t>Olá, &lt;Rider_Name&gt;!
Recebemos a sua solicitação. Como o valor informado precisa de uma verificação adicional, encaminhamos o caso para a equipe responsável. Você receberá o retorno por aqui.</t>
        </is>
      </c>
      <c r="E16" s="103" t="inlineStr">
        <is>
          <t>Cliente solicita reembolso em dinheiro acima do limite de alçada.
Caso encaminhado para auditoria com os dados da corrida.</t>
        </is>
      </c>
      <c r="F16" s="103" t="inlineStr">
        <is>
          <t>https://sitedetransporte/link-do-informativo/alcada</t>
        </is>
      </c>
      <c r="G16" s="103" t="inlineStr">
        <is>
          <t>Em Aberto</t>
        </is>
      </c>
    </row>
    <row r="17" ht="90" customHeight="1" s="58">
      <c r="A17" s="103" t="inlineStr">
        <is>
          <t>R4</t>
        </is>
      </c>
      <c r="B17" s="103" t="inlineStr">
        <is>
          <t>Reembolsar diferença (rota)</t>
        </is>
      </c>
      <c r="C17" s="103" t="inlineStr">
        <is>
          <t>Rider &gt; Problemas com pagamento em dinheiro &gt; Rota alterada</t>
        </is>
      </c>
      <c r="D17" s="103" t="inlineStr">
        <is>
          <t>Olá, &lt;Rider_Name&gt;!
Analisamos a corrida e identificamos que o trajeto teve alteração em relação ao previsto, o que mudou o valor final. Devolvemos a diferença em créditos na sua conta, disponíveis para a próxima viagem.
Obrigado por nos avisar!</t>
        </is>
      </c>
      <c r="E17" s="103" t="inlineStr">
        <is>
          <t>Cliente informa valor cobrado a mais em pagamento em dinheiro.
Rota com desvio confirmado. Diferença calculada e devolvida em créditos.</t>
        </is>
      </c>
      <c r="F17" s="103" t="inlineStr">
        <is>
          <t>https://sitedetransporte/link-do-informativo/rota</t>
        </is>
      </c>
      <c r="G17" s="103" t="inlineStr">
        <is>
          <t>Encerrado</t>
        </is>
      </c>
    </row>
    <row r="18" ht="90" customHeight="1" s="58">
      <c r="A18" s="103" t="inlineStr">
        <is>
          <t>R5</t>
        </is>
      </c>
      <c r="B18" s="103" t="inlineStr">
        <is>
          <t>Zerar pendência e devolver troco</t>
        </is>
      </c>
      <c r="C18" s="103" t="inlineStr">
        <is>
          <t>Rider &gt; Problemas com pagamento em dinheiro &gt; Troco</t>
        </is>
      </c>
      <c r="D18" s="103" t="inlineStr">
        <is>
          <t>Olá, &lt;Rider_Name&gt;!
Sentimos muito pelo ocorrido. Removemos o valor pendente da sua conta e devolvemos o troco em créditos, disponíveis para a próxima viagem. Já registramos o caso junto ao motorista.
Que bom ter você conosco!</t>
        </is>
      </c>
      <c r="E18" s="103" t="inlineStr">
        <is>
          <t>Cliente informa troco não devolvido em pagamento em dinheiro.
Rota normal. Pendência removida da conta e troco devolvido em créditos. Registro feito para o motorista.</t>
        </is>
      </c>
      <c r="F18" s="103" t="inlineStr">
        <is>
          <t>https://sitedetransporte/link-do-informativo/troco</t>
        </is>
      </c>
      <c r="G18" s="103" t="inlineStr">
        <is>
          <t>Encerrado</t>
        </is>
      </c>
    </row>
    <row r="19" ht="90" customHeight="1" s="58">
      <c r="A19" s="103" t="inlineStr">
        <is>
          <t>R6</t>
        </is>
      </c>
      <c r="B19" s="103" t="inlineStr">
        <is>
          <t>Solicitar comprovante</t>
        </is>
      </c>
      <c r="C19" s="103" t="inlineStr">
        <is>
          <t>Rider &gt; Problemas com pagamento em dinheiro &gt; Comprovante</t>
        </is>
      </c>
      <c r="D19" s="103" t="inlineStr">
        <is>
          <t>Olá, &lt;Rider_Name&gt;!
Para seguir com a análise, precisamos de um comprovante do pagamento (foto do recibo ou do extrato). Responda a esta mensagem com o anexo e continuamos por aqui.</t>
        </is>
      </c>
      <c r="E19" s="103" t="inlineStr">
        <is>
          <t>Cliente solicita ajuste de pagamento em dinheiro sem comprovante.
Solicitado comprovante. Aguardando retorno.</t>
        </is>
      </c>
      <c r="F19" s="103" t="inlineStr">
        <is>
          <t>https://sitedetransporte/link-do-informativo/comprovante</t>
        </is>
      </c>
      <c r="G19" s="103" t="inlineStr">
        <is>
          <t>Aguardando resposta</t>
        </is>
      </c>
    </row>
    <row r="20" ht="90" customHeight="1" s="58">
      <c r="A20" s="103" t="inlineStr">
        <is>
          <t>R7</t>
        </is>
      </c>
      <c r="B20" s="103" t="inlineStr">
        <is>
          <t>Sem ação necessária</t>
        </is>
      </c>
      <c r="C20" s="103" t="inlineStr">
        <is>
          <t>Rider &gt; Problemas com pagamento em dinheiro &gt; Informação</t>
        </is>
      </c>
      <c r="D20" s="103" t="inlineStr">
        <is>
          <t>Olá, &lt;Rider_Name&gt;!
Verificamos a corrida e o pagamento consta corretamente, sem valores pendentes. Se precisar de mais alguma coisa, é só responder por aqui.</t>
        </is>
      </c>
      <c r="E20" s="103" t="inlineStr">
        <is>
          <t>Cliente contata sobre pagamento em dinheiro.
Pagamento consta corretamente, sem pendências. Informado ao cliente.</t>
        </is>
      </c>
      <c r="F20" s="103" t="inlineStr">
        <is>
          <t>https://sitedetransporte/link-do-informativo/informacao</t>
        </is>
      </c>
      <c r="G20" s="103" t="inlineStr">
        <is>
          <t>Encerrado</t>
        </is>
      </c>
    </row>
    <row r="21" ht="90" customHeight="1" s="58">
      <c r="A21" s="103" t="inlineStr">
        <is>
          <t>R8</t>
        </is>
      </c>
      <c r="B21" s="103" t="inlineStr">
        <is>
          <t>Encaminhar para outro fluxo</t>
        </is>
      </c>
      <c r="C21" s="103" t="inlineStr">
        <is>
          <t>Rider &gt; Problemas com pagamento &gt; Outra forma de pagamento</t>
        </is>
      </c>
      <c r="D21" s="103" t="inlineStr">
        <is>
          <t>Olá, &lt;Rider_Name&gt;!
Obrigado pelo contato. Identificamos que a corrida não foi paga em dinheiro, então o seu caso segue por outra análise. Retornamos por aqui em breve.</t>
        </is>
      </c>
      <c r="E21" s="103" t="inlineStr">
        <is>
          <t>Cliente contata pelo fluxo de dinheiro, mas o pagamento foi por outro meio.
Encaminhado para o fluxo correspondente (Cash 2 / Cash 3).</t>
        </is>
      </c>
      <c r="F21" s="103" t="inlineStr">
        <is>
          <t>https://sitedetransporte/link-do-informativo/outro-fluxo</t>
        </is>
      </c>
      <c r="G21" s="103" t="inlineStr">
        <is>
          <t>Em Aberto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2026-10-24T22:11:31Z</dcterms:created>
  <dcterms:modified xmlns:dcterms="http://purl.org/dc/terms/" xmlns:xsi="http://www.w3.org/2001/XMLSchema-instance" xsi:type="dcterms:W3CDTF">2026-10-24T22:11:33Z</dcterms:modified>
</cp:coreProperties>
</file>